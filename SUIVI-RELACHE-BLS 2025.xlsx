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AntiGravity\gestion_bls_export_oocl\"/>
    </mc:Choice>
  </mc:AlternateContent>
  <xr:revisionPtr revIDLastSave="0" documentId="13_ncr:1_{53F40A33-6C84-468C-B4F0-94F010FFED05}" xr6:coauthVersionLast="47" xr6:coauthVersionMax="47" xr10:uidLastSave="{00000000-0000-0000-0000-000000000000}"/>
  <bookViews>
    <workbookView xWindow="-120" yWindow="-120" windowWidth="29040" windowHeight="15720" tabRatio="848" firstSheet="78" activeTab="9" xr2:uid="{23646510-942A-473C-87E7-2B60076BB82D}"/>
  </bookViews>
  <sheets>
    <sheet name="ONE PRESENCE 040E" sheetId="195" r:id="rId1"/>
    <sheet name="NORTHERN MAJESTIC 007W" sheetId="196" r:id="rId2"/>
    <sheet name="AQUAMARINE V.002E" sheetId="194" r:id="rId3"/>
    <sheet name="PEPI STAR 014 N" sheetId="193" r:id="rId4"/>
    <sheet name="ILONA 007E" sheetId="190" r:id="rId5"/>
    <sheet name="EA CENTAURUS 011 E" sheetId="192" r:id="rId6"/>
    <sheet name="TINA I 121 E" sheetId="191" r:id="rId7"/>
    <sheet name="NORDMAAS 220N" sheetId="189" r:id="rId8"/>
    <sheet name="EA CETUS 012E" sheetId="188" r:id="rId9"/>
    <sheet name="SAPPHIRE" sheetId="187" r:id="rId10"/>
    <sheet name="EA CHARA 013E" sheetId="184" r:id="rId11"/>
    <sheet name="NORDMAAS " sheetId="186" r:id="rId12"/>
    <sheet name="NAVIOS NERINE 057E" sheetId="185" r:id="rId13"/>
    <sheet name="AQUAMARINE" sheetId="183" r:id="rId14"/>
    <sheet name="PEPI STAR V.012N" sheetId="181" r:id="rId15"/>
    <sheet name="EA CETUS" sheetId="182" r:id="rId16"/>
    <sheet name="X-PRESS ODYSSEY  117 E" sheetId="180" r:id="rId17"/>
    <sheet name="ONE REPUTATION" sheetId="178" r:id="rId18"/>
    <sheet name="CENTAURUS V.000" sheetId="177" r:id="rId19"/>
    <sheet name="SAPPHIRE V.532E" sheetId="176" r:id="rId20"/>
    <sheet name="SONGA WOLF " sheetId="175" r:id="rId21"/>
    <sheet name="PEPI STAR V.011N" sheetId="174" r:id="rId22"/>
    <sheet name="ZOI 530E" sheetId="173" r:id="rId23"/>
    <sheet name="SAN FRANCISCO V.006E" sheetId="172" r:id="rId24"/>
    <sheet name="RENA P V." sheetId="171" r:id="rId25"/>
    <sheet name="ONE REPUTATION 008E" sheetId="167" r:id="rId26"/>
    <sheet name="CENTAURUS V.009N" sheetId="166" r:id="rId27"/>
    <sheet name="EA CETUS V." sheetId="170" r:id="rId28"/>
    <sheet name="PEPI STAR V." sheetId="169" r:id="rId29"/>
    <sheet name="SONGA WOLF V.124N" sheetId="165" r:id="rId30"/>
    <sheet name="EMMANUEL P" sheetId="164" r:id="rId31"/>
    <sheet name="PELICAN " sheetId="162" r:id="rId32"/>
    <sheet name="NORDMAAS 215" sheetId="160" r:id="rId33"/>
    <sheet name="NORDMAS 216S" sheetId="168" r:id="rId34"/>
    <sheet name="RENA P V.008" sheetId="155" r:id="rId35"/>
    <sheet name="SAN FRANCISCO" sheetId="158" r:id="rId36"/>
    <sheet name="SEASPAN DUBAI 035E" sheetId="159" r:id="rId37"/>
    <sheet name="ILONA 004E " sheetId="161" r:id="rId38"/>
    <sheet name="PEPI STAR 009N" sheetId="163" r:id="rId39"/>
    <sheet name="PEPI STAR V.008" sheetId="152" r:id="rId40"/>
    <sheet name="SONGA WOLF V.123" sheetId="153" r:id="rId41"/>
    <sheet name="NORDMAAS 214" sheetId="157" r:id="rId42"/>
    <sheet name="EA CETUS V.009" sheetId="154" r:id="rId43"/>
    <sheet name="ONE REPUTATION V.007W" sheetId="151" r:id="rId44"/>
    <sheet name="CENTAURUS V.008" sheetId="149" r:id="rId45"/>
    <sheet name="SONGA WOLF V.122S" sheetId="150" r:id="rId46"/>
    <sheet name="SPARROW V.002" sheetId="148" r:id="rId47"/>
    <sheet name="PEPI STAR V.007N" sheetId="146" r:id="rId48"/>
    <sheet name="NORDMAAS V.214N" sheetId="156" r:id="rId49"/>
    <sheet name="NAVIOS MAGNOLIA V.121 E " sheetId="147" r:id="rId50"/>
    <sheet name="GSL VALERIE V.010S" sheetId="145" r:id="rId51"/>
    <sheet name="ILONA V.003N" sheetId="143" r:id="rId52"/>
    <sheet name="SONGA WOLF V. 121S" sheetId="144" r:id="rId53"/>
    <sheet name="SAN FRANCISCO V.004" sheetId="140" r:id="rId54"/>
    <sheet name="PEPI STAR 006S" sheetId="137" r:id="rId55"/>
    <sheet name="RENA P V.007" sheetId="139" r:id="rId56"/>
    <sheet name="EA CETUS 008E" sheetId="136" r:id="rId57"/>
    <sheet name="ANDROUSA V.357 (BIS)" sheetId="135" r:id="rId58"/>
    <sheet name="SONGA WOLF V.357E" sheetId="134" r:id="rId59"/>
    <sheet name="EA CENTAURUS V.007" sheetId="133" r:id="rId60"/>
    <sheet name="PEPI STAR V,005" sheetId="131" r:id="rId61"/>
    <sheet name="SPARROW V.001" sheetId="130" r:id="rId62"/>
    <sheet name="MELINA V.448" sheetId="128" r:id="rId63"/>
    <sheet name="WADI BANI KHALID 026" sheetId="126" r:id="rId64"/>
    <sheet name="PEPI STAR V.003" sheetId="111" r:id="rId65"/>
    <sheet name="ILONA 002" sheetId="124" r:id="rId66"/>
    <sheet name="VOLANS 035E" sheetId="120" r:id="rId67"/>
    <sheet name="PEPI STAR 004N" sheetId="117" r:id="rId68"/>
    <sheet name="EA CETUS 007E" sheetId="116" r:id="rId69"/>
    <sheet name="SAN FRANCISCO 003E" sheetId="119" r:id="rId70"/>
    <sheet name="SONGA WOLF 119N" sheetId="122" r:id="rId71"/>
    <sheet name="SONGA WOLF V.118" sheetId="112" r:id="rId72"/>
    <sheet name="ANDROUSA V.356" sheetId="115" r:id="rId73"/>
    <sheet name="RENA P 006E" sheetId="118" r:id="rId74"/>
    <sheet name="AE CENTAURUS V.006" sheetId="114" r:id="rId75"/>
    <sheet name="EXPRESS SPAIN V.147" sheetId="113" r:id="rId76"/>
    <sheet name="WADI BANI KHALID V.025" sheetId="106" r:id="rId77"/>
    <sheet name="VELA V.425" sheetId="109" r:id="rId78"/>
    <sheet name="SONGA WOLF V.117" sheetId="107" r:id="rId79"/>
    <sheet name="NATAL V.135" sheetId="105" r:id="rId80"/>
    <sheet name="PEPI STAR V.002" sheetId="104" r:id="rId81"/>
    <sheet name="RENA P V.005E" sheetId="99" r:id="rId82"/>
    <sheet name="PEPI STAR V.001" sheetId="103" r:id="rId83"/>
    <sheet name="VIOLETA B. V.036" sheetId="102" r:id="rId84"/>
    <sheet name="ANDROUSA V.355" sheetId="101" r:id="rId85"/>
    <sheet name="NATAL V.134" sheetId="94" r:id="rId86"/>
    <sheet name="EXPRESS SPAIN V.146" sheetId="100" r:id="rId87"/>
    <sheet name="ALEXANDRIA BRIDGE V.070" sheetId="96" r:id="rId88"/>
    <sheet name="VELA V.424" sheetId="98" r:id="rId89"/>
    <sheet name="VIOLETA B V.035" sheetId="97" r:id="rId90"/>
    <sheet name="VIOLETA B V.034" sheetId="93" r:id="rId91"/>
    <sheet name="ANDROUSA V.354N" sheetId="89" r:id="rId92"/>
    <sheet name="RENA P V.004" sheetId="91" r:id="rId93"/>
    <sheet name="COSCO YINKGOU V.159" sheetId="90" r:id="rId94"/>
    <sheet name="EXPRESS SPAIN V.145" sheetId="88" r:id="rId95"/>
    <sheet name="DIAMANTIS P.246E" sheetId="86" r:id="rId96"/>
    <sheet name="WARNOW MATE V.054" sheetId="87" r:id="rId97"/>
    <sheet name="ALEXANDRE BRIDGE V.069" sheetId="84" r:id="rId98"/>
    <sheet name="NATAL V.133 N" sheetId="83" r:id="rId99"/>
    <sheet name="VIOLETA B V.033N" sheetId="85" r:id="rId100"/>
    <sheet name="WARNOW MATE V.053N" sheetId="82" r:id="rId101"/>
    <sheet name="VIOLETA B V.032 E" sheetId="80" r:id="rId102"/>
    <sheet name="ANDROUSA V.353 E" sheetId="78" r:id="rId103"/>
    <sheet name="RENA P V.003N" sheetId="81" r:id="rId104"/>
    <sheet name="EXPRESS SPAIN V.144" sheetId="76" r:id="rId105"/>
    <sheet name="WARNOW MATE V.052" sheetId="77" r:id="rId106"/>
    <sheet name="COSCO YINGKOU V.158 E" sheetId="79" r:id="rId107"/>
    <sheet name="VIOLETA B. V.031S" sheetId="75" r:id="rId108"/>
    <sheet name="DIAMANTIS P. V.245E" sheetId="74" r:id="rId109"/>
    <sheet name="ALEXANDRIA BRIDGE 068" sheetId="71" r:id="rId110"/>
    <sheet name="WARNOW MATE 051N" sheetId="70" r:id="rId111"/>
    <sheet name="NATAL 132E" sheetId="69" r:id="rId112"/>
    <sheet name="VIOLETA B 030N" sheetId="68" r:id="rId113"/>
    <sheet name="RENA P 002S" sheetId="67" r:id="rId114"/>
    <sheet name="COSCO YINGKOU 157E" sheetId="66" r:id="rId115"/>
    <sheet name="WARNOW MATE 050N" sheetId="65" r:id="rId116"/>
    <sheet name="ANDROUSA V.352" sheetId="64" r:id="rId117"/>
    <sheet name="TABLO DE BORD" sheetId="62" r:id="rId118"/>
    <sheet name="VIOLETA B 029N" sheetId="56" r:id="rId119"/>
    <sheet name="EXPRESS SPAIN 143E" sheetId="55" r:id="rId120"/>
    <sheet name="SUNNY PHOENIX 328E" sheetId="54" r:id="rId121"/>
    <sheet name="WARNOW MATE 049N" sheetId="39" r:id="rId122"/>
    <sheet name="ALEXANDRIA BRIDGE 067E" sheetId="31" r:id="rId123"/>
    <sheet name="VIOLETA B V.028N" sheetId="29" r:id="rId124"/>
    <sheet name="NATAL V.131E" sheetId="30" r:id="rId125"/>
    <sheet name="EXPRESS BLACK SEA V.042E" sheetId="27" r:id="rId126"/>
    <sheet name="RENA P V.0001" sheetId="26" r:id="rId127"/>
    <sheet name="WARNOW MATE 048E" sheetId="28" r:id="rId128"/>
    <sheet name="VIOLETA B V.027E" sheetId="24" r:id="rId129"/>
    <sheet name="ANDROUSA V.351 E" sheetId="22" r:id="rId130"/>
    <sheet name="COSCO YINGKOU V.156E" sheetId="23" r:id="rId131"/>
    <sheet name="EXPRESS SPAIN 142E" sheetId="21" r:id="rId132"/>
    <sheet name="WARNOW MATE V.047E" sheetId="20" r:id="rId133"/>
    <sheet name="SUNNY PHOENIX V.327W" sheetId="19" r:id="rId134"/>
    <sheet name="ALEXANDRIA BRIDGE V.066E" sheetId="18" r:id="rId135"/>
    <sheet name="VIOLETA B V.026N" sheetId="17" r:id="rId136"/>
    <sheet name="EXPRESS BLACK SEA V.041E" sheetId="15" r:id="rId137"/>
    <sheet name="VIOLETA B V.025N" sheetId="14" r:id="rId138"/>
    <sheet name="WARNOW MATE V.046N" sheetId="16" r:id="rId139"/>
    <sheet name="COSCO YINGKOU V.155E" sheetId="13" r:id="rId140"/>
    <sheet name="ANDROUSA V.350E" sheetId="12" r:id="rId141"/>
    <sheet name="EXPRESS SPAIN 141" sheetId="11" r:id="rId142"/>
    <sheet name="WARNOW MATE 045E" sheetId="10" r:id="rId143"/>
    <sheet name="VIOLETA B 024E" sheetId="9" r:id="rId144"/>
    <sheet name="NAVIOS DESTINY 076E" sheetId="4" r:id="rId145"/>
    <sheet name="COSCO YINGKOU 154E" sheetId="5" r:id="rId146"/>
    <sheet name="EXPRESS BLACK SEA 040E" sheetId="3" r:id="rId147"/>
    <sheet name="WARNOW MATE 044N" sheetId="1" r:id="rId148"/>
    <sheet name="MARTINIQUE 064E" sheetId="2" r:id="rId149"/>
    <sheet name="ZIM BALTIMORE 315E" sheetId="8" r:id="rId150"/>
  </sheets>
  <definedNames>
    <definedName name="_xlnm._FilterDatabase" localSheetId="74" hidden="1">'AE CENTAURUS V.006'!$A$4:$Q$10</definedName>
    <definedName name="_xlnm._FilterDatabase" localSheetId="97" hidden="1">'ALEXANDRE BRIDGE V.069'!$A$4:$K$8</definedName>
    <definedName name="_xlnm._FilterDatabase" localSheetId="134" hidden="1">'ALEXANDRIA BRIDGE V.066E'!$A$4:$E$17</definedName>
    <definedName name="_xlnm._FilterDatabase" localSheetId="87" hidden="1">'ALEXANDRIA BRIDGE V.070'!$A$4:$Q$21</definedName>
    <definedName name="_xlnm._FilterDatabase" localSheetId="140" hidden="1">'ANDROUSA V.350E'!$A$4:$E$24</definedName>
    <definedName name="_xlnm._FilterDatabase" localSheetId="129" hidden="1">'ANDROUSA V.351 E'!$A$4:$E$30</definedName>
    <definedName name="_xlnm._FilterDatabase" localSheetId="102" hidden="1">'ANDROUSA V.353 E'!$A$4:$J$22</definedName>
    <definedName name="_xlnm._FilterDatabase" localSheetId="91" hidden="1">'ANDROUSA V.354N'!$A$4:$N$8</definedName>
    <definedName name="_xlnm._FilterDatabase" localSheetId="84" hidden="1">'ANDROUSA V.355'!$A$4:$Q$17</definedName>
    <definedName name="_xlnm._FilterDatabase" localSheetId="72" hidden="1">'ANDROUSA V.356'!$A$4:$Q$11</definedName>
    <definedName name="_xlnm._FilterDatabase" localSheetId="57" hidden="1">'ANDROUSA V.357 (BIS)'!$A$4:$M$21</definedName>
    <definedName name="_xlnm._FilterDatabase" localSheetId="13" hidden="1">AQUAMARINE!$A$4:$M$21</definedName>
    <definedName name="_xlnm._FilterDatabase" localSheetId="2" hidden="1">'AQUAMARINE V.002E'!$A$4:$M$9</definedName>
    <definedName name="_xlnm._FilterDatabase" localSheetId="18" hidden="1">'CENTAURUS V.000'!$A$4:$M$30</definedName>
    <definedName name="_xlnm._FilterDatabase" localSheetId="44" hidden="1">'CENTAURUS V.008'!$A$4:$M$22</definedName>
    <definedName name="_xlnm._FilterDatabase" localSheetId="26" hidden="1">'CENTAURUS V.009N'!$A$4:$M$58</definedName>
    <definedName name="_xlnm._FilterDatabase" localSheetId="139" hidden="1">'COSCO YINGKOU V.155E'!$A$4:$E$19</definedName>
    <definedName name="_xlnm._FilterDatabase" localSheetId="130" hidden="1">'COSCO YINGKOU V.156E'!$A$4:$E$23</definedName>
    <definedName name="_xlnm._FilterDatabase" localSheetId="106" hidden="1">'COSCO YINGKOU V.158 E'!$A$4:$J$17</definedName>
    <definedName name="_xlnm._FilterDatabase" localSheetId="93" hidden="1">'COSCO YINKGOU V.159'!$A$4:$N$7</definedName>
    <definedName name="_xlnm._FilterDatabase" localSheetId="95" hidden="1">'DIAMANTIS P.246E'!$A$4:$K$8</definedName>
    <definedName name="_xlnm._FilterDatabase" localSheetId="5" hidden="1">'EA CENTAURUS 011 E'!$A$4:$M$22</definedName>
    <definedName name="_xlnm._FilterDatabase" localSheetId="59" hidden="1">'EA CENTAURUS V.007'!$A$4:$M$14</definedName>
    <definedName name="_xlnm._FilterDatabase" localSheetId="15" hidden="1">'EA CETUS'!$A$4:$M$14</definedName>
    <definedName name="_xlnm._FilterDatabase" localSheetId="68" hidden="1">'EA CETUS 007E'!$E$4:$Q$22</definedName>
    <definedName name="_xlnm._FilterDatabase" localSheetId="56" hidden="1">'EA CETUS 008E'!$A$4:$M$22</definedName>
    <definedName name="_xlnm._FilterDatabase" localSheetId="8" hidden="1">'EA CETUS 012E'!$A$4:$M$23</definedName>
    <definedName name="_xlnm._FilterDatabase" localSheetId="27" hidden="1">'EA CETUS V.'!$A$4:$M$15</definedName>
    <definedName name="_xlnm._FilterDatabase" localSheetId="42" hidden="1">'EA CETUS V.009'!$A$4:$M$20</definedName>
    <definedName name="_xlnm._FilterDatabase" localSheetId="10" hidden="1">'EA CHARA 013E'!$A$4:$M$29</definedName>
    <definedName name="_xlnm._FilterDatabase" localSheetId="30" hidden="1">'EMMANUEL P'!$A$4:$M$25</definedName>
    <definedName name="_xlnm._FilterDatabase" localSheetId="125" hidden="1">'EXPRESS BLACK SEA V.042E'!$A$4:$J$20</definedName>
    <definedName name="_xlnm._FilterDatabase" localSheetId="131" hidden="1">'EXPRESS SPAIN 142E'!$A$4:$E$15</definedName>
    <definedName name="_xlnm._FilterDatabase" localSheetId="119" hidden="1">'EXPRESS SPAIN 143E'!$A$4:$G$15</definedName>
    <definedName name="_xlnm._FilterDatabase" localSheetId="104" hidden="1">'EXPRESS SPAIN V.144'!$A$4:$J$16</definedName>
    <definedName name="_xlnm._FilterDatabase" localSheetId="94" hidden="1">'EXPRESS SPAIN V.145'!$A$4:$K$8</definedName>
    <definedName name="_xlnm._FilterDatabase" localSheetId="86" hidden="1">'EXPRESS SPAIN V.146'!$A$4:$Q$14</definedName>
    <definedName name="_xlnm._FilterDatabase" localSheetId="75" hidden="1">'EXPRESS SPAIN V.147'!$A$4:$Q$14</definedName>
    <definedName name="_xlnm._FilterDatabase" localSheetId="50" hidden="1">'GSL VALERIE V.010S'!$A$4:$M$18</definedName>
    <definedName name="_xlnm._FilterDatabase" localSheetId="65" hidden="1">'ILONA 002'!$A$4:$O$12</definedName>
    <definedName name="_xlnm._FilterDatabase" localSheetId="37" hidden="1">'ILONA 004E '!$A$4:$M$9</definedName>
    <definedName name="_xlnm._FilterDatabase" localSheetId="4" hidden="1">'ILONA 007E'!$A$4:$M$25</definedName>
    <definedName name="_xlnm._FilterDatabase" localSheetId="51" hidden="1">'ILONA V.003N'!$A$4:$L$10</definedName>
    <definedName name="_xlnm._FilterDatabase" localSheetId="62" hidden="1">'MELINA V.448'!$A$4:$N$30</definedName>
    <definedName name="_xlnm._FilterDatabase" localSheetId="124" hidden="1">'NATAL V.131E'!$A$4:$J$17</definedName>
    <definedName name="_xlnm._FilterDatabase" localSheetId="98" hidden="1">'NATAL V.133 N'!$A$4:$K$18</definedName>
    <definedName name="_xlnm._FilterDatabase" localSheetId="85" hidden="1">'NATAL V.134'!$A$4:$Q$4</definedName>
    <definedName name="_xlnm._FilterDatabase" localSheetId="79" hidden="1">'NATAL V.135'!$A$4:$Q$11</definedName>
    <definedName name="_xlnm._FilterDatabase" localSheetId="49" hidden="1">'NAVIOS MAGNOLIA V.121 E '!$A$4:$M$12</definedName>
    <definedName name="_xlnm._FilterDatabase" localSheetId="12" hidden="1">'NAVIOS NERINE 057E'!$A$4:$M$12</definedName>
    <definedName name="_xlnm._FilterDatabase" localSheetId="11" hidden="1">'NORDMAAS '!$A$4:$M$11</definedName>
    <definedName name="_xlnm._FilterDatabase" localSheetId="41" hidden="1">'NORDMAAS 214'!$A$4:$M$5</definedName>
    <definedName name="_xlnm._FilterDatabase" localSheetId="32" hidden="1">'NORDMAAS 215'!$A$4:$M$13</definedName>
    <definedName name="_xlnm._FilterDatabase" localSheetId="7" hidden="1">'NORDMAAS 220N'!$A$4:$M$7</definedName>
    <definedName name="_xlnm._FilterDatabase" localSheetId="48" hidden="1">'NORDMAAS V.214N'!$A$4:$M$5</definedName>
    <definedName name="_xlnm._FilterDatabase" localSheetId="33" hidden="1">'NORDMAS 216S'!$A$4:$M$9</definedName>
    <definedName name="_xlnm._FilterDatabase" localSheetId="1" hidden="1">'NORTHERN MAJESTIC 007W'!$A$4:$M$9</definedName>
    <definedName name="_xlnm._FilterDatabase" localSheetId="0" hidden="1">'ONE PRESENCE 040E'!$A$4:$M$9</definedName>
    <definedName name="_xlnm._FilterDatabase" localSheetId="17" hidden="1">'ONE REPUTATION'!$A$4:$M$16</definedName>
    <definedName name="_xlnm._FilterDatabase" localSheetId="25" hidden="1">'ONE REPUTATION 008E'!$A$4:$M$25</definedName>
    <definedName name="_xlnm._FilterDatabase" localSheetId="43" hidden="1">'ONE REPUTATION V.007W'!$A$4:$M$13</definedName>
    <definedName name="_xlnm._FilterDatabase" localSheetId="31" hidden="1">'PELICAN '!$A$4:$M$22</definedName>
    <definedName name="_xlnm._FilterDatabase" localSheetId="67" hidden="1">'PEPI STAR 004N'!$E$4:$Q$26</definedName>
    <definedName name="_xlnm._FilterDatabase" localSheetId="54" hidden="1">'PEPI STAR 006S'!$A$4:$M$27</definedName>
    <definedName name="_xlnm._FilterDatabase" localSheetId="38" hidden="1">'PEPI STAR 009N'!$A$4:$M$10</definedName>
    <definedName name="_xlnm._FilterDatabase" localSheetId="3" hidden="1">'PEPI STAR 014 N'!$A$4:$M$17</definedName>
    <definedName name="_xlnm._FilterDatabase" localSheetId="60" hidden="1">'PEPI STAR V,005'!$A$4:$M$34</definedName>
    <definedName name="_xlnm._FilterDatabase" localSheetId="28" hidden="1">'PEPI STAR V.'!$A$4:$O$9</definedName>
    <definedName name="_xlnm._FilterDatabase" localSheetId="82" hidden="1">'PEPI STAR V.001'!$A$4:$Q$9</definedName>
    <definedName name="_xlnm._FilterDatabase" localSheetId="80" hidden="1">'PEPI STAR V.002'!$A$4:$Q$18</definedName>
    <definedName name="_xlnm._FilterDatabase" localSheetId="64" hidden="1">'PEPI STAR V.003'!$A$4:$O$17</definedName>
    <definedName name="_xlnm._FilterDatabase" localSheetId="47" hidden="1">'PEPI STAR V.007N'!$A$4:$M$28</definedName>
    <definedName name="_xlnm._FilterDatabase" localSheetId="39" hidden="1">'PEPI STAR V.008'!$A$4:$M$15</definedName>
    <definedName name="_xlnm._FilterDatabase" localSheetId="21" hidden="1">'PEPI STAR V.011N'!$A$4:$M$8</definedName>
    <definedName name="_xlnm._FilterDatabase" localSheetId="14" hidden="1">'PEPI STAR V.012N'!$A$4:$M$15</definedName>
    <definedName name="_xlnm._FilterDatabase" localSheetId="24" hidden="1">'RENA P V.'!$A$4:$M$20</definedName>
    <definedName name="_xlnm._FilterDatabase" localSheetId="126" hidden="1">'RENA P V.0001'!$A$4:$J$19</definedName>
    <definedName name="_xlnm._FilterDatabase" localSheetId="103" hidden="1">'RENA P V.003N'!$A$4:$J$16</definedName>
    <definedName name="_xlnm._FilterDatabase" localSheetId="92" hidden="1">'RENA P V.004'!$A$4:$N$4</definedName>
    <definedName name="_xlnm._FilterDatabase" localSheetId="81" hidden="1">'RENA P V.005E'!$A$4:$Q$20</definedName>
    <definedName name="_xlnm._FilterDatabase" localSheetId="55" hidden="1">'RENA P V.007'!$A$4:$M$19</definedName>
    <definedName name="_xlnm._FilterDatabase" localSheetId="34" hidden="1">'RENA P V.008'!$A$4:$M$24</definedName>
    <definedName name="_xlnm._FilterDatabase" localSheetId="35" hidden="1">'SAN FRANCISCO'!$A$4:$M$12</definedName>
    <definedName name="_xlnm._FilterDatabase" localSheetId="69" hidden="1">'SAN FRANCISCO 003E'!$E$4:$Q$13</definedName>
    <definedName name="_xlnm._FilterDatabase" localSheetId="53" hidden="1">'SAN FRANCISCO V.004'!$A$4:$M$12</definedName>
    <definedName name="_xlnm._FilterDatabase" localSheetId="23" hidden="1">'SAN FRANCISCO V.006E'!$A$4:$M$18</definedName>
    <definedName name="_xlnm._FilterDatabase" localSheetId="9" hidden="1">SAPPHIRE!$A$4:$M$30</definedName>
    <definedName name="_xlnm._FilterDatabase" localSheetId="19" hidden="1">'SAPPHIRE V.532E'!$A$4:$M$17</definedName>
    <definedName name="_xlnm._FilterDatabase" localSheetId="36" hidden="1">'SEASPAN DUBAI 035E'!$A$4:$M$14</definedName>
    <definedName name="_xlnm._FilterDatabase" localSheetId="20" hidden="1">'SONGA WOLF '!$A$4:$M$17</definedName>
    <definedName name="_xlnm._FilterDatabase" localSheetId="70" hidden="1">'SONGA WOLF 119N'!$A$4:$Q$23</definedName>
    <definedName name="_xlnm._FilterDatabase" localSheetId="52" hidden="1">'SONGA WOLF V. 121S'!$A$4:$M$14</definedName>
    <definedName name="_xlnm._FilterDatabase" localSheetId="78" hidden="1">'SONGA WOLF V.117'!$A$4:$Q$6</definedName>
    <definedName name="_xlnm._FilterDatabase" localSheetId="71" hidden="1">'SONGA WOLF V.118'!$A$4:$Q$4</definedName>
    <definedName name="_xlnm._FilterDatabase" localSheetId="45" hidden="1">'SONGA WOLF V.122S'!$A$4:$M$9</definedName>
    <definedName name="_xlnm._FilterDatabase" localSheetId="40" hidden="1">'SONGA WOLF V.123'!$A$4:$M$10</definedName>
    <definedName name="_xlnm._FilterDatabase" localSheetId="29" hidden="1">'SONGA WOLF V.124N'!$A$4:$M$8</definedName>
    <definedName name="_xlnm._FilterDatabase" localSheetId="58" hidden="1">'SONGA WOLF V.357E'!$A$4:$N$18</definedName>
    <definedName name="_xlnm._FilterDatabase" localSheetId="61" hidden="1">'SPARROW V.001'!$A$4:$N$18</definedName>
    <definedName name="_xlnm._FilterDatabase" localSheetId="46" hidden="1">'SPARROW V.002'!$A$4:$M$16</definedName>
    <definedName name="_xlnm._FilterDatabase" localSheetId="133" hidden="1">'SUNNY PHOENIX V.327W'!$A$4:$E$15</definedName>
    <definedName name="_xlnm._FilterDatabase" localSheetId="6" hidden="1">'TINA I 121 E'!$A$4:$M$8</definedName>
    <definedName name="_xlnm._FilterDatabase" localSheetId="88" hidden="1">'VELA V.424'!$A$4:$P$10</definedName>
    <definedName name="_xlnm._FilterDatabase" localSheetId="77" hidden="1">'VELA V.425'!$A$4:$Q$15</definedName>
    <definedName name="_xlnm._FilterDatabase" localSheetId="118" hidden="1">'VIOLETA B 029N'!$A$4:$J$32</definedName>
    <definedName name="_xlnm._FilterDatabase" localSheetId="112" hidden="1">'VIOLETA B 030N'!$A$4:$J$35</definedName>
    <definedName name="_xlnm._FilterDatabase" localSheetId="137" hidden="1">'VIOLETA B V.025N'!$A$4:$E$39</definedName>
    <definedName name="_xlnm._FilterDatabase" localSheetId="135" hidden="1">'VIOLETA B V.026N'!$A$4:$E$26</definedName>
    <definedName name="_xlnm._FilterDatabase" localSheetId="128" hidden="1">'VIOLETA B V.027E'!$A$4:$J$43</definedName>
    <definedName name="_xlnm._FilterDatabase" localSheetId="123" hidden="1">'VIOLETA B V.028N'!$A$4:$J$15</definedName>
    <definedName name="_xlnm._FilterDatabase" localSheetId="101" hidden="1">'VIOLETA B V.032 E'!$A$4:$J$24</definedName>
    <definedName name="_xlnm._FilterDatabase" localSheetId="99" hidden="1">'VIOLETA B V.033N'!$A$4:$K$30</definedName>
    <definedName name="_xlnm._FilterDatabase" localSheetId="90" hidden="1">'VIOLETA B V.034'!$A$4:$N$8</definedName>
    <definedName name="_xlnm._FilterDatabase" localSheetId="89" hidden="1">'VIOLETA B V.035'!$A$4:$P$21</definedName>
    <definedName name="_xlnm._FilterDatabase" localSheetId="107" hidden="1">'VIOLETA B. V.031S'!$A$4:$J$29</definedName>
    <definedName name="_xlnm._FilterDatabase" localSheetId="83" hidden="1">'VIOLETA B. V.036'!$A$4:$Q$9</definedName>
    <definedName name="_xlnm._FilterDatabase" localSheetId="63" hidden="1">'WADI BANI KHALID 026'!$A$4:$N$11</definedName>
    <definedName name="_xlnm._FilterDatabase" localSheetId="76" hidden="1">'WADI BANI KHALID V.025'!$A$4:$Q$14</definedName>
    <definedName name="_xlnm._FilterDatabase" localSheetId="127" hidden="1">'WARNOW MATE 048E'!$A$4:$J$22</definedName>
    <definedName name="_xlnm._FilterDatabase" localSheetId="121" hidden="1">'WARNOW MATE 049N'!$A$4:$J$24</definedName>
    <definedName name="_xlnm._FilterDatabase" localSheetId="115" hidden="1">'WARNOW MATE 050N'!$A$4:$J$25</definedName>
    <definedName name="_xlnm._FilterDatabase" localSheetId="132" hidden="1">'WARNOW MATE V.047E'!$A$4:$E$15</definedName>
    <definedName name="_xlnm._FilterDatabase" localSheetId="105" hidden="1">'WARNOW MATE V.052'!$A$4:$J$15</definedName>
    <definedName name="_xlnm._FilterDatabase" localSheetId="100" hidden="1">'WARNOW MATE V.053N'!$A$4:$K$24</definedName>
    <definedName name="_xlnm._FilterDatabase" localSheetId="96" hidden="1">'WARNOW MATE V.054'!$A$4:$K$8</definedName>
    <definedName name="_xlnm._FilterDatabase" localSheetId="16" hidden="1">'X-PRESS ODYSSEY  117 E'!$A$4:$M$24</definedName>
    <definedName name="_xlnm._FilterDatabase" localSheetId="22" hidden="1">'ZOI 530E'!$A$4:$M$35</definedName>
    <definedName name="_xlnm.Print_Area" localSheetId="134">'ALEXANDRIA BRIDGE V.066E'!$A$1:$E$17</definedName>
    <definedName name="_xlnm.Print_Area" localSheetId="129">'ANDROUSA V.351 E'!$A$1:$E$15</definedName>
    <definedName name="_xlnm.Print_Area" localSheetId="145">'COSCO YINGKOU 154E'!$A$1:$D$14</definedName>
    <definedName name="_xlnm.Print_Area" localSheetId="130">'COSCO YINGKOU V.156E'!$A$1:$E$17</definedName>
    <definedName name="_xlnm.Print_Area" localSheetId="136">'EXPRESS BLACK SEA V.041E'!$A$1:$E$18</definedName>
    <definedName name="_xlnm.Print_Area" localSheetId="125">'EXPRESS BLACK SEA V.042E'!$A$1:$E$19</definedName>
    <definedName name="_xlnm.Print_Area" localSheetId="131">'EXPRESS SPAIN 142E'!$A$1:$E$15</definedName>
    <definedName name="_xlnm.Print_Area" localSheetId="148">'MARTINIQUE 064E'!$A$1:$D$12</definedName>
    <definedName name="_xlnm.Print_Area" localSheetId="126">'RENA P V.0001'!$A$1:$E$15</definedName>
    <definedName name="_xlnm.Print_Area" localSheetId="133">'SUNNY PHOENIX V.327W'!$A$1:$E$15</definedName>
    <definedName name="_xlnm.Print_Area" localSheetId="137">'VIOLETA B V.025N'!$A$1:$E$39</definedName>
    <definedName name="_xlnm.Print_Area" localSheetId="135">'VIOLETA B V.026N'!$A$1:$E$26</definedName>
    <definedName name="_xlnm.Print_Area" localSheetId="128">'VIOLETA B V.027E'!$A$1:$E$15</definedName>
    <definedName name="_xlnm.Print_Area" localSheetId="127">'WARNOW MATE 048E'!$A$1:$E$15</definedName>
    <definedName name="_xlnm.Print_Area" localSheetId="132">'WARNOW MATE V.047E'!$A$1:$E$15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96" l="1"/>
  <c r="H2" i="196" s="1"/>
  <c r="I2" i="195"/>
  <c r="H2" i="195" s="1"/>
  <c r="I2" i="194"/>
  <c r="E2" i="194" s="1"/>
  <c r="E2" i="196" l="1"/>
  <c r="E2" i="195"/>
  <c r="H2" i="194"/>
  <c r="G5" i="194"/>
  <c r="G6" i="194"/>
  <c r="G8" i="194"/>
  <c r="G9" i="194"/>
  <c r="G7" i="194"/>
  <c r="G7" i="189"/>
  <c r="G5" i="195" l="1"/>
  <c r="G11" i="195"/>
  <c r="G10" i="195"/>
  <c r="G7" i="196"/>
  <c r="G11" i="196"/>
  <c r="G6" i="196"/>
  <c r="G10" i="196"/>
  <c r="G9" i="196"/>
  <c r="G8" i="196"/>
  <c r="G8" i="195"/>
  <c r="G6" i="195"/>
  <c r="G7" i="195"/>
  <c r="G5" i="196"/>
  <c r="G9" i="195"/>
  <c r="G13" i="195"/>
  <c r="G14" i="195"/>
  <c r="G15" i="195"/>
  <c r="G16" i="195"/>
  <c r="G17" i="195"/>
  <c r="G18" i="195"/>
  <c r="G12" i="195"/>
  <c r="I2" i="193"/>
  <c r="H2" i="193" s="1"/>
  <c r="I2" i="192"/>
  <c r="E2" i="192" s="1"/>
  <c r="I2" i="191"/>
  <c r="E2" i="191" s="1"/>
  <c r="G8" i="191" s="1"/>
  <c r="I2" i="190"/>
  <c r="H2" i="190" s="1"/>
  <c r="I2" i="189"/>
  <c r="H2" i="189" s="1"/>
  <c r="G12" i="188"/>
  <c r="G11" i="188"/>
  <c r="G10" i="188"/>
  <c r="G9" i="188"/>
  <c r="G8" i="188"/>
  <c r="G7" i="188"/>
  <c r="G6" i="188"/>
  <c r="G5" i="188"/>
  <c r="I2" i="188"/>
  <c r="E2" i="188" s="1"/>
  <c r="G21" i="188" l="1"/>
  <c r="G24" i="188"/>
  <c r="G25" i="188"/>
  <c r="G11" i="191"/>
  <c r="E2" i="193"/>
  <c r="H2" i="192"/>
  <c r="G21" i="192"/>
  <c r="G19" i="192"/>
  <c r="G17" i="192"/>
  <c r="G12" i="192"/>
  <c r="G11" i="192"/>
  <c r="G10" i="192"/>
  <c r="G9" i="192"/>
  <c r="G8" i="192"/>
  <c r="G7" i="192"/>
  <c r="G6" i="192"/>
  <c r="G5" i="192"/>
  <c r="G20" i="192"/>
  <c r="G22" i="192"/>
  <c r="G13" i="192"/>
  <c r="G14" i="192"/>
  <c r="G15" i="192"/>
  <c r="G16" i="192"/>
  <c r="G18" i="192"/>
  <c r="G10" i="191"/>
  <c r="G9" i="191"/>
  <c r="H2" i="191"/>
  <c r="G5" i="191"/>
  <c r="G6" i="191"/>
  <c r="G7" i="191"/>
  <c r="E2" i="190"/>
  <c r="E2" i="189"/>
  <c r="G8" i="189" s="1"/>
  <c r="H2" i="188"/>
  <c r="G14" i="188"/>
  <c r="G15" i="188"/>
  <c r="G13" i="188"/>
  <c r="G16" i="188"/>
  <c r="G17" i="188"/>
  <c r="G18" i="188"/>
  <c r="G19" i="188"/>
  <c r="G20" i="188"/>
  <c r="G22" i="188"/>
  <c r="G23" i="188"/>
  <c r="G14" i="193" l="1"/>
  <c r="G15" i="193"/>
  <c r="G13" i="193"/>
  <c r="G16" i="193"/>
  <c r="G8" i="190"/>
  <c r="G6" i="190"/>
  <c r="G13" i="190"/>
  <c r="G22" i="190"/>
  <c r="G24" i="190"/>
  <c r="G25" i="190"/>
  <c r="G23" i="190"/>
  <c r="G9" i="193"/>
  <c r="G7" i="193"/>
  <c r="G5" i="193"/>
  <c r="G12" i="193"/>
  <c r="G11" i="193"/>
  <c r="G10" i="193"/>
  <c r="G8" i="193"/>
  <c r="G6" i="193"/>
  <c r="G18" i="190"/>
  <c r="G16" i="190"/>
  <c r="G15" i="190"/>
  <c r="G14" i="190"/>
  <c r="G21" i="190"/>
  <c r="G20" i="190"/>
  <c r="G19" i="190"/>
  <c r="G17" i="190"/>
  <c r="G12" i="190"/>
  <c r="G11" i="190"/>
  <c r="G10" i="190"/>
  <c r="G9" i="190"/>
  <c r="G7" i="190"/>
  <c r="G5" i="190"/>
  <c r="G6" i="189"/>
  <c r="G5" i="189"/>
  <c r="I2" i="187" l="1"/>
  <c r="H2" i="187" s="1"/>
  <c r="E2" i="187" l="1"/>
  <c r="I2" i="186"/>
  <c r="H2" i="186" s="1"/>
  <c r="I2" i="185"/>
  <c r="H2" i="185" s="1"/>
  <c r="I2" i="184"/>
  <c r="H2" i="184" s="1"/>
  <c r="G23" i="187" l="1"/>
  <c r="G28" i="187"/>
  <c r="G13" i="187"/>
  <c r="G29" i="187"/>
  <c r="G30" i="187"/>
  <c r="G21" i="187"/>
  <c r="G18" i="187"/>
  <c r="G19" i="187"/>
  <c r="G20" i="187"/>
  <c r="G14" i="187"/>
  <c r="G15" i="187"/>
  <c r="G9" i="187"/>
  <c r="G16" i="187"/>
  <c r="G17" i="187"/>
  <c r="G10" i="187"/>
  <c r="G12" i="187"/>
  <c r="G6" i="187"/>
  <c r="G7" i="187"/>
  <c r="G8" i="187"/>
  <c r="G11" i="187"/>
  <c r="G5" i="187"/>
  <c r="G27" i="187"/>
  <c r="G22" i="187"/>
  <c r="G26" i="187"/>
  <c r="G25" i="187"/>
  <c r="G24" i="187"/>
  <c r="E2" i="186"/>
  <c r="E2" i="185"/>
  <c r="E2" i="184"/>
  <c r="I2" i="171"/>
  <c r="G26" i="184" l="1"/>
  <c r="G24" i="184"/>
  <c r="G25" i="184"/>
  <c r="G27" i="184"/>
  <c r="G28" i="184"/>
  <c r="G29" i="184"/>
  <c r="G23" i="184"/>
  <c r="G22" i="184"/>
  <c r="G15" i="184"/>
  <c r="G21" i="184"/>
  <c r="G5" i="186"/>
  <c r="G9" i="186"/>
  <c r="G8" i="186"/>
  <c r="G11" i="186"/>
  <c r="G10" i="186"/>
  <c r="G7" i="186"/>
  <c r="G6" i="186"/>
  <c r="G11" i="185"/>
  <c r="G9" i="185"/>
  <c r="G7" i="185"/>
  <c r="G6" i="185"/>
  <c r="G5" i="185"/>
  <c r="G12" i="185"/>
  <c r="G10" i="185"/>
  <c r="G8" i="185"/>
  <c r="G9" i="184"/>
  <c r="G20" i="184"/>
  <c r="G13" i="184"/>
  <c r="G14" i="184"/>
  <c r="G12" i="184"/>
  <c r="G6" i="184"/>
  <c r="G7" i="184"/>
  <c r="G16" i="184"/>
  <c r="G17" i="184"/>
  <c r="G11" i="184"/>
  <c r="G10" i="184"/>
  <c r="G5" i="184"/>
  <c r="G18" i="184"/>
  <c r="G19" i="184"/>
  <c r="G8" i="184"/>
  <c r="I2" i="183"/>
  <c r="H2" i="183" s="1"/>
  <c r="E2" i="183" l="1"/>
  <c r="I2" i="182"/>
  <c r="H2" i="182" s="1"/>
  <c r="I2" i="181"/>
  <c r="H2" i="181" s="1"/>
  <c r="G20" i="183" l="1"/>
  <c r="G21" i="183"/>
  <c r="G16" i="183"/>
  <c r="G7" i="183"/>
  <c r="G17" i="183"/>
  <c r="G13" i="183"/>
  <c r="G11" i="183"/>
  <c r="G10" i="183"/>
  <c r="G12" i="183"/>
  <c r="G19" i="183"/>
  <c r="G6" i="183"/>
  <c r="G5" i="183"/>
  <c r="G15" i="183"/>
  <c r="G14" i="183"/>
  <c r="G9" i="183"/>
  <c r="G8" i="183"/>
  <c r="G18" i="183"/>
  <c r="E2" i="182"/>
  <c r="E2" i="181"/>
  <c r="G15" i="181" s="1"/>
  <c r="I2" i="180"/>
  <c r="H2" i="180" s="1"/>
  <c r="I2" i="177"/>
  <c r="H2" i="177" s="1"/>
  <c r="I2" i="178"/>
  <c r="E2" i="178" s="1"/>
  <c r="G5" i="176"/>
  <c r="C14" i="8"/>
  <c r="C13" i="8"/>
  <c r="C12" i="8"/>
  <c r="C11" i="8"/>
  <c r="C10" i="8"/>
  <c r="C9" i="8"/>
  <c r="C8" i="8"/>
  <c r="C7" i="8"/>
  <c r="C6" i="8"/>
  <c r="C5" i="8"/>
  <c r="C12" i="2"/>
  <c r="C11" i="2"/>
  <c r="C10" i="2"/>
  <c r="C9" i="2"/>
  <c r="C8" i="2"/>
  <c r="C7" i="2"/>
  <c r="C6" i="2"/>
  <c r="C5" i="2"/>
  <c r="C9" i="1"/>
  <c r="C8" i="1"/>
  <c r="C7" i="1"/>
  <c r="C6" i="1"/>
  <c r="C5" i="1"/>
  <c r="C12" i="3"/>
  <c r="C11" i="3"/>
  <c r="C10" i="3"/>
  <c r="C9" i="3"/>
  <c r="C8" i="3"/>
  <c r="C7" i="3"/>
  <c r="C6" i="3"/>
  <c r="C5" i="3"/>
  <c r="C14" i="5"/>
  <c r="C13" i="5"/>
  <c r="C12" i="5"/>
  <c r="C11" i="5"/>
  <c r="C10" i="5"/>
  <c r="C9" i="5"/>
  <c r="C8" i="5"/>
  <c r="C7" i="5"/>
  <c r="C6" i="5"/>
  <c r="C5" i="5"/>
  <c r="C16" i="4"/>
  <c r="C15" i="4"/>
  <c r="C14" i="4"/>
  <c r="C13" i="4"/>
  <c r="C12" i="4"/>
  <c r="C11" i="4"/>
  <c r="C10" i="4"/>
  <c r="C9" i="4"/>
  <c r="C8" i="4"/>
  <c r="C7" i="4"/>
  <c r="C6" i="4"/>
  <c r="C5" i="4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14" i="10"/>
  <c r="C13" i="10"/>
  <c r="C12" i="10"/>
  <c r="C11" i="10"/>
  <c r="C10" i="10"/>
  <c r="C9" i="10"/>
  <c r="C8" i="10"/>
  <c r="C7" i="10"/>
  <c r="C6" i="10"/>
  <c r="C5" i="10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23" i="12"/>
  <c r="D18" i="13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15" i="19"/>
  <c r="D14" i="19"/>
  <c r="D13" i="19"/>
  <c r="D12" i="19"/>
  <c r="D11" i="19"/>
  <c r="D10" i="19"/>
  <c r="D9" i="19"/>
  <c r="D8" i="19"/>
  <c r="D7" i="19"/>
  <c r="D6" i="19"/>
  <c r="D5" i="19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15" i="29"/>
  <c r="D14" i="29"/>
  <c r="D13" i="29"/>
  <c r="D12" i="29"/>
  <c r="D11" i="29"/>
  <c r="D10" i="29"/>
  <c r="D9" i="29"/>
  <c r="D8" i="29"/>
  <c r="D7" i="29"/>
  <c r="D6" i="29"/>
  <c r="D5" i="29"/>
  <c r="D16" i="31"/>
  <c r="D15" i="31"/>
  <c r="D14" i="31"/>
  <c r="D13" i="31"/>
  <c r="D12" i="31"/>
  <c r="D11" i="31"/>
  <c r="D10" i="31"/>
  <c r="D9" i="31"/>
  <c r="D8" i="31"/>
  <c r="D7" i="31"/>
  <c r="D6" i="31"/>
  <c r="D5" i="31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9"/>
  <c r="D5" i="39"/>
  <c r="D13" i="54"/>
  <c r="D12" i="54"/>
  <c r="D11" i="54"/>
  <c r="D10" i="54"/>
  <c r="D9" i="54"/>
  <c r="D8" i="54"/>
  <c r="D7" i="54"/>
  <c r="D6" i="54"/>
  <c r="D5" i="54"/>
  <c r="D15" i="55"/>
  <c r="D14" i="55"/>
  <c r="D13" i="55"/>
  <c r="D12" i="55"/>
  <c r="D11" i="55"/>
  <c r="D10" i="55"/>
  <c r="D9" i="55"/>
  <c r="D8" i="55"/>
  <c r="D7" i="55"/>
  <c r="D6" i="55"/>
  <c r="D5" i="55"/>
  <c r="D26" i="56"/>
  <c r="D5" i="56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D10" i="64"/>
  <c r="D9" i="64"/>
  <c r="D8" i="64"/>
  <c r="D7" i="64"/>
  <c r="D6" i="64"/>
  <c r="D5" i="64"/>
  <c r="D25" i="65"/>
  <c r="D24" i="65"/>
  <c r="D23" i="65"/>
  <c r="D22" i="65"/>
  <c r="D21" i="65"/>
  <c r="D20" i="65"/>
  <c r="D19" i="65"/>
  <c r="D18" i="65"/>
  <c r="D17" i="65"/>
  <c r="D16" i="65"/>
  <c r="D15" i="65"/>
  <c r="D14" i="65"/>
  <c r="D13" i="65"/>
  <c r="D12" i="65"/>
  <c r="D11" i="65"/>
  <c r="D10" i="65"/>
  <c r="D9" i="65"/>
  <c r="D8" i="65"/>
  <c r="D7" i="65"/>
  <c r="D6" i="65"/>
  <c r="D5" i="65"/>
  <c r="D11" i="66"/>
  <c r="D10" i="66"/>
  <c r="D9" i="66"/>
  <c r="D8" i="66"/>
  <c r="D7" i="66"/>
  <c r="D6" i="66"/>
  <c r="D5" i="66"/>
  <c r="D13" i="67"/>
  <c r="D12" i="67"/>
  <c r="D11" i="67"/>
  <c r="D10" i="67"/>
  <c r="D9" i="67"/>
  <c r="D8" i="67"/>
  <c r="D7" i="67"/>
  <c r="D6" i="67"/>
  <c r="D5" i="67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D14" i="68"/>
  <c r="D13" i="68"/>
  <c r="D12" i="68"/>
  <c r="D11" i="68"/>
  <c r="D10" i="68"/>
  <c r="D9" i="68"/>
  <c r="D8" i="68"/>
  <c r="D7" i="68"/>
  <c r="D6" i="68"/>
  <c r="D5" i="68"/>
  <c r="D12" i="69"/>
  <c r="D11" i="69"/>
  <c r="D10" i="69"/>
  <c r="D9" i="69"/>
  <c r="D8" i="69"/>
  <c r="D7" i="69"/>
  <c r="D6" i="69"/>
  <c r="D5" i="69"/>
  <c r="D10" i="70"/>
  <c r="D9" i="70"/>
  <c r="D8" i="70"/>
  <c r="D7" i="70"/>
  <c r="D6" i="70"/>
  <c r="D5" i="70"/>
  <c r="D17" i="71"/>
  <c r="D16" i="71"/>
  <c r="D15" i="71"/>
  <c r="D14" i="71"/>
  <c r="D13" i="71"/>
  <c r="D12" i="71"/>
  <c r="D11" i="71"/>
  <c r="D10" i="71"/>
  <c r="D9" i="71"/>
  <c r="D8" i="71"/>
  <c r="D7" i="71"/>
  <c r="D6" i="71"/>
  <c r="D5" i="71"/>
  <c r="D18" i="74"/>
  <c r="D17" i="74"/>
  <c r="D16" i="74"/>
  <c r="D15" i="74"/>
  <c r="D14" i="74"/>
  <c r="D13" i="74"/>
  <c r="D12" i="74"/>
  <c r="D11" i="74"/>
  <c r="D10" i="74"/>
  <c r="D9" i="74"/>
  <c r="D8" i="74"/>
  <c r="D7" i="74"/>
  <c r="D6" i="74"/>
  <c r="D5" i="74"/>
  <c r="D29" i="75"/>
  <c r="D28" i="75"/>
  <c r="D27" i="75"/>
  <c r="D26" i="75"/>
  <c r="D25" i="75"/>
  <c r="D24" i="75"/>
  <c r="D23" i="75"/>
  <c r="D22" i="75"/>
  <c r="D21" i="75"/>
  <c r="D20" i="75"/>
  <c r="D19" i="75"/>
  <c r="D18" i="75"/>
  <c r="D17" i="75"/>
  <c r="D16" i="75"/>
  <c r="D15" i="75"/>
  <c r="D14" i="75"/>
  <c r="D13" i="75"/>
  <c r="D12" i="75"/>
  <c r="D11" i="75"/>
  <c r="D10" i="75"/>
  <c r="D9" i="75"/>
  <c r="D8" i="75"/>
  <c r="D7" i="75"/>
  <c r="D6" i="75"/>
  <c r="D5" i="75"/>
  <c r="D17" i="79"/>
  <c r="D16" i="79"/>
  <c r="D15" i="79"/>
  <c r="D14" i="79"/>
  <c r="D13" i="79"/>
  <c r="D12" i="79"/>
  <c r="D11" i="79"/>
  <c r="D10" i="79"/>
  <c r="D9" i="79"/>
  <c r="D8" i="79"/>
  <c r="D7" i="79"/>
  <c r="D6" i="79"/>
  <c r="D5" i="79"/>
  <c r="D18" i="77"/>
  <c r="D17" i="77"/>
  <c r="D16" i="77"/>
  <c r="D15" i="77"/>
  <c r="D14" i="77"/>
  <c r="D13" i="77"/>
  <c r="D12" i="77"/>
  <c r="D11" i="77"/>
  <c r="D10" i="77"/>
  <c r="D9" i="77"/>
  <c r="D8" i="77"/>
  <c r="D7" i="77"/>
  <c r="D6" i="77"/>
  <c r="D5" i="77"/>
  <c r="D16" i="76"/>
  <c r="D15" i="76"/>
  <c r="D14" i="76"/>
  <c r="D13" i="76"/>
  <c r="D12" i="76"/>
  <c r="D11" i="76"/>
  <c r="D10" i="76"/>
  <c r="D9" i="76"/>
  <c r="D8" i="76"/>
  <c r="D7" i="76"/>
  <c r="D6" i="76"/>
  <c r="D5" i="76"/>
  <c r="D16" i="81"/>
  <c r="D15" i="81"/>
  <c r="D14" i="81"/>
  <c r="D13" i="81"/>
  <c r="D12" i="81"/>
  <c r="D11" i="81"/>
  <c r="D10" i="81"/>
  <c r="D9" i="81"/>
  <c r="D8" i="81"/>
  <c r="D7" i="81"/>
  <c r="D6" i="81"/>
  <c r="D5" i="81"/>
  <c r="D22" i="78"/>
  <c r="D21" i="78"/>
  <c r="D20" i="78"/>
  <c r="D19" i="78"/>
  <c r="D18" i="78"/>
  <c r="D17" i="78"/>
  <c r="D16" i="78"/>
  <c r="D15" i="78"/>
  <c r="D14" i="78"/>
  <c r="D13" i="78"/>
  <c r="D12" i="78"/>
  <c r="D11" i="78"/>
  <c r="D10" i="78"/>
  <c r="D9" i="78"/>
  <c r="D8" i="78"/>
  <c r="D7" i="78"/>
  <c r="D6" i="78"/>
  <c r="D5" i="78"/>
  <c r="D24" i="80"/>
  <c r="D23" i="80"/>
  <c r="D22" i="80"/>
  <c r="D21" i="80"/>
  <c r="D20" i="80"/>
  <c r="D19" i="80"/>
  <c r="D18" i="80"/>
  <c r="D17" i="80"/>
  <c r="D16" i="80"/>
  <c r="D15" i="80"/>
  <c r="D14" i="80"/>
  <c r="D13" i="80"/>
  <c r="D12" i="80"/>
  <c r="D11" i="80"/>
  <c r="D10" i="80"/>
  <c r="D9" i="80"/>
  <c r="D8" i="80"/>
  <c r="D7" i="80"/>
  <c r="D6" i="80"/>
  <c r="D5" i="80"/>
  <c r="E26" i="82"/>
  <c r="E25" i="82"/>
  <c r="E24" i="82"/>
  <c r="E23" i="82"/>
  <c r="E22" i="82"/>
  <c r="E21" i="82"/>
  <c r="E20" i="82"/>
  <c r="E19" i="82"/>
  <c r="E18" i="82"/>
  <c r="E17" i="82"/>
  <c r="E16" i="82"/>
  <c r="E15" i="82"/>
  <c r="E14" i="82"/>
  <c r="E13" i="82"/>
  <c r="E12" i="82"/>
  <c r="E11" i="82"/>
  <c r="E10" i="82"/>
  <c r="E9" i="82"/>
  <c r="E8" i="82"/>
  <c r="E7" i="82"/>
  <c r="E6" i="82"/>
  <c r="E5" i="82"/>
  <c r="E30" i="85"/>
  <c r="E29" i="85"/>
  <c r="E28" i="85"/>
  <c r="E27" i="85"/>
  <c r="E26" i="85"/>
  <c r="E25" i="85"/>
  <c r="E24" i="85"/>
  <c r="E23" i="85"/>
  <c r="E22" i="85"/>
  <c r="E21" i="85"/>
  <c r="E20" i="85"/>
  <c r="E19" i="85"/>
  <c r="E18" i="85"/>
  <c r="E17" i="85"/>
  <c r="E16" i="85"/>
  <c r="E15" i="85"/>
  <c r="E14" i="85"/>
  <c r="E13" i="85"/>
  <c r="E12" i="85"/>
  <c r="E11" i="85"/>
  <c r="E10" i="85"/>
  <c r="E9" i="85"/>
  <c r="E8" i="85"/>
  <c r="E7" i="85"/>
  <c r="E6" i="85"/>
  <c r="E5" i="85"/>
  <c r="E18" i="83"/>
  <c r="E17" i="83"/>
  <c r="E16" i="83"/>
  <c r="E15" i="83"/>
  <c r="E14" i="83"/>
  <c r="E13" i="83"/>
  <c r="E12" i="83"/>
  <c r="E11" i="83"/>
  <c r="E10" i="83"/>
  <c r="E9" i="83"/>
  <c r="E8" i="83"/>
  <c r="E7" i="83"/>
  <c r="E6" i="83"/>
  <c r="E5" i="83"/>
  <c r="E8" i="84"/>
  <c r="E7" i="84"/>
  <c r="E6" i="84"/>
  <c r="E5" i="84"/>
  <c r="E13" i="87"/>
  <c r="E12" i="87"/>
  <c r="E11" i="87"/>
  <c r="E10" i="87"/>
  <c r="E9" i="87"/>
  <c r="E8" i="87"/>
  <c r="E7" i="87"/>
  <c r="E6" i="87"/>
  <c r="E5" i="87"/>
  <c r="E12" i="86"/>
  <c r="E11" i="86"/>
  <c r="E10" i="86"/>
  <c r="E9" i="86"/>
  <c r="E8" i="86"/>
  <c r="E7" i="86"/>
  <c r="E6" i="86"/>
  <c r="E5" i="86"/>
  <c r="E20" i="88"/>
  <c r="E19" i="88"/>
  <c r="E18" i="88"/>
  <c r="E17" i="88"/>
  <c r="E16" i="88"/>
  <c r="E15" i="88"/>
  <c r="E14" i="88"/>
  <c r="E13" i="88"/>
  <c r="E12" i="88"/>
  <c r="E11" i="88"/>
  <c r="E10" i="88"/>
  <c r="E9" i="88"/>
  <c r="E8" i="88"/>
  <c r="E7" i="88"/>
  <c r="E6" i="88"/>
  <c r="E5" i="88"/>
  <c r="F8" i="90"/>
  <c r="F7" i="90"/>
  <c r="F6" i="90"/>
  <c r="F5" i="90"/>
  <c r="F9" i="91"/>
  <c r="F8" i="91"/>
  <c r="F7" i="91"/>
  <c r="F6" i="91"/>
  <c r="F5" i="91"/>
  <c r="F12" i="89"/>
  <c r="F11" i="89"/>
  <c r="F10" i="89"/>
  <c r="F9" i="89"/>
  <c r="F8" i="89"/>
  <c r="F7" i="89"/>
  <c r="F6" i="89"/>
  <c r="F5" i="89"/>
  <c r="F20" i="93"/>
  <c r="F19" i="93"/>
  <c r="F18" i="93"/>
  <c r="F17" i="93"/>
  <c r="F16" i="93"/>
  <c r="F15" i="93"/>
  <c r="F14" i="93"/>
  <c r="F13" i="93"/>
  <c r="F12" i="93"/>
  <c r="F11" i="93"/>
  <c r="F10" i="93"/>
  <c r="F9" i="93"/>
  <c r="F8" i="93"/>
  <c r="F7" i="93"/>
  <c r="F6" i="93"/>
  <c r="F5" i="93"/>
  <c r="H22" i="97"/>
  <c r="H21" i="97"/>
  <c r="H20" i="97"/>
  <c r="H19" i="97"/>
  <c r="H18" i="97"/>
  <c r="H17" i="97"/>
  <c r="H16" i="97"/>
  <c r="H15" i="97"/>
  <c r="H14" i="97"/>
  <c r="H13" i="97"/>
  <c r="H12" i="97"/>
  <c r="H11" i="97"/>
  <c r="H10" i="97"/>
  <c r="H9" i="97"/>
  <c r="H8" i="97"/>
  <c r="H7" i="97"/>
  <c r="H6" i="97"/>
  <c r="H5" i="97"/>
  <c r="H10" i="98"/>
  <c r="H9" i="98"/>
  <c r="H8" i="98"/>
  <c r="H7" i="98"/>
  <c r="H6" i="98"/>
  <c r="H5" i="98"/>
  <c r="I21" i="96"/>
  <c r="I20" i="96"/>
  <c r="I19" i="96"/>
  <c r="I18" i="96"/>
  <c r="I17" i="96"/>
  <c r="I16" i="96"/>
  <c r="I15" i="96"/>
  <c r="I14" i="96"/>
  <c r="I13" i="96"/>
  <c r="I12" i="96"/>
  <c r="I11" i="96"/>
  <c r="I10" i="96"/>
  <c r="I9" i="96"/>
  <c r="I8" i="96"/>
  <c r="I7" i="96"/>
  <c r="I6" i="96"/>
  <c r="I5" i="96"/>
  <c r="H14" i="100"/>
  <c r="H13" i="100"/>
  <c r="H12" i="100"/>
  <c r="H11" i="100"/>
  <c r="H10" i="100"/>
  <c r="H9" i="100"/>
  <c r="H8" i="100"/>
  <c r="H7" i="100"/>
  <c r="H6" i="100"/>
  <c r="H5" i="100"/>
  <c r="I20" i="94"/>
  <c r="I19" i="94"/>
  <c r="I18" i="94"/>
  <c r="I17" i="94"/>
  <c r="I16" i="94"/>
  <c r="I15" i="94"/>
  <c r="I14" i="94"/>
  <c r="I13" i="94"/>
  <c r="I12" i="94"/>
  <c r="I11" i="94"/>
  <c r="I10" i="94"/>
  <c r="I9" i="94"/>
  <c r="I8" i="94"/>
  <c r="I7" i="94"/>
  <c r="I6" i="94"/>
  <c r="I5" i="94"/>
  <c r="H17" i="101"/>
  <c r="H16" i="101"/>
  <c r="H15" i="101"/>
  <c r="H14" i="101"/>
  <c r="H13" i="101"/>
  <c r="H12" i="101"/>
  <c r="H11" i="101"/>
  <c r="H10" i="101"/>
  <c r="H9" i="101"/>
  <c r="H8" i="101"/>
  <c r="H7" i="101"/>
  <c r="H6" i="101"/>
  <c r="H5" i="101"/>
  <c r="H9" i="102"/>
  <c r="H8" i="102"/>
  <c r="H7" i="102"/>
  <c r="H6" i="102"/>
  <c r="H5" i="102"/>
  <c r="H9" i="103"/>
  <c r="H8" i="103"/>
  <c r="H7" i="103"/>
  <c r="H6" i="103"/>
  <c r="H5" i="103"/>
  <c r="H20" i="99"/>
  <c r="H19" i="99"/>
  <c r="H18" i="99"/>
  <c r="H17" i="99"/>
  <c r="H16" i="99"/>
  <c r="H15" i="99"/>
  <c r="H14" i="99"/>
  <c r="H13" i="99"/>
  <c r="H12" i="99"/>
  <c r="H11" i="99"/>
  <c r="H10" i="99"/>
  <c r="H9" i="99"/>
  <c r="H8" i="99"/>
  <c r="H7" i="99"/>
  <c r="H6" i="99"/>
  <c r="H5" i="99"/>
  <c r="H18" i="104"/>
  <c r="H17" i="104"/>
  <c r="H16" i="104"/>
  <c r="H15" i="104"/>
  <c r="H14" i="104"/>
  <c r="H13" i="104"/>
  <c r="H12" i="104"/>
  <c r="H11" i="104"/>
  <c r="H10" i="104"/>
  <c r="H9" i="104"/>
  <c r="H8" i="104"/>
  <c r="H7" i="104"/>
  <c r="H6" i="104"/>
  <c r="H5" i="104"/>
  <c r="H11" i="105"/>
  <c r="H10" i="105"/>
  <c r="H9" i="105"/>
  <c r="H8" i="105"/>
  <c r="H7" i="105"/>
  <c r="H6" i="105"/>
  <c r="H5" i="105"/>
  <c r="H6" i="107"/>
  <c r="H5" i="107"/>
  <c r="H15" i="109"/>
  <c r="H14" i="109"/>
  <c r="H13" i="109"/>
  <c r="H12" i="109"/>
  <c r="H11" i="109"/>
  <c r="H10" i="109"/>
  <c r="H9" i="109"/>
  <c r="H8" i="109"/>
  <c r="H7" i="109"/>
  <c r="H6" i="109"/>
  <c r="H5" i="109"/>
  <c r="H14" i="106"/>
  <c r="H13" i="106"/>
  <c r="H12" i="106"/>
  <c r="H11" i="106"/>
  <c r="H10" i="106"/>
  <c r="H9" i="106"/>
  <c r="H8" i="106"/>
  <c r="H7" i="106"/>
  <c r="H6" i="106"/>
  <c r="H5" i="106"/>
  <c r="H14" i="113"/>
  <c r="H13" i="113"/>
  <c r="H12" i="113"/>
  <c r="H11" i="113"/>
  <c r="H10" i="113"/>
  <c r="H9" i="113"/>
  <c r="H8" i="113"/>
  <c r="H7" i="113"/>
  <c r="H6" i="113"/>
  <c r="H5" i="113"/>
  <c r="H10" i="114"/>
  <c r="H9" i="114"/>
  <c r="H8" i="114"/>
  <c r="H7" i="114"/>
  <c r="H6" i="114"/>
  <c r="H5" i="114"/>
  <c r="H8" i="118"/>
  <c r="H7" i="118"/>
  <c r="H6" i="118"/>
  <c r="H5" i="118"/>
  <c r="H12" i="115"/>
  <c r="H11" i="115"/>
  <c r="H10" i="115"/>
  <c r="H9" i="115"/>
  <c r="H8" i="115"/>
  <c r="H7" i="115"/>
  <c r="H6" i="115"/>
  <c r="H5" i="115"/>
  <c r="H6" i="112"/>
  <c r="H5" i="112"/>
  <c r="H23" i="122"/>
  <c r="H22" i="122"/>
  <c r="H21" i="122"/>
  <c r="H20" i="122"/>
  <c r="H19" i="122"/>
  <c r="H18" i="122"/>
  <c r="H17" i="122"/>
  <c r="H16" i="122"/>
  <c r="H15" i="122"/>
  <c r="H14" i="122"/>
  <c r="H13" i="122"/>
  <c r="H12" i="122"/>
  <c r="H11" i="122"/>
  <c r="H10" i="122"/>
  <c r="H9" i="122"/>
  <c r="H8" i="122"/>
  <c r="H7" i="122"/>
  <c r="H6" i="122"/>
  <c r="H5" i="122"/>
  <c r="H13" i="119"/>
  <c r="H12" i="119"/>
  <c r="H11" i="119"/>
  <c r="H10" i="119"/>
  <c r="H9" i="119"/>
  <c r="H8" i="119"/>
  <c r="H7" i="119"/>
  <c r="H5" i="119"/>
  <c r="H6" i="116"/>
  <c r="H26" i="117"/>
  <c r="H25" i="117"/>
  <c r="H24" i="117"/>
  <c r="H23" i="117"/>
  <c r="H22" i="117"/>
  <c r="H21" i="117"/>
  <c r="H20" i="117"/>
  <c r="H19" i="117"/>
  <c r="H18" i="117"/>
  <c r="H17" i="117"/>
  <c r="H16" i="117"/>
  <c r="H15" i="117"/>
  <c r="H14" i="117"/>
  <c r="H13" i="117"/>
  <c r="H12" i="117"/>
  <c r="H11" i="117"/>
  <c r="H10" i="117"/>
  <c r="H9" i="117"/>
  <c r="H8" i="117"/>
  <c r="H7" i="117"/>
  <c r="H6" i="117"/>
  <c r="H5" i="117"/>
  <c r="H14" i="120"/>
  <c r="H13" i="120"/>
  <c r="H12" i="120"/>
  <c r="H11" i="120"/>
  <c r="H10" i="120"/>
  <c r="H9" i="120"/>
  <c r="H8" i="120"/>
  <c r="H7" i="120"/>
  <c r="H6" i="120"/>
  <c r="H5" i="120"/>
  <c r="F12" i="124"/>
  <c r="F11" i="124"/>
  <c r="F10" i="124"/>
  <c r="F9" i="124"/>
  <c r="F8" i="124"/>
  <c r="F7" i="124"/>
  <c r="F6" i="124"/>
  <c r="F5" i="124"/>
  <c r="F9" i="111"/>
  <c r="F8" i="111"/>
  <c r="F7" i="111"/>
  <c r="H14" i="126"/>
  <c r="H13" i="126"/>
  <c r="H12" i="126"/>
  <c r="H11" i="126"/>
  <c r="H10" i="126"/>
  <c r="H9" i="126"/>
  <c r="H8" i="126"/>
  <c r="H7" i="126"/>
  <c r="H6" i="126"/>
  <c r="H5" i="126"/>
  <c r="H30" i="128"/>
  <c r="H29" i="128"/>
  <c r="H28" i="128"/>
  <c r="H27" i="128"/>
  <c r="H26" i="128"/>
  <c r="H25" i="128"/>
  <c r="H24" i="128"/>
  <c r="H23" i="128"/>
  <c r="H22" i="128"/>
  <c r="H21" i="128"/>
  <c r="H20" i="128"/>
  <c r="H19" i="128"/>
  <c r="H18" i="128"/>
  <c r="H17" i="128"/>
  <c r="H16" i="128"/>
  <c r="H15" i="128"/>
  <c r="H14" i="128"/>
  <c r="H13" i="128"/>
  <c r="H12" i="128"/>
  <c r="H11" i="128"/>
  <c r="H10" i="128"/>
  <c r="H9" i="128"/>
  <c r="H8" i="128"/>
  <c r="H7" i="128"/>
  <c r="H6" i="128"/>
  <c r="H5" i="128"/>
  <c r="H18" i="130"/>
  <c r="H17" i="130"/>
  <c r="H16" i="130"/>
  <c r="H15" i="130"/>
  <c r="H14" i="130"/>
  <c r="H13" i="130"/>
  <c r="H12" i="130"/>
  <c r="H11" i="130"/>
  <c r="H10" i="130"/>
  <c r="H9" i="130"/>
  <c r="H8" i="130"/>
  <c r="H7" i="130"/>
  <c r="H6" i="130"/>
  <c r="H5" i="130"/>
  <c r="G34" i="131"/>
  <c r="G33" i="131"/>
  <c r="G32" i="131"/>
  <c r="G31" i="131"/>
  <c r="G30" i="131"/>
  <c r="G29" i="131"/>
  <c r="G28" i="131"/>
  <c r="G27" i="131"/>
  <c r="G26" i="131"/>
  <c r="G25" i="131"/>
  <c r="G24" i="131"/>
  <c r="G23" i="131"/>
  <c r="G22" i="131"/>
  <c r="G21" i="131"/>
  <c r="G20" i="131"/>
  <c r="G19" i="131"/>
  <c r="G18" i="131"/>
  <c r="G17" i="131"/>
  <c r="G16" i="131"/>
  <c r="G15" i="131"/>
  <c r="G14" i="131"/>
  <c r="G13" i="131"/>
  <c r="G12" i="131"/>
  <c r="G11" i="131"/>
  <c r="G10" i="131"/>
  <c r="G9" i="131"/>
  <c r="G8" i="131"/>
  <c r="G7" i="131"/>
  <c r="G6" i="131"/>
  <c r="G5" i="131"/>
  <c r="G14" i="133"/>
  <c r="G13" i="133"/>
  <c r="G12" i="133"/>
  <c r="G11" i="133"/>
  <c r="G10" i="133"/>
  <c r="G9" i="133"/>
  <c r="G8" i="133"/>
  <c r="G7" i="133"/>
  <c r="G6" i="133"/>
  <c r="G5" i="133"/>
  <c r="H18" i="134"/>
  <c r="H17" i="134"/>
  <c r="H16" i="134"/>
  <c r="H15" i="134"/>
  <c r="H14" i="134"/>
  <c r="H13" i="134"/>
  <c r="H12" i="134"/>
  <c r="H11" i="134"/>
  <c r="H10" i="134"/>
  <c r="H9" i="134"/>
  <c r="H8" i="134"/>
  <c r="H7" i="134"/>
  <c r="H6" i="134"/>
  <c r="H5" i="134"/>
  <c r="G21" i="135"/>
  <c r="G20" i="135"/>
  <c r="G19" i="135"/>
  <c r="G18" i="135"/>
  <c r="G17" i="135"/>
  <c r="G16" i="135"/>
  <c r="G15" i="135"/>
  <c r="G14" i="135"/>
  <c r="G13" i="135"/>
  <c r="G12" i="135"/>
  <c r="G11" i="135"/>
  <c r="G10" i="135"/>
  <c r="G9" i="135"/>
  <c r="G8" i="135"/>
  <c r="G7" i="135"/>
  <c r="G6" i="135"/>
  <c r="G5" i="135"/>
  <c r="G22" i="136"/>
  <c r="G21" i="136"/>
  <c r="G20" i="136"/>
  <c r="G19" i="136"/>
  <c r="G18" i="136"/>
  <c r="G17" i="136"/>
  <c r="G16" i="136"/>
  <c r="G15" i="136"/>
  <c r="G14" i="136"/>
  <c r="G13" i="136"/>
  <c r="G12" i="136"/>
  <c r="G11" i="136"/>
  <c r="G10" i="136"/>
  <c r="G9" i="136"/>
  <c r="G8" i="136"/>
  <c r="G7" i="136"/>
  <c r="G6" i="136"/>
  <c r="G5" i="136"/>
  <c r="G19" i="139"/>
  <c r="G18" i="139"/>
  <c r="G17" i="139"/>
  <c r="G16" i="139"/>
  <c r="G15" i="139"/>
  <c r="G14" i="139"/>
  <c r="G13" i="139"/>
  <c r="G12" i="139"/>
  <c r="G11" i="139"/>
  <c r="G10" i="139"/>
  <c r="G9" i="139"/>
  <c r="G8" i="139"/>
  <c r="G7" i="139"/>
  <c r="G6" i="139"/>
  <c r="G5" i="139"/>
  <c r="G27" i="137"/>
  <c r="G26" i="137"/>
  <c r="G25" i="137"/>
  <c r="G24" i="137"/>
  <c r="G23" i="137"/>
  <c r="G22" i="137"/>
  <c r="G21" i="137"/>
  <c r="G20" i="137"/>
  <c r="G19" i="137"/>
  <c r="G18" i="137"/>
  <c r="G17" i="137"/>
  <c r="G16" i="137"/>
  <c r="G15" i="137"/>
  <c r="G14" i="137"/>
  <c r="G13" i="137"/>
  <c r="G12" i="137"/>
  <c r="G11" i="137"/>
  <c r="G10" i="137"/>
  <c r="G9" i="137"/>
  <c r="G8" i="137"/>
  <c r="G7" i="137"/>
  <c r="G6" i="137"/>
  <c r="G5" i="137"/>
  <c r="G12" i="140"/>
  <c r="G11" i="140"/>
  <c r="G10" i="140"/>
  <c r="G9" i="140"/>
  <c r="G8" i="140"/>
  <c r="G7" i="140"/>
  <c r="G6" i="140"/>
  <c r="G5" i="140"/>
  <c r="G14" i="144"/>
  <c r="G13" i="144"/>
  <c r="G12" i="144"/>
  <c r="G11" i="144"/>
  <c r="G10" i="144"/>
  <c r="G9" i="144"/>
  <c r="G8" i="144"/>
  <c r="G7" i="144"/>
  <c r="G6" i="144"/>
  <c r="G5" i="144"/>
  <c r="F11" i="143"/>
  <c r="F10" i="143"/>
  <c r="F9" i="143"/>
  <c r="F8" i="143"/>
  <c r="F7" i="143"/>
  <c r="F6" i="143"/>
  <c r="F5" i="143"/>
  <c r="G18" i="145"/>
  <c r="G17" i="145"/>
  <c r="G16" i="145"/>
  <c r="G15" i="145"/>
  <c r="G14" i="145"/>
  <c r="G13" i="145"/>
  <c r="G12" i="145"/>
  <c r="G11" i="145"/>
  <c r="G10" i="145"/>
  <c r="G9" i="145"/>
  <c r="G8" i="145"/>
  <c r="G7" i="145"/>
  <c r="G6" i="145"/>
  <c r="G5" i="145"/>
  <c r="G12" i="147"/>
  <c r="G11" i="147"/>
  <c r="G10" i="147"/>
  <c r="G9" i="147"/>
  <c r="G8" i="147"/>
  <c r="G7" i="147"/>
  <c r="G6" i="147"/>
  <c r="G5" i="147"/>
  <c r="G5" i="156"/>
  <c r="G28" i="146"/>
  <c r="G27" i="146"/>
  <c r="G26" i="146"/>
  <c r="G25" i="146"/>
  <c r="G24" i="146"/>
  <c r="G23" i="146"/>
  <c r="G22" i="146"/>
  <c r="G21" i="146"/>
  <c r="G20" i="146"/>
  <c r="G19" i="146"/>
  <c r="G18" i="146"/>
  <c r="G17" i="146"/>
  <c r="G16" i="146"/>
  <c r="G15" i="146"/>
  <c r="G14" i="146"/>
  <c r="G13" i="146"/>
  <c r="G12" i="146"/>
  <c r="G11" i="146"/>
  <c r="G10" i="146"/>
  <c r="G9" i="146"/>
  <c r="G8" i="146"/>
  <c r="G7" i="146"/>
  <c r="G6" i="146"/>
  <c r="G5" i="146"/>
  <c r="G16" i="148"/>
  <c r="G15" i="148"/>
  <c r="G14" i="148"/>
  <c r="G13" i="148"/>
  <c r="G12" i="148"/>
  <c r="G11" i="148"/>
  <c r="G10" i="148"/>
  <c r="G9" i="148"/>
  <c r="G8" i="148"/>
  <c r="G7" i="148"/>
  <c r="G6" i="148"/>
  <c r="G5" i="148"/>
  <c r="G9" i="150"/>
  <c r="G8" i="150"/>
  <c r="G7" i="150"/>
  <c r="G6" i="150"/>
  <c r="G5" i="150"/>
  <c r="G22" i="149"/>
  <c r="G21" i="149"/>
  <c r="G20" i="149"/>
  <c r="G19" i="149"/>
  <c r="G18" i="149"/>
  <c r="G17" i="149"/>
  <c r="G16" i="149"/>
  <c r="G15" i="149"/>
  <c r="G14" i="149"/>
  <c r="G13" i="149"/>
  <c r="G12" i="149"/>
  <c r="G11" i="149"/>
  <c r="G10" i="149"/>
  <c r="G9" i="149"/>
  <c r="G8" i="149"/>
  <c r="G7" i="149"/>
  <c r="G6" i="149"/>
  <c r="G5" i="149"/>
  <c r="G13" i="151"/>
  <c r="G12" i="151"/>
  <c r="G11" i="151"/>
  <c r="G10" i="151"/>
  <c r="G9" i="151"/>
  <c r="G8" i="151"/>
  <c r="G7" i="151"/>
  <c r="G6" i="151"/>
  <c r="G5" i="151"/>
  <c r="G20" i="154"/>
  <c r="G19" i="154"/>
  <c r="G18" i="154"/>
  <c r="G17" i="154"/>
  <c r="G16" i="154"/>
  <c r="G15" i="154"/>
  <c r="G14" i="154"/>
  <c r="G13" i="154"/>
  <c r="G12" i="154"/>
  <c r="G11" i="154"/>
  <c r="G10" i="154"/>
  <c r="G9" i="154"/>
  <c r="G8" i="154"/>
  <c r="G7" i="154"/>
  <c r="G6" i="154"/>
  <c r="G5" i="154"/>
  <c r="G5" i="157"/>
  <c r="G10" i="153"/>
  <c r="G9" i="153"/>
  <c r="G8" i="153"/>
  <c r="G7" i="153"/>
  <c r="G6" i="153"/>
  <c r="G5" i="153"/>
  <c r="G15" i="152"/>
  <c r="G14" i="152"/>
  <c r="G13" i="152"/>
  <c r="G12" i="152"/>
  <c r="G11" i="152"/>
  <c r="G10" i="152"/>
  <c r="G9" i="152"/>
  <c r="G8" i="152"/>
  <c r="G7" i="152"/>
  <c r="G6" i="152"/>
  <c r="G5" i="152"/>
  <c r="G10" i="163"/>
  <c r="G9" i="163"/>
  <c r="G8" i="163"/>
  <c r="G7" i="163"/>
  <c r="G6" i="163"/>
  <c r="G5" i="163"/>
  <c r="G9" i="161"/>
  <c r="G8" i="161"/>
  <c r="G7" i="161"/>
  <c r="G6" i="161"/>
  <c r="G5" i="161"/>
  <c r="G14" i="159"/>
  <c r="G13" i="159"/>
  <c r="G12" i="159"/>
  <c r="G5" i="159"/>
  <c r="G12" i="158"/>
  <c r="G11" i="158"/>
  <c r="G7" i="158"/>
  <c r="G6" i="158"/>
  <c r="G24" i="155"/>
  <c r="G23" i="155"/>
  <c r="G22" i="155"/>
  <c r="G21" i="155"/>
  <c r="G20" i="155"/>
  <c r="G19" i="155"/>
  <c r="G18" i="155"/>
  <c r="G17" i="155"/>
  <c r="G16" i="155"/>
  <c r="G15" i="155"/>
  <c r="G14" i="155"/>
  <c r="G13" i="155"/>
  <c r="G12" i="155"/>
  <c r="G11" i="155"/>
  <c r="G10" i="155"/>
  <c r="G9" i="155"/>
  <c r="G8" i="155"/>
  <c r="G7" i="155"/>
  <c r="G6" i="155"/>
  <c r="G5" i="155"/>
  <c r="G9" i="168"/>
  <c r="G8" i="168"/>
  <c r="G7" i="168"/>
  <c r="G6" i="168"/>
  <c r="G5" i="168"/>
  <c r="G13" i="160"/>
  <c r="G12" i="160"/>
  <c r="G11" i="160"/>
  <c r="G10" i="160"/>
  <c r="G9" i="160"/>
  <c r="G8" i="160"/>
  <c r="G7" i="160"/>
  <c r="G6" i="160"/>
  <c r="G5" i="160"/>
  <c r="G22" i="162"/>
  <c r="G21" i="162"/>
  <c r="G20" i="162"/>
  <c r="G19" i="162"/>
  <c r="G18" i="162"/>
  <c r="G17" i="162"/>
  <c r="G16" i="162"/>
  <c r="G15" i="162"/>
  <c r="G14" i="162"/>
  <c r="G13" i="162"/>
  <c r="G12" i="162"/>
  <c r="G11" i="162"/>
  <c r="G10" i="162"/>
  <c r="G9" i="162"/>
  <c r="G8" i="162"/>
  <c r="G7" i="162"/>
  <c r="G6" i="162"/>
  <c r="G5" i="162"/>
  <c r="G25" i="164"/>
  <c r="G24" i="164"/>
  <c r="G23" i="164"/>
  <c r="G22" i="164"/>
  <c r="G21" i="164"/>
  <c r="G20" i="164"/>
  <c r="G19" i="164"/>
  <c r="G18" i="164"/>
  <c r="G17" i="164"/>
  <c r="G16" i="164"/>
  <c r="G15" i="164"/>
  <c r="G14" i="164"/>
  <c r="G13" i="164"/>
  <c r="G12" i="164"/>
  <c r="G11" i="164"/>
  <c r="G10" i="164"/>
  <c r="G9" i="164"/>
  <c r="G8" i="164"/>
  <c r="G7" i="164"/>
  <c r="G6" i="164"/>
  <c r="G5" i="164"/>
  <c r="G8" i="165"/>
  <c r="G7" i="165"/>
  <c r="G6" i="165"/>
  <c r="G5" i="165"/>
  <c r="I9" i="169"/>
  <c r="I8" i="169"/>
  <c r="I7" i="169"/>
  <c r="I6" i="169"/>
  <c r="I5" i="169"/>
  <c r="G15" i="170"/>
  <c r="G14" i="170"/>
  <c r="G13" i="170"/>
  <c r="G12" i="170"/>
  <c r="G11" i="170"/>
  <c r="G10" i="170"/>
  <c r="G9" i="170"/>
  <c r="G8" i="170"/>
  <c r="G7" i="170"/>
  <c r="G6" i="170"/>
  <c r="G5" i="170"/>
  <c r="G58" i="166"/>
  <c r="G57" i="166"/>
  <c r="G56" i="166"/>
  <c r="G55" i="166"/>
  <c r="G54" i="166"/>
  <c r="G53" i="166"/>
  <c r="G52" i="166"/>
  <c r="G51" i="166"/>
  <c r="G50" i="166"/>
  <c r="G49" i="166"/>
  <c r="G48" i="166"/>
  <c r="G47" i="166"/>
  <c r="G46" i="166"/>
  <c r="G45" i="166"/>
  <c r="G44" i="166"/>
  <c r="G43" i="166"/>
  <c r="G42" i="166"/>
  <c r="G41" i="166"/>
  <c r="G40" i="166"/>
  <c r="G39" i="166"/>
  <c r="G38" i="166"/>
  <c r="G37" i="166"/>
  <c r="G36" i="166"/>
  <c r="G35" i="166"/>
  <c r="G34" i="166"/>
  <c r="G33" i="166"/>
  <c r="G32" i="166"/>
  <c r="G31" i="166"/>
  <c r="G30" i="166"/>
  <c r="G29" i="166"/>
  <c r="G28" i="166"/>
  <c r="G27" i="166"/>
  <c r="G26" i="166"/>
  <c r="G25" i="166"/>
  <c r="G24" i="166"/>
  <c r="G23" i="166"/>
  <c r="G22" i="166"/>
  <c r="G21" i="166"/>
  <c r="G20" i="166"/>
  <c r="G19" i="166"/>
  <c r="G18" i="166"/>
  <c r="G17" i="166"/>
  <c r="G16" i="166"/>
  <c r="G15" i="166"/>
  <c r="G14" i="166"/>
  <c r="G13" i="166"/>
  <c r="G12" i="166"/>
  <c r="G11" i="166"/>
  <c r="G10" i="166"/>
  <c r="G9" i="166"/>
  <c r="G8" i="166"/>
  <c r="G7" i="166"/>
  <c r="G6" i="166"/>
  <c r="G5" i="166"/>
  <c r="G25" i="167"/>
  <c r="G24" i="167"/>
  <c r="G23" i="167"/>
  <c r="G22" i="167"/>
  <c r="G21" i="167"/>
  <c r="G20" i="167"/>
  <c r="G19" i="167"/>
  <c r="G18" i="167"/>
  <c r="G17" i="167"/>
  <c r="G16" i="167"/>
  <c r="G15" i="167"/>
  <c r="G14" i="167"/>
  <c r="G13" i="167"/>
  <c r="G12" i="167"/>
  <c r="G11" i="167"/>
  <c r="G10" i="167"/>
  <c r="G9" i="167"/>
  <c r="G8" i="167"/>
  <c r="G7" i="167"/>
  <c r="G20" i="171"/>
  <c r="G19" i="171"/>
  <c r="G18" i="171"/>
  <c r="G17" i="171"/>
  <c r="G16" i="171"/>
  <c r="G15" i="171"/>
  <c r="G14" i="171"/>
  <c r="G13" i="171"/>
  <c r="G12" i="171"/>
  <c r="G11" i="171"/>
  <c r="G10" i="171"/>
  <c r="G9" i="171"/>
  <c r="G8" i="171"/>
  <c r="G7" i="171"/>
  <c r="G6" i="171"/>
  <c r="G5" i="171"/>
  <c r="G18" i="172"/>
  <c r="G17" i="172"/>
  <c r="G16" i="172"/>
  <c r="G15" i="172"/>
  <c r="G14" i="172"/>
  <c r="G13" i="172"/>
  <c r="G12" i="172"/>
  <c r="G11" i="172"/>
  <c r="G10" i="172"/>
  <c r="G9" i="172"/>
  <c r="G8" i="172"/>
  <c r="G7" i="172"/>
  <c r="G6" i="172"/>
  <c r="G5" i="172"/>
  <c r="G35" i="173"/>
  <c r="G34" i="173"/>
  <c r="G33" i="173"/>
  <c r="G32" i="173"/>
  <c r="G31" i="173"/>
  <c r="G30" i="173"/>
  <c r="G29" i="173"/>
  <c r="G28" i="173"/>
  <c r="G27" i="173"/>
  <c r="G26" i="173"/>
  <c r="G25" i="173"/>
  <c r="G24" i="173"/>
  <c r="G23" i="173"/>
  <c r="G22" i="173"/>
  <c r="G21" i="173"/>
  <c r="G20" i="173"/>
  <c r="G19" i="173"/>
  <c r="G18" i="173"/>
  <c r="G17" i="173"/>
  <c r="G16" i="173"/>
  <c r="G15" i="173"/>
  <c r="G14" i="173"/>
  <c r="G13" i="173"/>
  <c r="G12" i="173"/>
  <c r="G11" i="173"/>
  <c r="G10" i="173"/>
  <c r="G9" i="173"/>
  <c r="G8" i="173"/>
  <c r="G7" i="173"/>
  <c r="G5" i="173"/>
  <c r="G8" i="174"/>
  <c r="G7" i="174"/>
  <c r="G6" i="174"/>
  <c r="G17" i="175"/>
  <c r="G16" i="175"/>
  <c r="G15" i="175"/>
  <c r="G14" i="175"/>
  <c r="G13" i="175"/>
  <c r="G12" i="175"/>
  <c r="G11" i="175"/>
  <c r="G10" i="175"/>
  <c r="G9" i="175"/>
  <c r="G8" i="175"/>
  <c r="G5" i="175"/>
  <c r="G15" i="176"/>
  <c r="G17" i="176"/>
  <c r="G16" i="176"/>
  <c r="G7" i="176"/>
  <c r="G9" i="182" l="1"/>
  <c r="G12" i="182"/>
  <c r="G11" i="182"/>
  <c r="G8" i="182"/>
  <c r="G7" i="182"/>
  <c r="G5" i="182"/>
  <c r="G10" i="182"/>
  <c r="G6" i="182"/>
  <c r="G13" i="182"/>
  <c r="G14" i="182"/>
  <c r="G10" i="181"/>
  <c r="G9" i="181"/>
  <c r="G5" i="181"/>
  <c r="G6" i="181"/>
  <c r="G13" i="181"/>
  <c r="G12" i="181"/>
  <c r="G11" i="181"/>
  <c r="G8" i="181"/>
  <c r="G7" i="181"/>
  <c r="G14" i="181"/>
  <c r="E2" i="180"/>
  <c r="G5" i="178"/>
  <c r="G16" i="178"/>
  <c r="G7" i="178"/>
  <c r="H2" i="178"/>
  <c r="G9" i="178"/>
  <c r="G11" i="178"/>
  <c r="G13" i="178"/>
  <c r="G8" i="178"/>
  <c r="G14" i="178"/>
  <c r="G15" i="178"/>
  <c r="G12" i="178"/>
  <c r="G6" i="178"/>
  <c r="G10" i="178"/>
  <c r="E2" i="177"/>
  <c r="I2" i="176"/>
  <c r="I2" i="175"/>
  <c r="H2" i="175" s="1"/>
  <c r="G13" i="180" l="1"/>
  <c r="G23" i="180"/>
  <c r="G24" i="180"/>
  <c r="G16" i="180"/>
  <c r="G18" i="180"/>
  <c r="G19" i="180"/>
  <c r="G20" i="180"/>
  <c r="G21" i="180"/>
  <c r="G22" i="180"/>
  <c r="G15" i="180"/>
  <c r="G17" i="180"/>
  <c r="G14" i="180"/>
  <c r="G12" i="180"/>
  <c r="G11" i="180"/>
  <c r="G10" i="180"/>
  <c r="G9" i="180"/>
  <c r="G8" i="180"/>
  <c r="G6" i="180"/>
  <c r="G5" i="180"/>
  <c r="G7" i="180"/>
  <c r="H2" i="176"/>
  <c r="G14" i="176"/>
  <c r="G5" i="177"/>
  <c r="G19" i="177"/>
  <c r="G20" i="177"/>
  <c r="G25" i="177"/>
  <c r="G26" i="177"/>
  <c r="G9" i="177"/>
  <c r="G7" i="177"/>
  <c r="G14" i="177"/>
  <c r="G22" i="177"/>
  <c r="G24" i="177"/>
  <c r="G11" i="177"/>
  <c r="G6" i="177"/>
  <c r="G18" i="177"/>
  <c r="G15" i="177"/>
  <c r="G16" i="177"/>
  <c r="G8" i="177"/>
  <c r="G29" i="177"/>
  <c r="G28" i="177"/>
  <c r="G30" i="177"/>
  <c r="G12" i="177"/>
  <c r="G10" i="177"/>
  <c r="G13" i="177"/>
  <c r="G27" i="177"/>
  <c r="G17" i="177"/>
  <c r="G21" i="177"/>
  <c r="G23" i="177"/>
  <c r="E2" i="176"/>
  <c r="E2" i="175"/>
  <c r="I2" i="174"/>
  <c r="E2" i="174" s="1"/>
  <c r="G5" i="174" s="1"/>
  <c r="I2" i="173"/>
  <c r="E2" i="173" s="1"/>
  <c r="G6" i="173" s="1"/>
  <c r="I2" i="172"/>
  <c r="H2" i="172" s="1"/>
  <c r="H2" i="171"/>
  <c r="G6" i="175" l="1"/>
  <c r="G7" i="175"/>
  <c r="G13" i="176"/>
  <c r="G10" i="176"/>
  <c r="G9" i="176"/>
  <c r="G8" i="176"/>
  <c r="G6" i="176"/>
  <c r="G12" i="176"/>
  <c r="G11" i="176"/>
  <c r="H2" i="174"/>
  <c r="H2" i="173"/>
  <c r="E2" i="172"/>
  <c r="E2" i="171"/>
  <c r="I2" i="170" l="1"/>
  <c r="H2" i="170" s="1"/>
  <c r="K2" i="169"/>
  <c r="J2" i="169" s="1"/>
  <c r="E2" i="170" l="1"/>
  <c r="G2" i="169"/>
  <c r="I2" i="168"/>
  <c r="H2" i="168" s="1"/>
  <c r="E2" i="168" l="1"/>
  <c r="I2" i="167"/>
  <c r="H2" i="167" s="1"/>
  <c r="E2" i="167" l="1"/>
  <c r="I2" i="166"/>
  <c r="H2" i="166" s="1"/>
  <c r="I2" i="165"/>
  <c r="H2" i="165" s="1"/>
  <c r="I2" i="164"/>
  <c r="H2" i="164" s="1"/>
  <c r="I2" i="163"/>
  <c r="H2" i="163" s="1"/>
  <c r="I2" i="162"/>
  <c r="H2" i="162" s="1"/>
  <c r="I2" i="161"/>
  <c r="H2" i="161" s="1"/>
  <c r="I2" i="160"/>
  <c r="H2" i="160" s="1"/>
  <c r="I2" i="159"/>
  <c r="H2" i="159" s="1"/>
  <c r="I2" i="158"/>
  <c r="E2" i="158" s="1"/>
  <c r="I2" i="157"/>
  <c r="H2" i="157" s="1"/>
  <c r="I2" i="156"/>
  <c r="H2" i="156" s="1"/>
  <c r="G5" i="167" l="1"/>
  <c r="G6" i="167"/>
  <c r="E2" i="166"/>
  <c r="E2" i="165"/>
  <c r="E2" i="164"/>
  <c r="E2" i="163"/>
  <c r="E2" i="162"/>
  <c r="E2" i="161"/>
  <c r="E2" i="160"/>
  <c r="E2" i="159"/>
  <c r="G6" i="159" s="1"/>
  <c r="H2" i="158"/>
  <c r="G10" i="158"/>
  <c r="G9" i="158"/>
  <c r="G8" i="158"/>
  <c r="G5" i="158"/>
  <c r="E2" i="157"/>
  <c r="E2" i="156"/>
  <c r="I2" i="155"/>
  <c r="E2" i="155" s="1"/>
  <c r="I2" i="154"/>
  <c r="H2" i="154" s="1"/>
  <c r="I2" i="153"/>
  <c r="H2" i="153" s="1"/>
  <c r="I2" i="152"/>
  <c r="H2" i="152" s="1"/>
  <c r="G7" i="159" l="1"/>
  <c r="G11" i="159"/>
  <c r="G10" i="159"/>
  <c r="G9" i="159"/>
  <c r="G8" i="159"/>
  <c r="H2" i="155"/>
  <c r="E2" i="154"/>
  <c r="E2" i="153"/>
  <c r="E2" i="152"/>
  <c r="I2" i="151"/>
  <c r="E2" i="151" s="1"/>
  <c r="H2" i="151" l="1"/>
  <c r="I2" i="150" l="1"/>
  <c r="H2" i="150" s="1"/>
  <c r="I2" i="149"/>
  <c r="H2" i="149" s="1"/>
  <c r="E2" i="150" l="1"/>
  <c r="E2" i="149"/>
  <c r="I2" i="148"/>
  <c r="H2" i="148" s="1"/>
  <c r="E2" i="148" l="1"/>
  <c r="I2" i="147" l="1"/>
  <c r="E2" i="147" s="1"/>
  <c r="I2" i="146"/>
  <c r="H2" i="146" s="1"/>
  <c r="I2" i="145"/>
  <c r="H2" i="145" s="1"/>
  <c r="H2" i="147" l="1"/>
  <c r="E2" i="146"/>
  <c r="E2" i="145"/>
  <c r="I2" i="144" l="1"/>
  <c r="H2" i="144" s="1"/>
  <c r="H2" i="143"/>
  <c r="D2" i="143" s="1"/>
  <c r="G2" i="143" l="1"/>
  <c r="E2" i="144"/>
  <c r="I2" i="140"/>
  <c r="H2" i="140" s="1"/>
  <c r="I2" i="139"/>
  <c r="H2" i="139" s="1"/>
  <c r="E2" i="140" l="1"/>
  <c r="E2" i="139"/>
  <c r="I2" i="137" l="1"/>
  <c r="H2" i="137" s="1"/>
  <c r="I2" i="136"/>
  <c r="H2" i="136" s="1"/>
  <c r="I2" i="135"/>
  <c r="E2" i="135" s="1"/>
  <c r="E2" i="137" l="1"/>
  <c r="E2" i="136"/>
  <c r="H2" i="135"/>
  <c r="J2" i="134"/>
  <c r="I2" i="134" s="1"/>
  <c r="F2" i="134" l="1"/>
  <c r="I2" i="133" l="1"/>
  <c r="H2" i="133" s="1"/>
  <c r="E2" i="133" l="1"/>
  <c r="I2" i="131"/>
  <c r="E2" i="131" s="1"/>
  <c r="J2" i="130"/>
  <c r="F2" i="130" s="1"/>
  <c r="H2" i="131" l="1"/>
  <c r="I2" i="130"/>
  <c r="J2" i="128"/>
  <c r="F2" i="128" s="1"/>
  <c r="J2" i="126"/>
  <c r="I2" i="128" l="1"/>
  <c r="I2" i="126"/>
  <c r="F2" i="126" l="1"/>
  <c r="H2" i="124" l="1"/>
  <c r="G2" i="124" s="1"/>
  <c r="D2" i="124" l="1"/>
  <c r="J2" i="122"/>
  <c r="I2" i="122" s="1"/>
  <c r="J2" i="120"/>
  <c r="I2" i="120" s="1"/>
  <c r="F2" i="122" l="1"/>
  <c r="F2" i="120"/>
  <c r="J2" i="119" l="1"/>
  <c r="I2" i="119" s="1"/>
  <c r="J2" i="118"/>
  <c r="I2" i="118" s="1"/>
  <c r="F2" i="119" l="1"/>
  <c r="F2" i="118"/>
  <c r="J2" i="117" l="1"/>
  <c r="I2" i="117" s="1"/>
  <c r="F2" i="117" l="1"/>
  <c r="J2" i="115"/>
  <c r="J2" i="116" l="1"/>
  <c r="F2" i="116" s="1"/>
  <c r="H13" i="116" l="1"/>
  <c r="H21" i="116"/>
  <c r="H8" i="116"/>
  <c r="H12" i="116"/>
  <c r="H18" i="116"/>
  <c r="H19" i="116"/>
  <c r="H11" i="116"/>
  <c r="H20" i="116"/>
  <c r="H22" i="116"/>
  <c r="H7" i="116"/>
  <c r="H14" i="116"/>
  <c r="H9" i="116"/>
  <c r="H10" i="116"/>
  <c r="H16" i="116"/>
  <c r="H17" i="116"/>
  <c r="H5" i="116"/>
  <c r="H15" i="116"/>
  <c r="I2" i="116"/>
  <c r="I2" i="115" l="1"/>
  <c r="J2" i="114"/>
  <c r="I2" i="114" s="1"/>
  <c r="F2" i="115" l="1"/>
  <c r="F2" i="114"/>
  <c r="J2" i="113"/>
  <c r="F2" i="113" s="1"/>
  <c r="J2" i="112"/>
  <c r="I2" i="112" s="1"/>
  <c r="H2" i="111"/>
  <c r="G2" i="111" s="1"/>
  <c r="J2" i="109"/>
  <c r="F2" i="109" s="1"/>
  <c r="J2" i="107"/>
  <c r="M2" i="107" s="1"/>
  <c r="J2" i="106"/>
  <c r="M2" i="106" s="1"/>
  <c r="I2" i="113" l="1"/>
  <c r="F2" i="112"/>
  <c r="D2" i="111"/>
  <c r="F17" i="111" s="1"/>
  <c r="I2" i="109"/>
  <c r="I2" i="106"/>
  <c r="I2" i="107"/>
  <c r="J2" i="105"/>
  <c r="J2" i="104"/>
  <c r="I2" i="104" s="1"/>
  <c r="J2" i="103"/>
  <c r="M2" i="103" s="1"/>
  <c r="J2" i="102"/>
  <c r="M2" i="102" s="1"/>
  <c r="J2" i="101"/>
  <c r="J2" i="100"/>
  <c r="M2" i="100" s="1"/>
  <c r="J2" i="99"/>
  <c r="M2" i="99" s="1"/>
  <c r="F16" i="111" l="1"/>
  <c r="F14" i="111"/>
  <c r="F15" i="111"/>
  <c r="F13" i="111"/>
  <c r="F12" i="111"/>
  <c r="F11" i="111"/>
  <c r="F10" i="111"/>
  <c r="F6" i="111"/>
  <c r="F5" i="111"/>
  <c r="M2" i="105"/>
  <c r="I2" i="105"/>
  <c r="M2" i="104"/>
  <c r="M2" i="101"/>
  <c r="I2" i="101"/>
  <c r="I2" i="98"/>
  <c r="L2" i="98" s="1"/>
  <c r="I2" i="97"/>
  <c r="L2" i="97" s="1"/>
  <c r="J2" i="96" l="1"/>
  <c r="J2" i="94"/>
  <c r="G2" i="93"/>
  <c r="J2" i="93" s="1"/>
  <c r="G2" i="91"/>
  <c r="J2" i="91" s="1"/>
  <c r="G2" i="90"/>
  <c r="J2" i="90" s="1"/>
  <c r="M2" i="96" l="1"/>
  <c r="M2" i="94"/>
  <c r="G2" i="89" l="1"/>
  <c r="J2" i="89" s="1"/>
  <c r="F2" i="88"/>
  <c r="G2" i="88" s="1"/>
  <c r="F2" i="87"/>
  <c r="G2" i="87" s="1"/>
  <c r="F2" i="86" l="1"/>
  <c r="G2" i="86" s="1"/>
  <c r="F2" i="85"/>
  <c r="G2" i="85" s="1"/>
  <c r="F2" i="82" l="1"/>
  <c r="F2" i="84"/>
  <c r="G2" i="84" s="1"/>
  <c r="F2" i="83"/>
  <c r="G2" i="83" s="1"/>
  <c r="G2" i="82" l="1"/>
  <c r="E2" i="81"/>
  <c r="F2" i="81" s="1"/>
  <c r="E2" i="80" l="1"/>
  <c r="F2" i="80" s="1"/>
  <c r="E2" i="79" l="1"/>
  <c r="F2" i="79" s="1"/>
  <c r="E2" i="78"/>
  <c r="F2" i="78" s="1"/>
  <c r="E2" i="77"/>
  <c r="F2" i="77" s="1"/>
  <c r="E2" i="76"/>
  <c r="F2" i="76" s="1"/>
  <c r="E2" i="75" l="1"/>
  <c r="F2" i="75" s="1"/>
  <c r="E2" i="74"/>
  <c r="F2" i="74" s="1"/>
  <c r="E2" i="71"/>
  <c r="F2" i="71" s="1"/>
  <c r="E2" i="70"/>
  <c r="F2" i="70" s="1"/>
  <c r="E2" i="69"/>
  <c r="F2" i="69" s="1"/>
  <c r="E2" i="68"/>
  <c r="F2" i="68" s="1"/>
  <c r="C8" i="62"/>
  <c r="E2" i="67"/>
  <c r="F2" i="67" s="1"/>
  <c r="E2" i="66"/>
  <c r="F2" i="66" s="1"/>
  <c r="E2" i="65"/>
  <c r="F2" i="65" s="1"/>
  <c r="K9" i="62" l="1"/>
  <c r="K8" i="62"/>
  <c r="E2" i="64" l="1"/>
  <c r="F2" i="64" s="1"/>
  <c r="J7" i="62" l="1"/>
  <c r="C4" i="62"/>
  <c r="M4" i="62" s="1"/>
  <c r="C5" i="62"/>
  <c r="M5" i="62" s="1"/>
  <c r="C6" i="62"/>
  <c r="K6" i="62" s="1"/>
  <c r="C7" i="62"/>
  <c r="L7" i="62" s="1"/>
  <c r="L8" i="62"/>
  <c r="C9" i="62"/>
  <c r="M9" i="62" s="1"/>
  <c r="C3" i="62"/>
  <c r="K3" i="62" s="1"/>
  <c r="J4" i="62"/>
  <c r="J5" i="62"/>
  <c r="J6" i="62"/>
  <c r="J8" i="62"/>
  <c r="J9" i="62"/>
  <c r="J3" i="62"/>
  <c r="K5" i="62" l="1"/>
  <c r="M8" i="62"/>
  <c r="M7" i="62"/>
  <c r="L9" i="62"/>
  <c r="K7" i="62"/>
  <c r="M3" i="62"/>
  <c r="M6" i="62"/>
  <c r="L6" i="62"/>
  <c r="L5" i="62"/>
  <c r="L3" i="62"/>
  <c r="L4" i="62"/>
  <c r="K4" i="62"/>
  <c r="E2" i="56"/>
  <c r="F2" i="56" s="1"/>
  <c r="E2" i="55"/>
  <c r="F2" i="55" s="1"/>
  <c r="E2" i="54"/>
  <c r="F2" i="54" s="1"/>
  <c r="E2" i="39"/>
  <c r="F2" i="39" s="1"/>
  <c r="E2" i="31"/>
  <c r="F2" i="31" s="1"/>
  <c r="E2" i="30"/>
  <c r="F2" i="30" s="1"/>
  <c r="E2" i="29"/>
  <c r="F2" i="29" s="1"/>
  <c r="E2" i="28"/>
  <c r="F2" i="28" s="1"/>
  <c r="D29" i="56" l="1"/>
  <c r="D32" i="56"/>
  <c r="D28" i="56"/>
  <c r="D30" i="56"/>
  <c r="D31" i="56"/>
  <c r="D27" i="56"/>
  <c r="D24" i="56"/>
  <c r="D23" i="56"/>
  <c r="D22" i="56"/>
  <c r="D25" i="56"/>
  <c r="D21" i="56"/>
  <c r="D20" i="56"/>
  <c r="D18" i="56"/>
  <c r="D14" i="56"/>
  <c r="D12" i="56"/>
  <c r="D7" i="56"/>
  <c r="D17" i="56"/>
  <c r="D11" i="56"/>
  <c r="D6" i="56"/>
  <c r="D16" i="56"/>
  <c r="D10" i="56"/>
  <c r="D19" i="56"/>
  <c r="D15" i="56"/>
  <c r="D9" i="56"/>
  <c r="D13" i="56"/>
  <c r="D8" i="56"/>
  <c r="E2" i="27" l="1"/>
  <c r="F2" i="27" s="1"/>
  <c r="E2" i="26" l="1"/>
  <c r="F2" i="26" s="1"/>
  <c r="E2" i="24" l="1"/>
  <c r="F2" i="24" l="1"/>
  <c r="E2" i="23" l="1"/>
  <c r="F2" i="23" s="1"/>
  <c r="E2" i="22" l="1"/>
  <c r="F2" i="22" s="1"/>
  <c r="E2" i="21"/>
  <c r="F2" i="21" s="1"/>
  <c r="E2" i="20" l="1"/>
  <c r="F2" i="20" s="1"/>
  <c r="E2" i="19"/>
  <c r="F2" i="19" s="1"/>
  <c r="E2" i="18" l="1"/>
  <c r="F2" i="18" s="1"/>
  <c r="E2" i="17"/>
  <c r="F2" i="17" s="1"/>
  <c r="E2" i="16"/>
  <c r="F2" i="16" s="1"/>
  <c r="E2" i="15" l="1"/>
  <c r="F2" i="15" s="1"/>
  <c r="E2" i="14"/>
  <c r="F2" i="14" s="1"/>
  <c r="E2" i="13" l="1"/>
  <c r="F2" i="13" s="1"/>
  <c r="D19" i="13" s="1"/>
  <c r="E2" i="12"/>
  <c r="F2" i="12" s="1"/>
  <c r="D19" i="12" s="1"/>
  <c r="E2" i="11"/>
  <c r="F2" i="11" s="1"/>
  <c r="D2" i="10"/>
  <c r="E2" i="10" s="1"/>
  <c r="D8" i="13" l="1"/>
  <c r="D10" i="13"/>
  <c r="D13" i="13"/>
  <c r="D14" i="13"/>
  <c r="D6" i="13"/>
  <c r="D15" i="13"/>
  <c r="D7" i="13"/>
  <c r="D16" i="13"/>
  <c r="D11" i="13"/>
  <c r="D17" i="13"/>
  <c r="D5" i="13"/>
  <c r="D12" i="13"/>
  <c r="D9" i="13"/>
  <c r="D21" i="12"/>
  <c r="D24" i="12"/>
  <c r="D22" i="12"/>
  <c r="D20" i="12"/>
  <c r="D12" i="12"/>
  <c r="D13" i="12"/>
  <c r="D14" i="12"/>
  <c r="D5" i="12"/>
  <c r="D15" i="12"/>
  <c r="D6" i="12"/>
  <c r="D8" i="12"/>
  <c r="D7" i="12"/>
  <c r="D10" i="12"/>
  <c r="D11" i="12"/>
  <c r="D9" i="12"/>
  <c r="D16" i="12"/>
  <c r="D17" i="12"/>
  <c r="D18" i="12"/>
  <c r="D2" i="9" l="1"/>
  <c r="E2" i="9" s="1"/>
  <c r="D2" i="8" l="1"/>
  <c r="E2" i="8" s="1"/>
  <c r="D2" i="5" l="1"/>
  <c r="E2" i="5" s="1"/>
  <c r="D2" i="4"/>
  <c r="E2" i="4" s="1"/>
  <c r="D2" i="3"/>
  <c r="E2" i="3" s="1"/>
  <c r="D2" i="2"/>
  <c r="E2" i="2" s="1"/>
  <c r="D2" i="1"/>
  <c r="E2" i="1" s="1"/>
</calcChain>
</file>

<file path=xl/sharedStrings.xml><?xml version="1.0" encoding="utf-8"?>
<sst xmlns="http://schemas.openxmlformats.org/spreadsheetml/2006/main" count="8696" uniqueCount="2196">
  <si>
    <t>ETD</t>
  </si>
  <si>
    <t>N°</t>
  </si>
  <si>
    <t>N_Bkg</t>
  </si>
  <si>
    <t>POD</t>
  </si>
  <si>
    <t>FND</t>
  </si>
  <si>
    <t>Shipper</t>
  </si>
  <si>
    <t>FRET OK</t>
  </si>
  <si>
    <t>OBSERVATION</t>
  </si>
  <si>
    <t>DET</t>
  </si>
  <si>
    <t>RENO</t>
  </si>
  <si>
    <t>LAF</t>
  </si>
  <si>
    <t>REMARQUE</t>
  </si>
  <si>
    <t>LA COMPAGNIE DES CAOUTCHOUCS</t>
  </si>
  <si>
    <t>OK OBL</t>
  </si>
  <si>
    <t>Devcot</t>
  </si>
  <si>
    <t>ATT OK</t>
  </si>
  <si>
    <t>Continental Rubber</t>
  </si>
  <si>
    <t>OK</t>
  </si>
  <si>
    <t>OLAM AGRI RUBBER CI</t>
  </si>
  <si>
    <t>Ets Kjs Elu</t>
  </si>
  <si>
    <t>Cross-Trades Shipping Services B.V.</t>
  </si>
  <si>
    <t>Sofitex</t>
  </si>
  <si>
    <t>Steph And Lam Trading</t>
  </si>
  <si>
    <t>MYWSP</t>
  </si>
  <si>
    <t>CNTAO</t>
  </si>
  <si>
    <t>Tropicore S.A.</t>
  </si>
  <si>
    <t>SGSIN</t>
  </si>
  <si>
    <t>VNSGN</t>
  </si>
  <si>
    <t>BDCGP</t>
  </si>
  <si>
    <t>VNDAD</t>
  </si>
  <si>
    <t>Sai Commodities Ltd</t>
  </si>
  <si>
    <t>VNHPH</t>
  </si>
  <si>
    <t>Royal Kean International Fze</t>
  </si>
  <si>
    <t>SOOCAAN</t>
  </si>
  <si>
    <t>COOPAAHS</t>
  </si>
  <si>
    <t>Afcotrade</t>
  </si>
  <si>
    <t>NOVALIS CI</t>
  </si>
  <si>
    <t>MBPCI</t>
  </si>
  <si>
    <t>Olam Cocoa Processing Ci</t>
  </si>
  <si>
    <t>Coic</t>
  </si>
  <si>
    <t>STRACOM-CI</t>
  </si>
  <si>
    <t>Zamacom S.A</t>
  </si>
  <si>
    <t>PRINT</t>
  </si>
  <si>
    <t>SOFITEX</t>
  </si>
  <si>
    <t>DRAFT</t>
  </si>
  <si>
    <t>OK SWB</t>
  </si>
  <si>
    <t>Cidt</t>
  </si>
  <si>
    <t>Olam Cocoa B.V.</t>
  </si>
  <si>
    <t>AGRICOM</t>
  </si>
  <si>
    <t>ok</t>
  </si>
  <si>
    <t>Dorado Ivory Sa</t>
  </si>
  <si>
    <t>Gpa Transformation</t>
  </si>
  <si>
    <t>CSNU6963327</t>
  </si>
  <si>
    <t>CMDT</t>
  </si>
  <si>
    <t>Tan Ivoire Sa</t>
  </si>
  <si>
    <t>Barry Callebaut Negoce</t>
  </si>
  <si>
    <t>Cargill B.V. - RTM</t>
  </si>
  <si>
    <t>BKG</t>
  </si>
  <si>
    <t>CLIENT</t>
  </si>
  <si>
    <t>BL</t>
  </si>
  <si>
    <t>CLT</t>
  </si>
  <si>
    <t>CIDT</t>
  </si>
  <si>
    <t>COIC</t>
  </si>
  <si>
    <t>SAGROCOM</t>
  </si>
  <si>
    <t>Phuc An Construction Consulting And Import Export Trading Co.,Ltd</t>
  </si>
  <si>
    <t>upload</t>
  </si>
  <si>
    <t>SWB</t>
  </si>
  <si>
    <t>SCOOPSIAC</t>
  </si>
  <si>
    <t>STONEX</t>
  </si>
  <si>
    <t>OLAM IVOIRE SA</t>
  </si>
  <si>
    <t>CARGILL</t>
  </si>
  <si>
    <t>SCOOPSIAC/SWB</t>
  </si>
  <si>
    <t>IDH</t>
  </si>
  <si>
    <t>CYRIAN</t>
  </si>
  <si>
    <t>AGS</t>
  </si>
  <si>
    <t>OUTSPAN</t>
  </si>
  <si>
    <t>CNEK</t>
  </si>
  <si>
    <t>SACO</t>
  </si>
  <si>
    <t>S3C</t>
  </si>
  <si>
    <t>TECHCOM</t>
  </si>
  <si>
    <t>KINEDEN</t>
  </si>
  <si>
    <t>DORADO</t>
  </si>
  <si>
    <t>OLAM</t>
  </si>
  <si>
    <t>SACO-ABIDJAN</t>
  </si>
  <si>
    <t>AGS FRASERS</t>
  </si>
  <si>
    <t>SWB PRINT</t>
  </si>
  <si>
    <t>CONTINENTAL RUBBER SA</t>
  </si>
  <si>
    <t>CONNAISSEMENTS</t>
  </si>
  <si>
    <t>ETA</t>
  </si>
  <si>
    <t>Svc</t>
  </si>
  <si>
    <t>Vsl</t>
  </si>
  <si>
    <t>Voy</t>
  </si>
  <si>
    <t>Dir</t>
  </si>
  <si>
    <t>Manifeste
Import</t>
  </si>
  <si>
    <t>WAF3</t>
  </si>
  <si>
    <t>XPC</t>
  </si>
  <si>
    <t>COSCO</t>
  </si>
  <si>
    <t>W/E</t>
  </si>
  <si>
    <t>x</t>
  </si>
  <si>
    <t>MWAX</t>
  </si>
  <si>
    <t>NLS</t>
  </si>
  <si>
    <t>OOCL</t>
  </si>
  <si>
    <t>S/N</t>
  </si>
  <si>
    <t>ANDROUSA</t>
  </si>
  <si>
    <t>SRK</t>
  </si>
  <si>
    <t>WME</t>
  </si>
  <si>
    <t>CYK</t>
  </si>
  <si>
    <t>SPZ</t>
  </si>
  <si>
    <t>Cmdt - Compagnie Malienne</t>
  </si>
  <si>
    <r>
      <t xml:space="preserve">OK OBL </t>
    </r>
    <r>
      <rPr>
        <b/>
        <sz val="14"/>
        <color rgb="FFC00000"/>
        <rFont val="Calibri"/>
        <family val="2"/>
        <scheme val="minor"/>
      </rPr>
      <t>A IMPRIMER EN SUISSE</t>
    </r>
  </si>
  <si>
    <t>Outspan Ivoire Sa</t>
  </si>
  <si>
    <t>Corrections en cours</t>
  </si>
  <si>
    <t>Cargill  West AFRICA</t>
  </si>
  <si>
    <t>OK BL</t>
  </si>
  <si>
    <t>OK BL/ LSA  A FACTURER SUR BL ANTERIEUR</t>
  </si>
  <si>
    <t>OK/10</t>
  </si>
  <si>
    <t>OK/1</t>
  </si>
  <si>
    <t>OK/4</t>
  </si>
  <si>
    <t>OK/3</t>
  </si>
  <si>
    <t>IMP</t>
  </si>
  <si>
    <t>Societe Africaine De Cacao</t>
  </si>
  <si>
    <t>MCK SA</t>
  </si>
  <si>
    <t>FALCON</t>
  </si>
  <si>
    <t>COOPARES</t>
  </si>
  <si>
    <t>SAIC SA</t>
  </si>
  <si>
    <t>NAVOI</t>
  </si>
  <si>
    <t>NSDA</t>
  </si>
  <si>
    <t>ALCI</t>
  </si>
  <si>
    <t>P</t>
  </si>
  <si>
    <t>OBL</t>
  </si>
  <si>
    <t>ALL COMMODITIES</t>
  </si>
  <si>
    <t>IMPRIMER</t>
  </si>
  <si>
    <t>MANTRA</t>
  </si>
  <si>
    <t>SITRADEX</t>
  </si>
  <si>
    <t>CONTINENTAL RUBBER</t>
  </si>
  <si>
    <t>PACKING/FIP</t>
  </si>
  <si>
    <t>SAIC</t>
  </si>
  <si>
    <t>COMPAGNIE DES CAOUTCHOUCS</t>
  </si>
  <si>
    <t>imprimer</t>
  </si>
  <si>
    <t>FIP</t>
  </si>
  <si>
    <t>print</t>
  </si>
  <si>
    <t>PALMCI</t>
  </si>
  <si>
    <t>SOFITEX A/C CDI COTTON</t>
  </si>
  <si>
    <t>SOFITEX ON BEHALF</t>
  </si>
  <si>
    <t>TAN IVOIRE SA</t>
  </si>
  <si>
    <t>COIC ON BEHALF OF CDI COTTON</t>
  </si>
  <si>
    <t>SOFITEX P/C LOUIS DREYFUS</t>
  </si>
  <si>
    <t>SOCIETE COOPERATIVE MODERNE</t>
  </si>
  <si>
    <t>CO</t>
  </si>
  <si>
    <t>TAN IVOIRE</t>
  </si>
  <si>
    <t xml:space="preserve">AGL PC SOFITEX </t>
  </si>
  <si>
    <t>OBL PRINT</t>
  </si>
  <si>
    <t>FRET ABIDJAN</t>
  </si>
  <si>
    <t>Tan Ivoire</t>
  </si>
  <si>
    <t xml:space="preserve">MASSOUK PC COIC </t>
  </si>
  <si>
    <t xml:space="preserve">MASSOUK PC CARGILL </t>
  </si>
  <si>
    <t>AGL PC SACO</t>
  </si>
  <si>
    <t xml:space="preserve">MASSOUK COIC </t>
  </si>
  <si>
    <t>FILIA RUBBER</t>
  </si>
  <si>
    <t xml:space="preserve">COIC </t>
  </si>
  <si>
    <t xml:space="preserve">CIDT </t>
  </si>
  <si>
    <t>SOCIETE DE DEVELOPPEMENT du CAOUTCHOUC IVOIRIEN</t>
  </si>
  <si>
    <t>CLIENTS</t>
  </si>
  <si>
    <t>GRAVIR</t>
  </si>
  <si>
    <t>CNXMN</t>
  </si>
  <si>
    <t>CNFUQ</t>
  </si>
  <si>
    <t>INNSA</t>
  </si>
  <si>
    <t>TIMBRE</t>
  </si>
  <si>
    <t>A00413555Z</t>
  </si>
  <si>
    <t>A00413554Z</t>
  </si>
  <si>
    <t>A00413553Z</t>
  </si>
  <si>
    <t>A00413552Z</t>
  </si>
  <si>
    <t>A00413551Z</t>
  </si>
  <si>
    <t>A00413668Z</t>
  </si>
  <si>
    <t>A00413667Z</t>
  </si>
  <si>
    <t>A00413669Z</t>
  </si>
  <si>
    <t>A00413670Z</t>
  </si>
  <si>
    <t>A00413671Z</t>
  </si>
  <si>
    <t>A00413672Z</t>
  </si>
  <si>
    <t>A00413673Z</t>
  </si>
  <si>
    <t>A00413674Z</t>
  </si>
  <si>
    <t>A00413675Z</t>
  </si>
  <si>
    <t>A00413676Z</t>
  </si>
  <si>
    <t>A00413677Z</t>
  </si>
  <si>
    <t>A00413678Z</t>
  </si>
  <si>
    <t>A00413679Z</t>
  </si>
  <si>
    <t>A00413680Z</t>
  </si>
  <si>
    <t>A00413681Z</t>
  </si>
  <si>
    <t>A00413682Z</t>
  </si>
  <si>
    <t>A00413666Z</t>
  </si>
  <si>
    <t>A00413653Z</t>
  </si>
  <si>
    <t>A00413652Z</t>
  </si>
  <si>
    <t>A00413684Z</t>
  </si>
  <si>
    <t>A00413683Z</t>
  </si>
  <si>
    <t>A00413686Z</t>
  </si>
  <si>
    <t>A00413685Z</t>
  </si>
  <si>
    <t>A00413687Z</t>
  </si>
  <si>
    <t>A00413688Z</t>
  </si>
  <si>
    <t>A00413690Z</t>
  </si>
  <si>
    <t>A00413689Z</t>
  </si>
  <si>
    <t>A00413691Z</t>
  </si>
  <si>
    <t>A00413692Z</t>
  </si>
  <si>
    <t>NSD'A</t>
  </si>
  <si>
    <t>Saph</t>
  </si>
  <si>
    <t>NESKAO</t>
  </si>
  <si>
    <t>A00413693Z</t>
  </si>
  <si>
    <t>A00413698Z</t>
  </si>
  <si>
    <t>A00413697Z</t>
  </si>
  <si>
    <t>A00413696Z</t>
  </si>
  <si>
    <t>A00413694Z</t>
  </si>
  <si>
    <t>A00413695Z</t>
  </si>
  <si>
    <t>PKKHI</t>
  </si>
  <si>
    <t>A00413699Z</t>
  </si>
  <si>
    <t>A00413700Z</t>
  </si>
  <si>
    <t>A00414541Z</t>
  </si>
  <si>
    <t>OK FRET</t>
  </si>
  <si>
    <t>A00414542Z</t>
  </si>
  <si>
    <t>A00414543Z</t>
  </si>
  <si>
    <t>A00414544Z</t>
  </si>
  <si>
    <t>A00414545Z</t>
  </si>
  <si>
    <t>A00414546Z</t>
  </si>
  <si>
    <t>A00414549Z</t>
  </si>
  <si>
    <t>A00414548Z</t>
  </si>
  <si>
    <t>A00414547Z</t>
  </si>
  <si>
    <t>A00414550Z</t>
  </si>
  <si>
    <t>A00414551Z</t>
  </si>
  <si>
    <t>A00414552Z</t>
  </si>
  <si>
    <t>A00414554Z</t>
  </si>
  <si>
    <t>A00414553Z</t>
  </si>
  <si>
    <t>A00414557Z</t>
  </si>
  <si>
    <t>A00414556Z</t>
  </si>
  <si>
    <t>A00414555Z</t>
  </si>
  <si>
    <t>A00414558Z</t>
  </si>
  <si>
    <t>MYPEN</t>
  </si>
  <si>
    <t>A00414559Z</t>
  </si>
  <si>
    <t>A00414561Z</t>
  </si>
  <si>
    <t>A00414564Z</t>
  </si>
  <si>
    <t>A00414563Z</t>
  </si>
  <si>
    <t>A00414562Z</t>
  </si>
  <si>
    <t>A00414560Z</t>
  </si>
  <si>
    <t>A00414565Z</t>
  </si>
  <si>
    <t>A00414567Z</t>
  </si>
  <si>
    <t>A00414566Z</t>
  </si>
  <si>
    <t>A00414569Z</t>
  </si>
  <si>
    <t>A00414568Z</t>
  </si>
  <si>
    <t>A00414570Z</t>
  </si>
  <si>
    <t>A00414571Z</t>
  </si>
  <si>
    <t>A00414572Z</t>
  </si>
  <si>
    <t>A00414573Z</t>
  </si>
  <si>
    <t>A00414574Z</t>
  </si>
  <si>
    <t>A00414578Z</t>
  </si>
  <si>
    <t>A00414577Z</t>
  </si>
  <si>
    <t>A00414576Z</t>
  </si>
  <si>
    <t>A00414575Z</t>
  </si>
  <si>
    <t>A00414579Z</t>
  </si>
  <si>
    <t>Neskao</t>
  </si>
  <si>
    <t>SAPH</t>
  </si>
  <si>
    <t>A00414581Z</t>
  </si>
  <si>
    <t>A00414580Z</t>
  </si>
  <si>
    <t>NA</t>
  </si>
  <si>
    <t>A00414582Z</t>
  </si>
  <si>
    <t>A00414583Z</t>
  </si>
  <si>
    <t>A00414585Z</t>
  </si>
  <si>
    <t>A00414584Z</t>
  </si>
  <si>
    <t>Divcom-Ci</t>
  </si>
  <si>
    <t>Diakite Cocoa Products</t>
  </si>
  <si>
    <t>A00414586Z</t>
  </si>
  <si>
    <t>A00414588Z</t>
  </si>
  <si>
    <t>A00414587Z</t>
  </si>
  <si>
    <t>OUI</t>
  </si>
  <si>
    <t>FRET Abj OK</t>
  </si>
  <si>
    <t>150 mil RENO</t>
  </si>
  <si>
    <t>Socaan</t>
  </si>
  <si>
    <t>SCINPA</t>
  </si>
  <si>
    <t>INPROBOIS</t>
  </si>
  <si>
    <t>SUTEC</t>
  </si>
  <si>
    <t>A004227637</t>
  </si>
  <si>
    <t xml:space="preserve">OK OBL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</si>
  <si>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</si>
  <si>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A00422768Z</t>
  </si>
  <si>
    <t>A00422817Z</t>
  </si>
  <si>
    <t>A00422788Z</t>
  </si>
  <si>
    <t>A00422778Z</t>
  </si>
  <si>
    <r>
      <t>OK OBL,</t>
    </r>
    <r>
      <rPr>
        <sz val="12"/>
        <color rgb="FFFF0000"/>
        <rFont val="Californian FB"/>
        <family val="1"/>
      </rPr>
      <t>telex</t>
    </r>
  </si>
  <si>
    <r>
      <t>OK SWB-</t>
    </r>
    <r>
      <rPr>
        <sz val="12"/>
        <color rgb="FFFF0000"/>
        <rFont val="Californian FB"/>
        <family val="1"/>
      </rPr>
      <t>OK  OBL</t>
    </r>
  </si>
  <si>
    <r>
      <t>OK SWB-</t>
    </r>
    <r>
      <rPr>
        <sz val="12"/>
        <color rgb="FFFF0000"/>
        <rFont val="Californian FB"/>
        <family val="1"/>
      </rPr>
      <t>OK  OBL</t>
    </r>
    <r>
      <rPr>
        <sz val="12"/>
        <color theme="1"/>
        <rFont val="Californian FB"/>
        <family val="1"/>
      </rPr>
      <t>-</t>
    </r>
  </si>
  <si>
    <t>A00422806Z</t>
  </si>
  <si>
    <t>A00422795Z</t>
  </si>
  <si>
    <t>A00422786Z</t>
  </si>
  <si>
    <t>A00422765Z</t>
  </si>
  <si>
    <t>A00422775Z</t>
  </si>
  <si>
    <t>A00422785Z</t>
  </si>
  <si>
    <t>A00422816Z</t>
  </si>
  <si>
    <t>A00422764Z</t>
  </si>
  <si>
    <t>A00422796Z</t>
  </si>
  <si>
    <t>A00422776Z</t>
  </si>
  <si>
    <t>A00422787Z</t>
  </si>
  <si>
    <t>A00422777Z</t>
  </si>
  <si>
    <t>A00422766Z</t>
  </si>
  <si>
    <t>A00422767Z</t>
  </si>
  <si>
    <t>A00422807Z</t>
  </si>
  <si>
    <t>A00422797Z</t>
  </si>
  <si>
    <t>A00422798Z</t>
  </si>
  <si>
    <t>A00422819Z</t>
  </si>
  <si>
    <t>A00422818Z</t>
  </si>
  <si>
    <t>A00422808Z</t>
  </si>
  <si>
    <t>A00422809Z</t>
  </si>
  <si>
    <t>A00422799Z</t>
  </si>
  <si>
    <t>A00422789Z</t>
  </si>
  <si>
    <t>A00422779Z</t>
  </si>
  <si>
    <t>A00422769Z</t>
  </si>
  <si>
    <t>A00414589Z</t>
  </si>
  <si>
    <t>A00414590Z</t>
  </si>
  <si>
    <t>A00414591Z</t>
  </si>
  <si>
    <t>A00414592Z</t>
  </si>
  <si>
    <t>A00414593Z</t>
  </si>
  <si>
    <t>A00414594Z</t>
  </si>
  <si>
    <t>A00414595Z</t>
  </si>
  <si>
    <t>A00414596Z</t>
  </si>
  <si>
    <t>A00414597Z</t>
  </si>
  <si>
    <t>A00414598Z</t>
  </si>
  <si>
    <t>A00414599Z</t>
  </si>
  <si>
    <t>A00414600Z</t>
  </si>
  <si>
    <t>A00422761Z</t>
  </si>
  <si>
    <t>A00422762Z</t>
  </si>
  <si>
    <t>A00422771Z</t>
  </si>
  <si>
    <t>A00422772Z</t>
  </si>
  <si>
    <t>A00422773Z</t>
  </si>
  <si>
    <t>A00422774Z</t>
  </si>
  <si>
    <t>A00422781Z</t>
  </si>
  <si>
    <t>A00422791Z</t>
  </si>
  <si>
    <t xml:space="preserve">OK SWB </t>
  </si>
  <si>
    <t>A00422804Z</t>
  </si>
  <si>
    <t>A00422784Z</t>
  </si>
  <si>
    <t>A00422783Z</t>
  </si>
  <si>
    <t>A00422793Z</t>
  </si>
  <si>
    <t>A00422792Z</t>
  </si>
  <si>
    <t>A00422801Z</t>
  </si>
  <si>
    <t>A00422794Z</t>
  </si>
  <si>
    <t>A00422803Z</t>
  </si>
  <si>
    <t>A00422813Z</t>
  </si>
  <si>
    <t>A00422902Z</t>
  </si>
  <si>
    <t>A00422901Z</t>
  </si>
  <si>
    <t>A00422903Z</t>
  </si>
  <si>
    <t>A00422905Z</t>
  </si>
  <si>
    <t>A00422904Z</t>
  </si>
  <si>
    <t>A00422906Z</t>
  </si>
  <si>
    <t>A00422907Z</t>
  </si>
  <si>
    <t>A00422811Z</t>
  </si>
  <si>
    <t>A00422812Z</t>
  </si>
  <si>
    <t>A00422802Z</t>
  </si>
  <si>
    <t>A00422908Z</t>
  </si>
  <si>
    <t>A00422909Z</t>
  </si>
  <si>
    <t>A00422911Z</t>
  </si>
  <si>
    <t>A00422910Z</t>
  </si>
  <si>
    <t>ESALG</t>
  </si>
  <si>
    <t>TRMER</t>
  </si>
  <si>
    <t>NLAMS</t>
  </si>
  <si>
    <t>DEHAM</t>
  </si>
  <si>
    <t>ESBCN</t>
  </si>
  <si>
    <t>SNDKR</t>
  </si>
  <si>
    <t>DD</t>
  </si>
  <si>
    <t>FFF</t>
  </si>
  <si>
    <t>A00422912Z</t>
  </si>
  <si>
    <t>A00422917Z</t>
  </si>
  <si>
    <t>A00422916Z</t>
  </si>
  <si>
    <t>A00422915Z</t>
  </si>
  <si>
    <t>A00422914Z</t>
  </si>
  <si>
    <t>A00422920Z</t>
  </si>
  <si>
    <t>A00422919Z</t>
  </si>
  <si>
    <t>A00422918Z</t>
  </si>
  <si>
    <t>A00422913Z</t>
  </si>
  <si>
    <t>A00422921Z</t>
  </si>
  <si>
    <t>A00422923Z</t>
  </si>
  <si>
    <t>A00422922Z</t>
  </si>
  <si>
    <t>A00422924Z</t>
  </si>
  <si>
    <t>A00422925Z</t>
  </si>
  <si>
    <t>A00422926Z</t>
  </si>
  <si>
    <t>A00422927Z</t>
  </si>
  <si>
    <t>A00422928Z</t>
  </si>
  <si>
    <t>A00422929Z</t>
  </si>
  <si>
    <t>A00422930Z</t>
  </si>
  <si>
    <t>A00422931Z</t>
  </si>
  <si>
    <t>A00422935Z</t>
  </si>
  <si>
    <t>A00422936Z</t>
  </si>
  <si>
    <t>A00422933Z</t>
  </si>
  <si>
    <t>A00422932Z</t>
  </si>
  <si>
    <t>A00422934Z</t>
  </si>
  <si>
    <t>A00422938Z</t>
  </si>
  <si>
    <t>A00422937Z</t>
  </si>
  <si>
    <t>A00421981Z</t>
  </si>
  <si>
    <t>A00421983Z</t>
  </si>
  <si>
    <t>A00421982Z</t>
  </si>
  <si>
    <t>A00421985Z</t>
  </si>
  <si>
    <t>A00421984Z</t>
  </si>
  <si>
    <t>A00421987Z</t>
  </si>
  <si>
    <t>A00421986Z</t>
  </si>
  <si>
    <t>A00421988Z</t>
  </si>
  <si>
    <t>A00421991Z</t>
  </si>
  <si>
    <t>A00421990Z</t>
  </si>
  <si>
    <t>A00421989Z</t>
  </si>
  <si>
    <t>A00421992Z</t>
  </si>
  <si>
    <t>PAKIDIE</t>
  </si>
  <si>
    <t>A00422782Z</t>
  </si>
  <si>
    <t>A00422939Z</t>
  </si>
  <si>
    <t>A00422940Z</t>
  </si>
  <si>
    <t>A00421993Z</t>
  </si>
  <si>
    <t>A00422000Z</t>
  </si>
  <si>
    <t>A00421994Z</t>
  </si>
  <si>
    <t>A00421997Z</t>
  </si>
  <si>
    <t>A00421995Z</t>
  </si>
  <si>
    <t>A00421996Z</t>
  </si>
  <si>
    <t>A00421998Z</t>
  </si>
  <si>
    <t>A00421999Z</t>
  </si>
  <si>
    <t>A00422001Z</t>
  </si>
  <si>
    <t>A00422002Z</t>
  </si>
  <si>
    <t>A00422003Z</t>
  </si>
  <si>
    <t>A00422004Z</t>
  </si>
  <si>
    <t>A00422005Z</t>
  </si>
  <si>
    <t>A00422007Z</t>
  </si>
  <si>
    <t>A00422006Z</t>
  </si>
  <si>
    <t>A00422009Z</t>
  </si>
  <si>
    <t>A00422010Z</t>
  </si>
  <si>
    <t>SIN</t>
  </si>
  <si>
    <t>Chattogram</t>
  </si>
  <si>
    <t>MANILA</t>
  </si>
  <si>
    <t>HAIPHONG</t>
  </si>
  <si>
    <t>CHATTOGRAM,</t>
  </si>
  <si>
    <t>QINGDAO</t>
  </si>
  <si>
    <t>Penang</t>
  </si>
  <si>
    <t>DETENTION</t>
  </si>
  <si>
    <t>A00421730Z</t>
  </si>
  <si>
    <t>A00421729Z</t>
  </si>
  <si>
    <t>A00421721Z</t>
  </si>
  <si>
    <t>A00421722Z</t>
  </si>
  <si>
    <t>A00421723Z</t>
  </si>
  <si>
    <t>A00421724Z</t>
  </si>
  <si>
    <t>A00421726Z</t>
  </si>
  <si>
    <t>A00421727Z</t>
  </si>
  <si>
    <t>A00421728Z</t>
  </si>
  <si>
    <t>A00421725Z</t>
  </si>
  <si>
    <t>A00421731Z</t>
  </si>
  <si>
    <t>A00421733Z</t>
  </si>
  <si>
    <t>A00421732Z</t>
  </si>
  <si>
    <t>A00421734Z</t>
  </si>
  <si>
    <t>A00421735Z</t>
  </si>
  <si>
    <t>A00421736Z</t>
  </si>
  <si>
    <t>SHA-Shanghai,China</t>
  </si>
  <si>
    <t>CIN-Chattogram,Bangladesh</t>
  </si>
  <si>
    <t>A00421738Z</t>
  </si>
  <si>
    <t>A00421737Z</t>
  </si>
  <si>
    <t>A00421743Z</t>
  </si>
  <si>
    <t>A00421744Z</t>
  </si>
  <si>
    <t>A00421742Z</t>
  </si>
  <si>
    <t>A00421740Z</t>
  </si>
  <si>
    <t>A00421741Z</t>
  </si>
  <si>
    <t>A00421739Z</t>
  </si>
  <si>
    <t>BDCGM</t>
  </si>
  <si>
    <t>CNNGB</t>
  </si>
  <si>
    <t>MYPGU</t>
  </si>
  <si>
    <t>BEANR</t>
  </si>
  <si>
    <t>MACAS</t>
  </si>
  <si>
    <t>TRGEM</t>
  </si>
  <si>
    <t>NLRTM</t>
  </si>
  <si>
    <t>ESVGO</t>
  </si>
  <si>
    <t>ESVLC</t>
  </si>
  <si>
    <t>A00421749Z</t>
  </si>
  <si>
    <t>A00421748Z</t>
  </si>
  <si>
    <t>A00421747Z</t>
  </si>
  <si>
    <t>A00421746Z</t>
  </si>
  <si>
    <t>A00421745Z</t>
  </si>
  <si>
    <t>A00421750Z</t>
  </si>
  <si>
    <t>A00421751Z</t>
  </si>
  <si>
    <t>A00421752Z</t>
  </si>
  <si>
    <t>A00421754Z</t>
  </si>
  <si>
    <t>A00421753Z</t>
  </si>
  <si>
    <t>A00421755Z</t>
  </si>
  <si>
    <t>A00421757Z</t>
  </si>
  <si>
    <t>A00421758Z</t>
  </si>
  <si>
    <t>A00421756Z</t>
  </si>
  <si>
    <t>A00421759Z</t>
  </si>
  <si>
    <t>A00421761Z</t>
  </si>
  <si>
    <t>A00421760Z</t>
  </si>
  <si>
    <t>A00421762Z</t>
  </si>
  <si>
    <t>A00421763Z</t>
  </si>
  <si>
    <t>A00421764Z</t>
  </si>
  <si>
    <t>A00421765Z</t>
  </si>
  <si>
    <t>A00421766Z</t>
  </si>
  <si>
    <t>A00421767Z</t>
  </si>
  <si>
    <t>A00421768Z</t>
  </si>
  <si>
    <t>A00421770Z</t>
  </si>
  <si>
    <t>A00421769Z</t>
  </si>
  <si>
    <t>A00421780Z</t>
  </si>
  <si>
    <t>A00421779Z</t>
  </si>
  <si>
    <t>A00421778Z</t>
  </si>
  <si>
    <t>A00421777Z</t>
  </si>
  <si>
    <t>A00421776Z</t>
  </si>
  <si>
    <t>A00421774Z</t>
  </si>
  <si>
    <t>A00421775Z</t>
  </si>
  <si>
    <t>A00421773Z</t>
  </si>
  <si>
    <t>CORRECT</t>
  </si>
  <si>
    <t>SEGOB</t>
  </si>
  <si>
    <t>A00421772Z</t>
  </si>
  <si>
    <t>A00421781Z</t>
  </si>
  <si>
    <t>A00421771Z</t>
  </si>
  <si>
    <t>A00421782Z</t>
  </si>
  <si>
    <t>A00421783Z</t>
  </si>
  <si>
    <t>A00421784Z</t>
  </si>
  <si>
    <t>A00421785Z</t>
  </si>
  <si>
    <t>A00421786Z</t>
  </si>
  <si>
    <t>A00421787Z</t>
  </si>
  <si>
    <t>A00421788Z</t>
  </si>
  <si>
    <t>A00421789Z</t>
  </si>
  <si>
    <t>NO</t>
  </si>
  <si>
    <t>SEAL</t>
  </si>
  <si>
    <t>A00421791Z</t>
  </si>
  <si>
    <t>A00421792Z</t>
  </si>
  <si>
    <t>A00421794Z</t>
  </si>
  <si>
    <t>TRKCO</t>
  </si>
  <si>
    <t>EETLL</t>
  </si>
  <si>
    <t>A00421797Z</t>
  </si>
  <si>
    <t>A00421796Z</t>
  </si>
  <si>
    <t>A00421798Z</t>
  </si>
  <si>
    <t>A00421799Z</t>
  </si>
  <si>
    <t>A00421793Z</t>
  </si>
  <si>
    <t>A00421790Z</t>
  </si>
  <si>
    <t>UNRATED</t>
  </si>
  <si>
    <t>SUISSE</t>
  </si>
  <si>
    <t>A00421800Z</t>
  </si>
  <si>
    <t>A00444001Z</t>
  </si>
  <si>
    <t>A00444002Z</t>
  </si>
  <si>
    <t>A00444003Z</t>
  </si>
  <si>
    <t>A00444004Z</t>
  </si>
  <si>
    <t>A00444005Z</t>
  </si>
  <si>
    <t>A00444006Z</t>
  </si>
  <si>
    <t>A00444007Z</t>
  </si>
  <si>
    <t>A00444008Z</t>
  </si>
  <si>
    <t>A00444009Z</t>
  </si>
  <si>
    <t>A00444012Z</t>
  </si>
  <si>
    <t>A00444013Z</t>
  </si>
  <si>
    <t>A00444014Z</t>
  </si>
  <si>
    <t>A00444010Z</t>
  </si>
  <si>
    <t>A00444011Z</t>
  </si>
  <si>
    <t>A00444016Z</t>
  </si>
  <si>
    <t>A00444015Z</t>
  </si>
  <si>
    <t>A00444017Z</t>
  </si>
  <si>
    <t>A00444018Z</t>
  </si>
  <si>
    <t>A00444019Z</t>
  </si>
  <si>
    <t>A00444020Z</t>
  </si>
  <si>
    <t>A00444021Z</t>
  </si>
  <si>
    <t>A00444022Z</t>
  </si>
  <si>
    <t>A00444025Z</t>
  </si>
  <si>
    <t>A00444024Z</t>
  </si>
  <si>
    <t>A00444023Z</t>
  </si>
  <si>
    <t>A00444026Z</t>
  </si>
  <si>
    <t>A00444027Z</t>
  </si>
  <si>
    <t>A00444029Z</t>
  </si>
  <si>
    <t>A00444030Z</t>
  </si>
  <si>
    <t>A00444040Z</t>
  </si>
  <si>
    <t>A00444039Z</t>
  </si>
  <si>
    <t>A00444037Z</t>
  </si>
  <si>
    <t>A00444038Z</t>
  </si>
  <si>
    <t>A00444036Z</t>
  </si>
  <si>
    <t>A00444034Z</t>
  </si>
  <si>
    <t>A00444035Z</t>
  </si>
  <si>
    <t>A00444032Z</t>
  </si>
  <si>
    <t>A00444033Z</t>
  </si>
  <si>
    <t>A00444042Z</t>
  </si>
  <si>
    <t>A00444043Z</t>
  </si>
  <si>
    <t>A00444031Z</t>
  </si>
  <si>
    <t>CTCI</t>
  </si>
  <si>
    <t>A00444044Z</t>
  </si>
  <si>
    <t>A00444045Z</t>
  </si>
  <si>
    <t>A00444041Z</t>
  </si>
  <si>
    <t>A00444046Z</t>
  </si>
  <si>
    <t>A00444047Z</t>
  </si>
  <si>
    <t>A00444049Z</t>
  </si>
  <si>
    <t>AFRECO</t>
  </si>
  <si>
    <t>DIARRASSOUBA</t>
  </si>
  <si>
    <t>A00444050Z</t>
  </si>
  <si>
    <t>A00444052Z</t>
  </si>
  <si>
    <t>A00444051Z</t>
  </si>
  <si>
    <t>A00444053Z</t>
  </si>
  <si>
    <t>A00444054Z</t>
  </si>
  <si>
    <t>A00444055Z</t>
  </si>
  <si>
    <t>A00444057Z</t>
  </si>
  <si>
    <t>A00444058Z</t>
  </si>
  <si>
    <t>A00444059Z</t>
  </si>
  <si>
    <t>A00444060Z</t>
  </si>
  <si>
    <t>A00444056Z</t>
  </si>
  <si>
    <t>A00444121Z</t>
  </si>
  <si>
    <t>A00444122Z</t>
  </si>
  <si>
    <t>A00444124Z</t>
  </si>
  <si>
    <t>A00444123Z</t>
  </si>
  <si>
    <t>A00444125Z</t>
  </si>
  <si>
    <t>A00444129Z</t>
  </si>
  <si>
    <t>A00444128Z</t>
  </si>
  <si>
    <t>A00444127Z</t>
  </si>
  <si>
    <t>A00444130Z</t>
  </si>
  <si>
    <t>A00444132Z</t>
  </si>
  <si>
    <t>A00444131Z</t>
  </si>
  <si>
    <t>A00444133Z</t>
  </si>
  <si>
    <t>A00444134Z</t>
  </si>
  <si>
    <t>A00444135Z</t>
  </si>
  <si>
    <t>A00444137Z</t>
  </si>
  <si>
    <t>A00444136Z</t>
  </si>
  <si>
    <t>A00444138Z</t>
  </si>
  <si>
    <t>A00444139Z</t>
  </si>
  <si>
    <t>A00444149Z</t>
  </si>
  <si>
    <t>A00444140Z</t>
  </si>
  <si>
    <t>A00444141Z</t>
  </si>
  <si>
    <t>A00444142Z</t>
  </si>
  <si>
    <t>A00444143Z</t>
  </si>
  <si>
    <t>A00444144Z</t>
  </si>
  <si>
    <t>A00444146Z</t>
  </si>
  <si>
    <t>A00444145Z</t>
  </si>
  <si>
    <t>A00444147Z</t>
  </si>
  <si>
    <t>A00444148Z</t>
  </si>
  <si>
    <t>A00444150Z</t>
  </si>
  <si>
    <t>A00444151Z</t>
  </si>
  <si>
    <t>A00444152Z</t>
  </si>
  <si>
    <t>A00444153Z</t>
  </si>
  <si>
    <t>A00444154Z</t>
  </si>
  <si>
    <t>correction</t>
  </si>
  <si>
    <t>A00444155Z</t>
  </si>
  <si>
    <t>A00444158z</t>
  </si>
  <si>
    <t>A00444157z</t>
  </si>
  <si>
    <t>A00444160Z</t>
  </si>
  <si>
    <t>A00444159Z</t>
  </si>
  <si>
    <t>A00444161Z</t>
  </si>
  <si>
    <t>A00444162Z</t>
  </si>
  <si>
    <t>A00444164Z</t>
  </si>
  <si>
    <t>A00444163Z</t>
  </si>
  <si>
    <t>A00444165Z</t>
  </si>
  <si>
    <t>A00444166Z</t>
  </si>
  <si>
    <t>A00444167Z</t>
  </si>
  <si>
    <t>A00444168Z</t>
  </si>
  <si>
    <t>A00444169Z</t>
  </si>
  <si>
    <t>A00444170Z</t>
  </si>
  <si>
    <t>A00444171Z</t>
  </si>
  <si>
    <t>A00444172Z</t>
  </si>
  <si>
    <t>A00444481Z</t>
  </si>
  <si>
    <t>A00444482Z</t>
  </si>
  <si>
    <t>0</t>
  </si>
  <si>
    <t>A00444483Z</t>
  </si>
  <si>
    <t>CNSHA</t>
  </si>
  <si>
    <t>A00444489Z</t>
  </si>
  <si>
    <t>A00444484Z</t>
  </si>
  <si>
    <t>A00444485Z</t>
  </si>
  <si>
    <t>A00444486Z</t>
  </si>
  <si>
    <t>A00444487Z</t>
  </si>
  <si>
    <t>A00444488Z</t>
  </si>
  <si>
    <t>A00444490Z</t>
  </si>
  <si>
    <t>TROPICORE</t>
  </si>
  <si>
    <t>A00444492Z</t>
  </si>
  <si>
    <t>A0044493Z</t>
  </si>
  <si>
    <t>A00444494Z</t>
  </si>
  <si>
    <t>SOCIETE IVOIRIENNE COCOA</t>
  </si>
  <si>
    <t>A00444495Z</t>
  </si>
  <si>
    <t>SOCIETE AFRICAINE DE CACAO</t>
  </si>
  <si>
    <t>A00444497Z</t>
  </si>
  <si>
    <t>A00444496Z</t>
  </si>
  <si>
    <t>A00444501Z</t>
  </si>
  <si>
    <t>A00444502Z</t>
  </si>
  <si>
    <t>A00444499Z</t>
  </si>
  <si>
    <t>A00444498Z</t>
  </si>
  <si>
    <t>A00444500Z</t>
  </si>
  <si>
    <t>A00444503Z</t>
  </si>
  <si>
    <t>A00444504Z</t>
  </si>
  <si>
    <t>A00444505Z</t>
  </si>
  <si>
    <t>A00444510Z</t>
  </si>
  <si>
    <t>A00444509Z</t>
  </si>
  <si>
    <t>A00444512Z</t>
  </si>
  <si>
    <t>A00444514Z</t>
  </si>
  <si>
    <t>A00444511Z</t>
  </si>
  <si>
    <t>A00444515Z</t>
  </si>
  <si>
    <t>A00444516Z</t>
  </si>
  <si>
    <t>A00444506Z</t>
  </si>
  <si>
    <t>A00444508Z</t>
  </si>
  <si>
    <t>A00444507Z</t>
  </si>
  <si>
    <t>A00444513Z</t>
  </si>
  <si>
    <t>A00444517Z</t>
  </si>
  <si>
    <t>A00444519Z</t>
  </si>
  <si>
    <t>A00444518Z</t>
  </si>
  <si>
    <t>A00444520Z</t>
  </si>
  <si>
    <t>A00444521Z</t>
  </si>
  <si>
    <t>A00444522Z</t>
  </si>
  <si>
    <t>A00444523Z</t>
  </si>
  <si>
    <t>A00444527Z</t>
  </si>
  <si>
    <t>A00444526Z</t>
  </si>
  <si>
    <t>A00444524Z</t>
  </si>
  <si>
    <t>A00444525Z</t>
  </si>
  <si>
    <t>A00444529Z</t>
  </si>
  <si>
    <t>A00444539Z</t>
  </si>
  <si>
    <t>A00444528Z</t>
  </si>
  <si>
    <t>A00444530Z</t>
  </si>
  <si>
    <t>A00444531Z</t>
  </si>
  <si>
    <t>A00444532Z</t>
  </si>
  <si>
    <t>A00444537Z</t>
  </si>
  <si>
    <t>A00444536Z</t>
  </si>
  <si>
    <t>A00444535Z</t>
  </si>
  <si>
    <t>A00444533Z</t>
  </si>
  <si>
    <t>A00444534Z</t>
  </si>
  <si>
    <t>A00444538Z</t>
  </si>
  <si>
    <t>A00444361Z</t>
  </si>
  <si>
    <t>A00444540Z</t>
  </si>
  <si>
    <t>A00444362Z</t>
  </si>
  <si>
    <t>A00444364Z</t>
  </si>
  <si>
    <t>A00444363Z</t>
  </si>
  <si>
    <t>240000/payé</t>
  </si>
  <si>
    <t>A00444367Z</t>
  </si>
  <si>
    <t>A00444366Z</t>
  </si>
  <si>
    <t>A00444365Z</t>
  </si>
  <si>
    <t>A00444368Z</t>
  </si>
  <si>
    <t>A00444370Z</t>
  </si>
  <si>
    <t>A00444371Z</t>
  </si>
  <si>
    <t>A00444373Z</t>
  </si>
  <si>
    <t>A00444378Z</t>
  </si>
  <si>
    <t>A00444375Z</t>
  </si>
  <si>
    <t>A00444376Z</t>
  </si>
  <si>
    <t>A00444386Z</t>
  </si>
  <si>
    <t>A00444377Z</t>
  </si>
  <si>
    <t>A00444379Z</t>
  </si>
  <si>
    <t>A00444382Z</t>
  </si>
  <si>
    <t>A00444383Z</t>
  </si>
  <si>
    <t>A00444384Z</t>
  </si>
  <si>
    <t>A00444385Z</t>
  </si>
  <si>
    <t>A00444381Z</t>
  </si>
  <si>
    <t>A00444380Z</t>
  </si>
  <si>
    <t>A00444387Z</t>
  </si>
  <si>
    <t>A00444388Z</t>
  </si>
  <si>
    <t>A00444389Z</t>
  </si>
  <si>
    <t>A00444390Z</t>
  </si>
  <si>
    <t>Ocean</t>
  </si>
  <si>
    <t>Afreco</t>
  </si>
  <si>
    <t>Shanghai</t>
  </si>
  <si>
    <t>A00444391Z</t>
  </si>
  <si>
    <t>A00444369Z</t>
  </si>
  <si>
    <t>A00444372Z</t>
  </si>
  <si>
    <t>A00444396Z</t>
  </si>
  <si>
    <t>A00444397Z</t>
  </si>
  <si>
    <t>A00444398Z</t>
  </si>
  <si>
    <t>A00444399Z</t>
  </si>
  <si>
    <t>A00444401Z</t>
  </si>
  <si>
    <t>A00444400Z</t>
  </si>
  <si>
    <t>A00444403Z</t>
  </si>
  <si>
    <t>A00444404Z</t>
  </si>
  <si>
    <t>A00444405Z</t>
  </si>
  <si>
    <t>A00444406Z</t>
  </si>
  <si>
    <t>A00444407Z</t>
  </si>
  <si>
    <t>SOCIETE COOPERATIVE SIMPLIFIEE</t>
  </si>
  <si>
    <t>A00444409Z</t>
  </si>
  <si>
    <t>A00444410Z</t>
  </si>
  <si>
    <t>A00444411Z</t>
  </si>
  <si>
    <t>A00444408Z</t>
  </si>
  <si>
    <t>A00444412Z</t>
  </si>
  <si>
    <t>A00444374Z</t>
  </si>
  <si>
    <t>A00444413Z</t>
  </si>
  <si>
    <t>A00444415Z</t>
  </si>
  <si>
    <t>A00444417Z</t>
  </si>
  <si>
    <t>A00444416Z</t>
  </si>
  <si>
    <t>A00444419Z</t>
  </si>
  <si>
    <t>A00444418Z</t>
  </si>
  <si>
    <t>A00444420Z</t>
  </si>
  <si>
    <t>A00445381Z</t>
  </si>
  <si>
    <t>A00445382Z</t>
  </si>
  <si>
    <t>A00445383Z</t>
  </si>
  <si>
    <t>A00445386Z</t>
  </si>
  <si>
    <t>A00445387Z</t>
  </si>
  <si>
    <t>A00445384Z</t>
  </si>
  <si>
    <t>A00445385Z</t>
  </si>
  <si>
    <t>A00445388Z</t>
  </si>
  <si>
    <t>A00445389Z</t>
  </si>
  <si>
    <t>A00445390Z</t>
  </si>
  <si>
    <t>MBSGI-COOPRAMOVIT SARL</t>
  </si>
  <si>
    <t>IVOIRE AGRO TRADING</t>
  </si>
  <si>
    <t>A00445391Z</t>
  </si>
  <si>
    <t>A00445397Z</t>
  </si>
  <si>
    <t>A00445396Z</t>
  </si>
  <si>
    <t>A00445395Z</t>
  </si>
  <si>
    <t>A00445394Z</t>
  </si>
  <si>
    <t>A00445393Z</t>
  </si>
  <si>
    <t>A00445392Z</t>
  </si>
  <si>
    <t>AGL P/C IMC CORPORATION SA</t>
  </si>
  <si>
    <t>A00445398Z</t>
  </si>
  <si>
    <t>A00445399Z</t>
  </si>
  <si>
    <t>A00444414Z</t>
  </si>
  <si>
    <t>A00445400Z</t>
  </si>
  <si>
    <t>A00445401Z</t>
  </si>
  <si>
    <t>A00445402Z</t>
  </si>
  <si>
    <t>A00445403Z</t>
  </si>
  <si>
    <t>A00445410Z</t>
  </si>
  <si>
    <t>A00445411Z</t>
  </si>
  <si>
    <t>A00445408Z</t>
  </si>
  <si>
    <t>A00445405Z</t>
  </si>
  <si>
    <t>A00445409Z</t>
  </si>
  <si>
    <t>A00445404Z</t>
  </si>
  <si>
    <t>A00445406Z</t>
  </si>
  <si>
    <t>A00445407Z</t>
  </si>
  <si>
    <t>A00445412Z</t>
  </si>
  <si>
    <t>A00445413Z</t>
  </si>
  <si>
    <t>A00445414Z</t>
  </si>
  <si>
    <t>TELEX</t>
  </si>
  <si>
    <t>A00445415Z</t>
  </si>
  <si>
    <t>A00445416Z</t>
  </si>
  <si>
    <t>A00445420Z</t>
  </si>
  <si>
    <t>A00445422Z</t>
  </si>
  <si>
    <t>A00445421Z</t>
  </si>
  <si>
    <t>A00445423Z</t>
  </si>
  <si>
    <t>A00445424Z</t>
  </si>
  <si>
    <t>A00445425Z</t>
  </si>
  <si>
    <t>A00445426Z</t>
  </si>
  <si>
    <t>A00445429Z</t>
  </si>
  <si>
    <t>A00445428Z</t>
  </si>
  <si>
    <t>A00445427Z</t>
  </si>
  <si>
    <t>A00445430Z</t>
  </si>
  <si>
    <t>ATT</t>
  </si>
  <si>
    <t>A00445432Z</t>
  </si>
  <si>
    <t>A00445433Z</t>
  </si>
  <si>
    <t>A00445437Z</t>
  </si>
  <si>
    <t>A00445439Z</t>
  </si>
  <si>
    <t>A00445438Z</t>
  </si>
  <si>
    <t>A00445436Z</t>
  </si>
  <si>
    <t>A00445435Z</t>
  </si>
  <si>
    <t>A00445440Z</t>
  </si>
  <si>
    <t>A00445921Z</t>
  </si>
  <si>
    <t>A00445931Z</t>
  </si>
  <si>
    <t>A00445923Z</t>
  </si>
  <si>
    <t>A00445922Z</t>
  </si>
  <si>
    <t>A00445924Z</t>
  </si>
  <si>
    <t>A00445431Z</t>
  </si>
  <si>
    <t>AGRILAND</t>
  </si>
  <si>
    <t>A00445419Z</t>
  </si>
  <si>
    <t>A00445418Z</t>
  </si>
  <si>
    <t>A00445925Z</t>
  </si>
  <si>
    <t>A00444395Z</t>
  </si>
  <si>
    <t>A00444394Z</t>
  </si>
  <si>
    <t>A00444393Z</t>
  </si>
  <si>
    <t>A00444392Z</t>
  </si>
  <si>
    <t>A00445926Z</t>
  </si>
  <si>
    <t>A00445927Z</t>
  </si>
  <si>
    <t>A00445928Z</t>
  </si>
  <si>
    <t>A00445929Z</t>
  </si>
  <si>
    <t>A00445930Z</t>
  </si>
  <si>
    <t>A00445932Z</t>
  </si>
  <si>
    <t>A00445933Z</t>
  </si>
  <si>
    <t>,</t>
  </si>
  <si>
    <t>A00445934Z</t>
  </si>
  <si>
    <t>A00445935Z</t>
  </si>
  <si>
    <t>A00445936Z</t>
  </si>
  <si>
    <t>A00445937Z</t>
  </si>
  <si>
    <t>A00445938Z</t>
  </si>
  <si>
    <t>A00445939Z</t>
  </si>
  <si>
    <t>A00445940Z</t>
  </si>
  <si>
    <t>A00445942Z</t>
  </si>
  <si>
    <t>A00445941Z</t>
  </si>
  <si>
    <t>A00445943Z</t>
  </si>
  <si>
    <t>A00445944Z</t>
  </si>
  <si>
    <t>A004421795Z</t>
  </si>
  <si>
    <t>A00445946Z</t>
  </si>
  <si>
    <t>A00445945Z</t>
  </si>
  <si>
    <t>A00445947Z</t>
  </si>
  <si>
    <t>A00445950Z</t>
  </si>
  <si>
    <t>A0044595Z</t>
  </si>
  <si>
    <t>A00445948Z</t>
  </si>
  <si>
    <t>A00445951Z</t>
  </si>
  <si>
    <t>A00445952Z</t>
  </si>
  <si>
    <t>A00445954Z</t>
  </si>
  <si>
    <t>A00445953Z</t>
  </si>
  <si>
    <t>A00445955Z</t>
  </si>
  <si>
    <t>OK**</t>
  </si>
  <si>
    <t>A00445956Z</t>
  </si>
  <si>
    <t>SGSIN/CNTAO</t>
  </si>
  <si>
    <t>A00445957Z</t>
  </si>
  <si>
    <t>A00445958Z</t>
  </si>
  <si>
    <t>A00445417Z</t>
  </si>
  <si>
    <t>A00444402Z</t>
  </si>
  <si>
    <t>A00445962Z</t>
  </si>
  <si>
    <t>A00445964Z</t>
  </si>
  <si>
    <t>A00445963Z</t>
  </si>
  <si>
    <t>A00445960Z</t>
  </si>
  <si>
    <t>A00445961Z</t>
  </si>
  <si>
    <t>A00445966Z</t>
  </si>
  <si>
    <t>A00445967Z</t>
  </si>
  <si>
    <t>A00445965Z</t>
  </si>
  <si>
    <t>A00445959Z</t>
  </si>
  <si>
    <t>A00445977Z</t>
  </si>
  <si>
    <t>A00445978Z</t>
  </si>
  <si>
    <t>A00445970Z</t>
  </si>
  <si>
    <t>A00445979Z</t>
  </si>
  <si>
    <t>A00445968Z</t>
  </si>
  <si>
    <t>A00445980Z</t>
  </si>
  <si>
    <t>A00445969Z</t>
  </si>
  <si>
    <t>A00445976Z</t>
  </si>
  <si>
    <t>A00445975Z</t>
  </si>
  <si>
    <t>A00445974Z</t>
  </si>
  <si>
    <t>A00445973Z</t>
  </si>
  <si>
    <t>A00445972Z</t>
  </si>
  <si>
    <t>A00703382Z</t>
  </si>
  <si>
    <t>A00703381Z</t>
  </si>
  <si>
    <t>A00703385Z</t>
  </si>
  <si>
    <t>A00703386Z</t>
  </si>
  <si>
    <t>A00703383Z</t>
  </si>
  <si>
    <t>A00703384Z</t>
  </si>
  <si>
    <t>A00703387Z</t>
  </si>
  <si>
    <t>A00703389Z</t>
  </si>
  <si>
    <t>A00703390Z</t>
  </si>
  <si>
    <t>A00703392Z</t>
  </si>
  <si>
    <t>A00703391Z</t>
  </si>
  <si>
    <t>A00703393Z</t>
  </si>
  <si>
    <t>A00703394Z</t>
  </si>
  <si>
    <t>A00703395Z</t>
  </si>
  <si>
    <t>A00703396Z</t>
  </si>
  <si>
    <t>A00703397Z</t>
  </si>
  <si>
    <t>A00703398Z</t>
  </si>
  <si>
    <t>A00703399Z</t>
  </si>
  <si>
    <t>A00703400Z</t>
  </si>
  <si>
    <t>A00703401Z</t>
  </si>
  <si>
    <t>A00703402Z</t>
  </si>
  <si>
    <t>A00703403Z</t>
  </si>
  <si>
    <t>A00703404Z</t>
  </si>
  <si>
    <t>A00703405Z</t>
  </si>
  <si>
    <t>A00703406Z</t>
  </si>
  <si>
    <t>A00703407Z</t>
  </si>
  <si>
    <t>A00703408Z</t>
  </si>
  <si>
    <t>A00703409Z</t>
  </si>
  <si>
    <t>A00703410Z</t>
  </si>
  <si>
    <t>A00703411Z</t>
  </si>
  <si>
    <t>A00703412Z</t>
  </si>
  <si>
    <t>A00703413Z</t>
  </si>
  <si>
    <t>A00703414Z</t>
  </si>
  <si>
    <t>A00703415Z</t>
  </si>
  <si>
    <t>A00703416Z</t>
  </si>
  <si>
    <t>A00703417Z</t>
  </si>
  <si>
    <t>A00703418Z</t>
  </si>
  <si>
    <t>A00703419Z</t>
  </si>
  <si>
    <t>AGRIVAR</t>
  </si>
  <si>
    <t>FOODS'CO</t>
  </si>
  <si>
    <t>A00703723Z</t>
  </si>
  <si>
    <t>A00703424Z</t>
  </si>
  <si>
    <t>A00703427Z</t>
  </si>
  <si>
    <t>A00703428Z</t>
  </si>
  <si>
    <t>A00703425Z</t>
  </si>
  <si>
    <t>A00703426Z</t>
  </si>
  <si>
    <t>A00703429Z</t>
  </si>
  <si>
    <t>A00703430Z</t>
  </si>
  <si>
    <t>A00703388Z</t>
  </si>
  <si>
    <t>A00703431Z</t>
  </si>
  <si>
    <t>A00703432Z</t>
  </si>
  <si>
    <t>A00703433Z</t>
  </si>
  <si>
    <t>A00703434Z</t>
  </si>
  <si>
    <t>A00703435Z</t>
  </si>
  <si>
    <t>A00703436Z</t>
  </si>
  <si>
    <t>A00703437Z</t>
  </si>
  <si>
    <t>A00703439Z</t>
  </si>
  <si>
    <t>A00703438Z</t>
  </si>
  <si>
    <t>A00703440Z</t>
  </si>
  <si>
    <t>A00703441Z</t>
  </si>
  <si>
    <t>A00703442Z</t>
  </si>
  <si>
    <t>A00703443Z</t>
  </si>
  <si>
    <t>A00703444Z</t>
  </si>
  <si>
    <t>A00703445Z</t>
  </si>
  <si>
    <t>A00703446Z</t>
  </si>
  <si>
    <t>A00703447Z</t>
  </si>
  <si>
    <t>A00703448Z</t>
  </si>
  <si>
    <t>A00703449Z</t>
  </si>
  <si>
    <t>A00703451Z</t>
  </si>
  <si>
    <t>A00703450Z</t>
  </si>
  <si>
    <t>A00703452Z</t>
  </si>
  <si>
    <t>A00703453Z</t>
  </si>
  <si>
    <t>A00703455Z</t>
  </si>
  <si>
    <t>A00703454Z</t>
  </si>
  <si>
    <t>A00703456Z</t>
  </si>
  <si>
    <t>A00703462Z</t>
  </si>
  <si>
    <t>A00703458Z</t>
  </si>
  <si>
    <t>A00703460Z</t>
  </si>
  <si>
    <t>A00703459Z</t>
  </si>
  <si>
    <t>A00703461Z</t>
  </si>
  <si>
    <t>A00703464Z</t>
  </si>
  <si>
    <t>A00703465Z</t>
  </si>
  <si>
    <t>A00703470Z</t>
  </si>
  <si>
    <t>A00703469Z</t>
  </si>
  <si>
    <t>A00703468Z</t>
  </si>
  <si>
    <t>A00703467Z</t>
  </si>
  <si>
    <t>A00703471Z</t>
  </si>
  <si>
    <t>A00703472Z</t>
  </si>
  <si>
    <t>A00703474Z</t>
  </si>
  <si>
    <t>A00703473Z</t>
  </si>
  <si>
    <t>A00703475Z</t>
  </si>
  <si>
    <t>A00703466Z</t>
  </si>
  <si>
    <t>A00703476Z</t>
  </si>
  <si>
    <t>A00703477Z</t>
  </si>
  <si>
    <t>A00703478Z</t>
  </si>
  <si>
    <t>A00703479Z</t>
  </si>
  <si>
    <t>A00703480Z</t>
  </si>
  <si>
    <t>A00703481Z</t>
  </si>
  <si>
    <t>A00703457Z</t>
  </si>
  <si>
    <t>A00703482Z</t>
  </si>
  <si>
    <t>A00703483Z</t>
  </si>
  <si>
    <t>A00445971Z</t>
  </si>
  <si>
    <t>A00703485Z</t>
  </si>
  <si>
    <t>A00703484Z</t>
  </si>
  <si>
    <t>A00703422Z</t>
  </si>
  <si>
    <t>A00703420Z</t>
  </si>
  <si>
    <t>A00703421Z</t>
  </si>
  <si>
    <t>A00703487Z</t>
  </si>
  <si>
    <t>A00703486Z</t>
  </si>
  <si>
    <t>A00703489Z</t>
  </si>
  <si>
    <t>A00703488Z</t>
  </si>
  <si>
    <t>A00703490Z</t>
  </si>
  <si>
    <t>A00703491Z</t>
  </si>
  <si>
    <t>A00703494Z</t>
  </si>
  <si>
    <t>A00703493Z</t>
  </si>
  <si>
    <t>A00703492Z</t>
  </si>
  <si>
    <t>A00703495Z</t>
  </si>
  <si>
    <t>A00703496Z</t>
  </si>
  <si>
    <t>A00703497Z</t>
  </si>
  <si>
    <t>A00703498Z</t>
  </si>
  <si>
    <t>A00703499Z</t>
  </si>
  <si>
    <t>A00703686Z</t>
  </si>
  <si>
    <t>A00703685Z</t>
  </si>
  <si>
    <t>A00703682Z</t>
  </si>
  <si>
    <t>A00703683Z</t>
  </si>
  <si>
    <t>A00703500Z</t>
  </si>
  <si>
    <t>A00703681Z</t>
  </si>
  <si>
    <t>A00703684Z</t>
  </si>
  <si>
    <t>A00703687Z</t>
  </si>
  <si>
    <t>A00703688Z</t>
  </si>
  <si>
    <t>A00703689Z</t>
  </si>
  <si>
    <t>A00703690Z</t>
  </si>
  <si>
    <t>A00703691Z</t>
  </si>
  <si>
    <t>A00703692Z</t>
  </si>
  <si>
    <t>A00703693Z</t>
  </si>
  <si>
    <t>A00703694Z</t>
  </si>
  <si>
    <t>A00703695Z</t>
  </si>
  <si>
    <t>A00703696Z</t>
  </si>
  <si>
    <t>A00703697Z</t>
  </si>
  <si>
    <t>A00703698Z</t>
  </si>
  <si>
    <t>Bloqué</t>
  </si>
  <si>
    <t>A00703699Z</t>
  </si>
  <si>
    <t>A00703700Z</t>
  </si>
  <si>
    <t>A00703701Z</t>
  </si>
  <si>
    <t>A00703702Z</t>
  </si>
  <si>
    <t>A00703704Z</t>
  </si>
  <si>
    <t>A00703703Z</t>
  </si>
  <si>
    <t>A00703705Z</t>
  </si>
  <si>
    <t>A00703706Z</t>
  </si>
  <si>
    <t>A00703709Z</t>
  </si>
  <si>
    <t>A00703710Z</t>
  </si>
  <si>
    <t>A00703708Z</t>
  </si>
  <si>
    <t>A00703707Z</t>
  </si>
  <si>
    <t>A00703712Z</t>
  </si>
  <si>
    <t>A00703711Z</t>
  </si>
  <si>
    <t>A00703714Z</t>
  </si>
  <si>
    <t>A00703715Z</t>
  </si>
  <si>
    <t>A00703716Z</t>
  </si>
  <si>
    <t>A00703717Z</t>
  </si>
  <si>
    <t>A00703722Z</t>
  </si>
  <si>
    <t>A00703721Z</t>
  </si>
  <si>
    <t>A00703720Z</t>
  </si>
  <si>
    <t>A00703724Z</t>
  </si>
  <si>
    <t>A00703718Z</t>
  </si>
  <si>
    <t>A00703725Z</t>
  </si>
  <si>
    <t>A00703713Z</t>
  </si>
  <si>
    <t>A00703719Z</t>
  </si>
  <si>
    <t>FRETOK</t>
  </si>
  <si>
    <t>OKPRINT</t>
  </si>
  <si>
    <t>RETRAITCONNAIST</t>
  </si>
  <si>
    <t>D.RETRAIT</t>
  </si>
  <si>
    <t>OlamIvoireSa</t>
  </si>
  <si>
    <t>OKP</t>
  </si>
  <si>
    <t>QuangThienImexS.A</t>
  </si>
  <si>
    <t>400USD</t>
  </si>
  <si>
    <t>LouisDreyfusCompanySuisseSA</t>
  </si>
  <si>
    <t>Alci(SocieteAlimentsDeCoteD'Ivoire)</t>
  </si>
  <si>
    <t>LACOMPAGNIEDESCAOUTCHOUCS</t>
  </si>
  <si>
    <t>DiakiteCocoaProducts</t>
  </si>
  <si>
    <t>SONGAWOLF</t>
  </si>
  <si>
    <t>dnecopies</t>
  </si>
  <si>
    <t>ROMEUCOTED'IVOIRE</t>
  </si>
  <si>
    <t>OK/SWB</t>
  </si>
  <si>
    <t>SwbetTPpayéparvirementsurleRIBdeAGL</t>
  </si>
  <si>
    <t>FOODS'COSA</t>
  </si>
  <si>
    <t>OK/2681,3USD</t>
  </si>
  <si>
    <t>MARINEBIOTECHNOLOGY(MBPCI)</t>
  </si>
  <si>
    <t>OK/2120EURO</t>
  </si>
  <si>
    <t>chargelocalespayées</t>
  </si>
  <si>
    <t>COMPAGNIEMODERNEPRODUCTIONDECAOUTCHOUC</t>
  </si>
  <si>
    <t>Détentionannulée,topimpress</t>
  </si>
  <si>
    <t>INPROBOISTELEX</t>
  </si>
  <si>
    <t>OK3600USD</t>
  </si>
  <si>
    <t>PEPISTARV.011N</t>
  </si>
  <si>
    <t>OKDNE</t>
  </si>
  <si>
    <t>3600USD</t>
  </si>
  <si>
    <t>OKTELEX</t>
  </si>
  <si>
    <t>ZOI530E</t>
  </si>
  <si>
    <t>COPIEDNEOK</t>
  </si>
  <si>
    <t>ATTOK</t>
  </si>
  <si>
    <t>QUANGTHIENIMEXS.A</t>
  </si>
  <si>
    <t>450USD</t>
  </si>
  <si>
    <t>CMPC</t>
  </si>
  <si>
    <t>toprinttobelgium</t>
  </si>
  <si>
    <t>COMPAGNIEMODERNEDEPRODUCION</t>
  </si>
  <si>
    <t>1900USD</t>
  </si>
  <si>
    <t>attcorrect</t>
  </si>
  <si>
    <t>OLAMIVOIRESA</t>
  </si>
  <si>
    <t>CONTINENTALRUBBERSA</t>
  </si>
  <si>
    <t>msgdeconfirmationdepaiementenvoyéauPOD</t>
  </si>
  <si>
    <t>AGLP/CGEPATEKSTIL</t>
  </si>
  <si>
    <t>AGLP/CIMCCORPORATIONSA</t>
  </si>
  <si>
    <t>1800USD</t>
  </si>
  <si>
    <t>OLAMAGRIRUBBERCOTEDIVOIRE</t>
  </si>
  <si>
    <t>566,25XOF</t>
  </si>
  <si>
    <t>SANFRANCISCOV.006E</t>
  </si>
  <si>
    <t>HANSSERVICE</t>
  </si>
  <si>
    <t>AgsFRASERSCote-D'ivoire</t>
  </si>
  <si>
    <t>1850USD</t>
  </si>
  <si>
    <t>CargillCottonLtd.</t>
  </si>
  <si>
    <t>Euro-RijnCrossTradeB.V.</t>
  </si>
  <si>
    <t>ETSKJSELU</t>
  </si>
  <si>
    <t>600USD</t>
  </si>
  <si>
    <t>DIAKITECOCOAPRODUCTSSARL</t>
  </si>
  <si>
    <t>OlamCocoaB.V.</t>
  </si>
  <si>
    <t>ROYALKEANINTERNATIONALFZE</t>
  </si>
  <si>
    <t>ReeferSystemB.V.</t>
  </si>
  <si>
    <t>OLAMAGRIRUBBERCI</t>
  </si>
  <si>
    <t>696USD</t>
  </si>
  <si>
    <t>ETSKJSELU/SWB</t>
  </si>
  <si>
    <t>RENAPV.009E</t>
  </si>
  <si>
    <t>okdne</t>
  </si>
  <si>
    <t>480USD</t>
  </si>
  <si>
    <t>ETSKJSELU/10</t>
  </si>
  <si>
    <t>4500USD</t>
  </si>
  <si>
    <t>revoirlefreighting</t>
  </si>
  <si>
    <t>ETSKJSELU/6</t>
  </si>
  <si>
    <t>2700USD</t>
  </si>
  <si>
    <t>ETSKJSELU/2SWB</t>
  </si>
  <si>
    <t>1600USD</t>
  </si>
  <si>
    <t>SaiCommoditiesLtd</t>
  </si>
  <si>
    <t>ONEREPUTATION008E</t>
  </si>
  <si>
    <t>ToyoTireCorporation</t>
  </si>
  <si>
    <t>TropicoreS.A.</t>
  </si>
  <si>
    <t>oblRelachéàdestination</t>
  </si>
  <si>
    <t>OKSWB</t>
  </si>
  <si>
    <t>TanIvoireSa</t>
  </si>
  <si>
    <t>280000/Waiveparfélix</t>
  </si>
  <si>
    <t>OzeanBrokerage&amp;ShippingAG</t>
  </si>
  <si>
    <t>informercommdeskapresrelache=ok</t>
  </si>
  <si>
    <t>FarmlandShippingServicesSarl</t>
  </si>
  <si>
    <t>fretdéjàrégléàdestination</t>
  </si>
  <si>
    <t>RECTIF50000XOF</t>
  </si>
  <si>
    <t>LouisDreyfusCommoditySuisse </t>
  </si>
  <si>
    <t>NourCoopCa</t>
  </si>
  <si>
    <t>TechcomCapitalInc</t>
  </si>
  <si>
    <t>OKABJ</t>
  </si>
  <si>
    <t>RECTIF100000XOF/OKpayé</t>
  </si>
  <si>
    <t>2160000/accorddepriseencharge</t>
  </si>
  <si>
    <t>Cross-TradesShippingServicesB.V.</t>
  </si>
  <si>
    <t>BARRYCALLEBAUTSOURCINGAG</t>
  </si>
  <si>
    <t>CARGILLBV</t>
  </si>
  <si>
    <t>SwissTradingSolutionsAG</t>
  </si>
  <si>
    <t>AscotAmsterdamB.V.</t>
  </si>
  <si>
    <t>CENTAURUSV.009N</t>
  </si>
  <si>
    <t>okbldne</t>
  </si>
  <si>
    <t>GEPATEKSTILSANAYI</t>
  </si>
  <si>
    <t>IMCCORPORATIONSA</t>
  </si>
  <si>
    <t>msgdepriseenchargeLégrédu31/07/2025</t>
  </si>
  <si>
    <t>TRADEINVEST</t>
  </si>
  <si>
    <t>ABJOK</t>
  </si>
  <si>
    <t>2620000/Okpayé</t>
  </si>
  <si>
    <t>MBSGI-COOPRAMOVITSARL</t>
  </si>
  <si>
    <t>COTED'IVOIRECAJOU/ATTENTEFRETPAIEMENT</t>
  </si>
  <si>
    <t>TANIVOIRESA</t>
  </si>
  <si>
    <t>MsgdepriseenchargeLégréDeDiallodu04/08/2025</t>
  </si>
  <si>
    <t>Detréglé-FX01501211</t>
  </si>
  <si>
    <t>(SCOOPSSOCODD)</t>
  </si>
  <si>
    <t>9840000/reduità2500000réglé</t>
  </si>
  <si>
    <t>SOCIETEIVOIRIENNECOCOA</t>
  </si>
  <si>
    <t>GROUPECAMI-CISARL</t>
  </si>
  <si>
    <t>TECHCOMCAPITALINC.</t>
  </si>
  <si>
    <t>GROUPEKELLY</t>
  </si>
  <si>
    <t>COMPAGNIEMODERNEDEPRODUCTIONDECAOUTCHOUC</t>
  </si>
  <si>
    <t>SAPHSOCIETEAFRICAINE</t>
  </si>
  <si>
    <t>COMPAGNIEDESCAOUTCHOUCSPAKIDIE</t>
  </si>
  <si>
    <t>COMPAGNIEDESCAOUTCHOUCS</t>
  </si>
  <si>
    <t>SOCIETECOOPERATIVESIMPLIFIEE</t>
  </si>
  <si>
    <t>fretdejapayéadestination</t>
  </si>
  <si>
    <t>STECOOPNOURDALOA</t>
  </si>
  <si>
    <t>AGLP/CSwissTradingSolutionsAG</t>
  </si>
  <si>
    <t>FOOD'sCO</t>
  </si>
  <si>
    <t>100000XOF</t>
  </si>
  <si>
    <t>EACETUSV.</t>
  </si>
  <si>
    <t>440000/àrégler</t>
  </si>
  <si>
    <t>COMPAGNIEMODERNE
DEPRODUCIONDECAOUTCHOU</t>
  </si>
  <si>
    <t>fretpayé</t>
  </si>
  <si>
    <t>SOCIETED'EXPLOITATION
COTONNIEREOLAM(SECO)</t>
  </si>
  <si>
    <t>COMPAGNIEMODERNEDEPRODUCION
DECAOUTCHOU</t>
  </si>
  <si>
    <t>OLAMAGRIRUBBERCOTED'IVOIRE</t>
  </si>
  <si>
    <t>PEPISTARV.</t>
  </si>
  <si>
    <t>Dnecopies</t>
  </si>
  <si>
    <t>PoidsBrut</t>
  </si>
  <si>
    <t>Hinterland(O/N)</t>
  </si>
  <si>
    <t>SOCIETEAFRICAINEDECACAO</t>
  </si>
  <si>
    <t>SONGAWOLFV.124N</t>
  </si>
  <si>
    <t>3FCOTED'IVOIRESARL</t>
  </si>
  <si>
    <t>attok</t>
  </si>
  <si>
    <t>AFRICASOURCING</t>
  </si>
  <si>
    <t>OKOBL</t>
  </si>
  <si>
    <t>EMMANUELP</t>
  </si>
  <si>
    <t>COICP/CCARGILLCOTTON</t>
  </si>
  <si>
    <t>okp</t>
  </si>
  <si>
    <t>3760000/Msgd'accorddelegrédepriseencompte24/07/2025</t>
  </si>
  <si>
    <t>CENTRALED'ACHAT</t>
  </si>
  <si>
    <t>2TCS/SGSIN</t>
  </si>
  <si>
    <t>UNIONDESSOCIETES</t>
  </si>
  <si>
    <t>okABJ</t>
  </si>
  <si>
    <t>BOCOUMCOMMERCE</t>
  </si>
  <si>
    <t>MAMBOCOMMODITIES</t>
  </si>
  <si>
    <t>PELICAN</t>
  </si>
  <si>
    <t>8240000/detreduità1500000réglé</t>
  </si>
  <si>
    <t>CompagniedeTransformationduCaoutchoucIvoirien</t>
  </si>
  <si>
    <t>2830000/àfacturer</t>
  </si>
  <si>
    <t>TANIVOIRE</t>
  </si>
  <si>
    <t>DIAKITECOCOAPRODUCTS</t>
  </si>
  <si>
    <t>840000/réglé500000xof</t>
  </si>
  <si>
    <t>440000/Pasencorefacturé;Acollecterlorsd'unprochainBl</t>
  </si>
  <si>
    <t>AIMPRIMEABASEL</t>
  </si>
  <si>
    <t>NORDMAASV.215N</t>
  </si>
  <si>
    <t>SIDCAOSATANK</t>
  </si>
  <si>
    <t>ALCOCOAPROCESSING</t>
  </si>
  <si>
    <t>SONATAAGRIINTERNATIONALTANK</t>
  </si>
  <si>
    <t>AGRILANDTANK</t>
  </si>
  <si>
    <t>KINGDAVIDNATIONCORPORATION-REEFER</t>
  </si>
  <si>
    <t>NORDMAS216S</t>
  </si>
  <si>
    <t>DneCopies</t>
  </si>
  <si>
    <t>OKPSWB</t>
  </si>
  <si>
    <t>MARINEBIOTECHNOLOGY</t>
  </si>
  <si>
    <t>RENAPV.008</t>
  </si>
  <si>
    <t>oblok</t>
  </si>
  <si>
    <t>1847000/pasréglémessagedeFelixautorisantlarelacheduBL</t>
  </si>
  <si>
    <t>CENTRALED'ACHATDEPROD</t>
  </si>
  <si>
    <t>MBSGICOOPRAMOVITSARL</t>
  </si>
  <si>
    <t>TRAITEMENTD'ANARCADESITASA</t>
  </si>
  <si>
    <t>REDRIVERFOODSIVORYCOAST</t>
  </si>
  <si>
    <t>SANFRANCISCO</t>
  </si>
  <si>
    <t>BLOK</t>
  </si>
  <si>
    <t>SGAGRICULTURE</t>
  </si>
  <si>
    <t>RetourBlpourImpression</t>
  </si>
  <si>
    <t>STEPHANDLAMTRADING</t>
  </si>
  <si>
    <t>SEASPANDUBAI035E</t>
  </si>
  <si>
    <t>OBLDNEOK</t>
  </si>
  <si>
    <t>USCICHINE??ok</t>
  </si>
  <si>
    <t>BLOriginaleàabjapresrefusensuisse</t>
  </si>
  <si>
    <t>ILONA004E</t>
  </si>
  <si>
    <t>obldneok</t>
  </si>
  <si>
    <t>okobl</t>
  </si>
  <si>
    <t>PEPISTAR009N</t>
  </si>
  <si>
    <t>OKBLDNE</t>
  </si>
  <si>
    <t>COMPAGNIEDETRANSFORMATIONCAOUTCHOUC</t>
  </si>
  <si>
    <t>COOP-CAYAWOUBE</t>
  </si>
  <si>
    <t>PEPISTARV.008</t>
  </si>
  <si>
    <t>BarryCallebautNegoce</t>
  </si>
  <si>
    <t>ECOMAgrotradeLimited</t>
  </si>
  <si>
    <t>OKENSUISSE</t>
  </si>
  <si>
    <t>VandenBoschDMCC</t>
  </si>
  <si>
    <t>SONGAWOLFV.123</t>
  </si>
  <si>
    <t>OBLOK</t>
  </si>
  <si>
    <t>GEANTCA</t>
  </si>
  <si>
    <t>340000Payé</t>
  </si>
  <si>
    <t>NORDMAASV.214N</t>
  </si>
  <si>
    <t>EACETUSV.009</t>
  </si>
  <si>
    <t>DETFacturéencompte</t>
  </si>
  <si>
    <t>SocietePourLesProduitsAgricoles</t>
  </si>
  <si>
    <t>ONEREPUTATIONV.007W</t>
  </si>
  <si>
    <t>blsok</t>
  </si>
  <si>
    <t>560000Réglé</t>
  </si>
  <si>
    <t>COMPAGNIEDETRANSFORMATION</t>
  </si>
  <si>
    <t>SOCIETECOOPERATIVEAGRICOLE</t>
  </si>
  <si>
    <t>SOCIETEPOURLESPRODUITSAGRICOLES</t>
  </si>
  <si>
    <t>DIAKITECOCOA</t>
  </si>
  <si>
    <t>CENTAURUSV.008N</t>
  </si>
  <si>
    <t>SCOOPWARG</t>
  </si>
  <si>
    <t>OKPfretabj</t>
  </si>
  <si>
    <t>GLOBALCOTTONSA</t>
  </si>
  <si>
    <t>ETSKJS</t>
  </si>
  <si>
    <t>ATTOKfretabj</t>
  </si>
  <si>
    <t>OCEANSA</t>
  </si>
  <si>
    <t>TANIVOIRESAokcorrigé</t>
  </si>
  <si>
    <t>Attretourclient</t>
  </si>
  <si>
    <t>SONGAWOLFV.122S</t>
  </si>
  <si>
    <t>BARRYCALLEBAUTNEGOCE</t>
  </si>
  <si>
    <t>ATTOK/SWB</t>
  </si>
  <si>
    <t>ATTCORRECT</t>
  </si>
  <si>
    <t>SPARROWV.002</t>
  </si>
  <si>
    <t>320000/àfacturer</t>
  </si>
  <si>
    <t>ROYALKEANINTERNATIONAL</t>
  </si>
  <si>
    <t>SOCIETEPOURLESPRODUITS</t>
  </si>
  <si>
    <t>PEPISTARV.007N</t>
  </si>
  <si>
    <t>blsOK</t>
  </si>
  <si>
    <t>OLAMAGRIRUBBER</t>
  </si>
  <si>
    <t>SOCIETECOOPERATIVEIVOIRIENNE</t>
  </si>
  <si>
    <t>SOCIETECOOPERATIVE</t>
  </si>
  <si>
    <t>160000/àfacturer</t>
  </si>
  <si>
    <t>IVOIREMARINE</t>
  </si>
  <si>
    <t>JEANSERVAISSOMIAN</t>
  </si>
  <si>
    <t>NAVIOSMAGNOLIAV.121E</t>
  </si>
  <si>
    <t>COMPAGNIEDETRANSFORMATIONDUCAOUTCHOUCIVOIRIEN</t>
  </si>
  <si>
    <t>GSLVALERIEV.010S</t>
  </si>
  <si>
    <t>IDH-L'IvoirienneD'Hevea</t>
  </si>
  <si>
    <t>SECOOLAM</t>
  </si>
  <si>
    <t>IDH-L'IVOIRIENNEd'HEVEA</t>
  </si>
  <si>
    <t>OlamWestAfricaCottonTrading</t>
  </si>
  <si>
    <t>PhucAnConstructionConsultingAndImport</t>
  </si>
  <si>
    <t>ILONAV.003N</t>
  </si>
  <si>
    <t>STEAFRICAINEDEPLANTATIONS</t>
  </si>
  <si>
    <t>ATTAOK</t>
  </si>
  <si>
    <t>ROYALKEANINTERNAIONAL</t>
  </si>
  <si>
    <t>SONGAWOLFV.121S</t>
  </si>
  <si>
    <t>STATUS
FRET</t>
  </si>
  <si>
    <t>ECOOKIMCOOP-CA</t>
  </si>
  <si>
    <t>OKOBL+FRET</t>
  </si>
  <si>
    <t>ATTOKSWB</t>
  </si>
  <si>
    <t>OBLFRET+TELEX</t>
  </si>
  <si>
    <t>SANFRANCISCOV.004</t>
  </si>
  <si>
    <t>BTTAP/CIMCCORPORATIONSA</t>
  </si>
  <si>
    <t>SAGROCOMSARL</t>
  </si>
  <si>
    <t>PEPISTAR006S</t>
  </si>
  <si>
    <t>TEKABP800KORHOGO</t>
  </si>
  <si>
    <t>ATTSWB</t>
  </si>
  <si>
    <t>ECOOKIMCOOPCA</t>
  </si>
  <si>
    <t>RENAPV.007</t>
  </si>
  <si>
    <t>UscaciCoopCa</t>
  </si>
  <si>
    <t>ContinentalRubber</t>
  </si>
  <si>
    <t>CompagnieDesCaoutchoucsDuPakidie</t>
  </si>
  <si>
    <t>SocieteAfricaineDeCacao</t>
  </si>
  <si>
    <t>Plombpayé2*5000OK</t>
  </si>
  <si>
    <t>EACETUS008E</t>
  </si>
  <si>
    <t>COICP/CEKDM-G</t>
  </si>
  <si>
    <t>IVOIRECOMMODITYTRANSIT</t>
  </si>
  <si>
    <t>ETABLISSEMENTDRAMERA</t>
  </si>
  <si>
    <t>110000OK</t>
  </si>
  <si>
    <t>ASIAAFRICARUBBERINDUSTRY</t>
  </si>
  <si>
    <t>ASIAAFRICARUBBER</t>
  </si>
  <si>
    <t>CompagniedesCaoutchoucs</t>
  </si>
  <si>
    <t>SOFITEXP/CCARGILL</t>
  </si>
  <si>
    <t>TECHCOMCAPITALINC</t>
  </si>
  <si>
    <t>AIMPRIMERENSUISSE</t>
  </si>
  <si>
    <t>ANDROUSAV.357(BIS)</t>
  </si>
  <si>
    <t>PhucAnConstructionConsulting</t>
  </si>
  <si>
    <t>CilagriCajou</t>
  </si>
  <si>
    <t>RoyalKeanInternationalFze</t>
  </si>
  <si>
    <t>DÉJÀIMPRIME</t>
  </si>
  <si>
    <t>Euro-RijnCrossTradeB.V</t>
  </si>
  <si>
    <t>SONGAWOLFV.357E</t>
  </si>
  <si>
    <t>DET354000</t>
  </si>
  <si>
    <t>EACENTAURUSV.007</t>
  </si>
  <si>
    <t>CARGILLCOTTON</t>
  </si>
  <si>
    <t>AGLPCMAMBOCOMMODITIES</t>
  </si>
  <si>
    <t>AGLPCNAVOITRADINGLTD</t>
  </si>
  <si>
    <t>SAGROCOMS.A.R.L</t>
  </si>
  <si>
    <t>AGLPCTECHCOMCAPITALINC</t>
  </si>
  <si>
    <t>PEPISTARV.005</t>
  </si>
  <si>
    <t>DETAFACTURER</t>
  </si>
  <si>
    <t>CargillB.V.-RTM</t>
  </si>
  <si>
    <t>QuangThienImexSa</t>
  </si>
  <si>
    <t>ECOMAgrotradeLimited(EURaccount)</t>
  </si>
  <si>
    <t>detentionàvoiravecPaul1441000</t>
  </si>
  <si>
    <t>TekaSarl</t>
  </si>
  <si>
    <t>StephAndLamTrading</t>
  </si>
  <si>
    <t>NOVALISCI</t>
  </si>
  <si>
    <t>EtsKjsElu</t>
  </si>
  <si>
    <t>KinedenCommoditiesSa</t>
  </si>
  <si>
    <t>AfricaSourcing</t>
  </si>
  <si>
    <t>FacturéSWB</t>
  </si>
  <si>
    <t>SPARROWV.001</t>
  </si>
  <si>
    <t>HPH-HaiPhong,Vietnam</t>
  </si>
  <si>
    <t>PGU-PasirGudang,Johor,Malaysia</t>
  </si>
  <si>
    <t>Factureaéditer+swb</t>
  </si>
  <si>
    <t>HCM-HoChiMinh,Vietnam</t>
  </si>
  <si>
    <t>PEN-Penang,PulauPinang,Malaysia</t>
  </si>
  <si>
    <t>AsiaAfricaRubberIndustry</t>
  </si>
  <si>
    <t>QIN-Qingdao,Qingdao,Shandong,China</t>
  </si>
  <si>
    <t>NIN-Ningbo,Ningbo,Zhejiang,China</t>
  </si>
  <si>
    <t>Cmdt-CompagnieMalienne</t>
  </si>
  <si>
    <t>MELINAV.448</t>
  </si>
  <si>
    <t>PORTKELANG</t>
  </si>
  <si>
    <t>OKswb</t>
  </si>
  <si>
    <t>HaiPhong,</t>
  </si>
  <si>
    <t>HoChiMinh</t>
  </si>
  <si>
    <t>PortKlang</t>
  </si>
  <si>
    <t>TEKASARL</t>
  </si>
  <si>
    <t>HaiPhong</t>
  </si>
  <si>
    <t>IVOIRECOTON</t>
  </si>
  <si>
    <t>GLOBALCOTON</t>
  </si>
  <si>
    <t>COICA/CSTONEX</t>
  </si>
  <si>
    <t>CIDTP/CCARGILLCOTTON</t>
  </si>
  <si>
    <t>ETABLISSEMENTDRAMERA&amp;FILS</t>
  </si>
  <si>
    <t>COICP/CEKDM-GP/CROYALKEAN</t>
  </si>
  <si>
    <t>176000ANCIEN+NEW</t>
  </si>
  <si>
    <t>ASIAAFRICA</t>
  </si>
  <si>
    <t>WADIBANIKHALIDV.026N</t>
  </si>
  <si>
    <t>176000fcfa</t>
  </si>
  <si>
    <t>MCKSA</t>
  </si>
  <si>
    <t>cpfnty</t>
  </si>
  <si>
    <t>PEPISTARV.003</t>
  </si>
  <si>
    <t>Foods'COSA</t>
  </si>
  <si>
    <t>OKFRET</t>
  </si>
  <si>
    <t>OKOBLimprimé</t>
  </si>
  <si>
    <t>ILONA002</t>
  </si>
  <si>
    <t>AFRICAGLOBALLOGISTICSCI</t>
  </si>
  <si>
    <t>OLAMIVOIRESA/APPILI</t>
  </si>
  <si>
    <t>ROYALKEAN</t>
  </si>
  <si>
    <t>OKFRETABJ</t>
  </si>
  <si>
    <t>VOLANSV.035E</t>
  </si>
  <si>
    <t>NavytransGenevaS.A.</t>
  </si>
  <si>
    <t>CargillWestAfrica</t>
  </si>
  <si>
    <t>SWBOK</t>
  </si>
  <si>
    <t>PEPISTARV.004N</t>
  </si>
  <si>
    <t>FRETAbjOK</t>
  </si>
  <si>
    <t>OKTelex</t>
  </si>
  <si>
    <t>AkagnyCacaoSa</t>
  </si>
  <si>
    <t>EcookimCoopCa</t>
  </si>
  <si>
    <t>242000OK</t>
  </si>
  <si>
    <t>EACETUSV.007E</t>
  </si>
  <si>
    <t>Correctionencours</t>
  </si>
  <si>
    <t>SANFRANCISCOV.003E</t>
  </si>
  <si>
    <t>BBCOpportunity</t>
  </si>
  <si>
    <t>SIenvoyéeàSEGOB</t>
  </si>
  <si>
    <t>Correctionsencours</t>
  </si>
  <si>
    <t>OKOBL,Uploadé</t>
  </si>
  <si>
    <t>SouthlandGlobalAgriculture</t>
  </si>
  <si>
    <t>SONGAWOLF119N</t>
  </si>
  <si>
    <t>50KCORRECTION</t>
  </si>
  <si>
    <t>CommoditySuppliesAG</t>
  </si>
  <si>
    <t>OKabj</t>
  </si>
  <si>
    <t>SONGAWOLFV.118</t>
  </si>
  <si>
    <t>AlCocoaProcessing</t>
  </si>
  <si>
    <t>ANDROUSAV.356</t>
  </si>
  <si>
    <t>TradeInvest</t>
  </si>
  <si>
    <t>RENAPV.006E</t>
  </si>
  <si>
    <t>TransportIvoirePlus</t>
  </si>
  <si>
    <t>AECENTAURUSV.006</t>
  </si>
  <si>
    <t>GpaTransformation</t>
  </si>
  <si>
    <t>FRAISDERECTIF75000FCFA</t>
  </si>
  <si>
    <t>EXPRESSSPAINV.147</t>
  </si>
  <si>
    <t>ESPOIRTRANSIT</t>
  </si>
  <si>
    <t>fretAbj</t>
  </si>
  <si>
    <t>DETSUR4054201270176000/ARégléavantrelachedu4054332440</t>
  </si>
  <si>
    <t>CAMNegoce</t>
  </si>
  <si>
    <t>Massouklogistics</t>
  </si>
  <si>
    <t>DoradoIvorySa</t>
  </si>
  <si>
    <t>WADIBANIKHALIDV.025</t>
  </si>
  <si>
    <t>176000blrelachédetréglée</t>
  </si>
  <si>
    <t>VELAV.425</t>
  </si>
  <si>
    <t>OKFRETBSL</t>
  </si>
  <si>
    <t>OLAMAGRI</t>
  </si>
  <si>
    <t>OKFRETSIN</t>
  </si>
  <si>
    <t>OKFRETRTM</t>
  </si>
  <si>
    <t>CONTINENTALRUBBER</t>
  </si>
  <si>
    <t>SONGAWOLFV.117</t>
  </si>
  <si>
    <t>ToutonSA</t>
  </si>
  <si>
    <t>NATALV.135</t>
  </si>
  <si>
    <t>TropicoreS.A./IDH</t>
  </si>
  <si>
    <t>PEPISTARV.002</t>
  </si>
  <si>
    <t>66000XOF</t>
  </si>
  <si>
    <t>relacheaccordéparawaetmallé</t>
  </si>
  <si>
    <t>CompagnieDeTransformationDuCaoutchoucIvoirien</t>
  </si>
  <si>
    <t>IDH-L'IVOIRIENNE</t>
  </si>
  <si>
    <t>RENAPV.005E</t>
  </si>
  <si>
    <t>0/cpfnotifyaactualiser</t>
  </si>
  <si>
    <t>PEPISTARV.001</t>
  </si>
  <si>
    <t>OLAMCOCOAPROCESSING</t>
  </si>
  <si>
    <t>NOVALISSA</t>
  </si>
  <si>
    <t>840000/enattentedefacturation</t>
  </si>
  <si>
    <t>VIOLETAB.V.036</t>
  </si>
  <si>
    <t>LANOUVELLESCIERIE</t>
  </si>
  <si>
    <t>timbreprisencompteenaout</t>
  </si>
  <si>
    <t>ANDROUSAV.355</t>
  </si>
  <si>
    <t>COMPAGNIEIVOIRIENNEDECOTON</t>
  </si>
  <si>
    <t>DORADOIVORYSA</t>
  </si>
  <si>
    <t>NATALV.134</t>
  </si>
  <si>
    <t>SONATAAGRIINTERNATIONAL</t>
  </si>
  <si>
    <t>ATTOKOBL</t>
  </si>
  <si>
    <t>AgsFrasersCoteDivoire</t>
  </si>
  <si>
    <t>330000Payé</t>
  </si>
  <si>
    <t>EXPRESSSPAINV.146</t>
  </si>
  <si>
    <t>IDH-L'IVOIRIENNED'HEVEA</t>
  </si>
  <si>
    <t>USCACICOOPCA</t>
  </si>
  <si>
    <t>ALEXANDRIABRIDGEV.070</t>
  </si>
  <si>
    <t>CAMNEGOCE</t>
  </si>
  <si>
    <t>OK/fretabj</t>
  </si>
  <si>
    <t>VELAV.424</t>
  </si>
  <si>
    <t>VIOLETABV.035</t>
  </si>
  <si>
    <t>TranchivoireSarl</t>
  </si>
  <si>
    <t>CompagnieDeTransformationDuCaoutchouc</t>
  </si>
  <si>
    <t>OKFRET/1200EUR</t>
  </si>
  <si>
    <t>OKFRET/3180EUR</t>
  </si>
  <si>
    <t>ZAMACOMSA</t>
  </si>
  <si>
    <t>VIOLETABV.034</t>
  </si>
  <si>
    <t>OlamCocoaProcessingCi</t>
  </si>
  <si>
    <t>ChapasBataSL</t>
  </si>
  <si>
    <t>2 838000</t>
  </si>
  <si>
    <t>détentioninfondée.</t>
  </si>
  <si>
    <t>ZamacomS.A</t>
  </si>
  <si>
    <t>CargoAcademyServices</t>
  </si>
  <si>
    <t>ANDROUSAV.354N</t>
  </si>
  <si>
    <t>PRINT/DETENTIONANNULEEPARMSGAMATEUR</t>
  </si>
  <si>
    <t>GravirLogistiqueCISarl</t>
  </si>
  <si>
    <t>RENAPV.004</t>
  </si>
  <si>
    <t>CompagnieIvoirienneDeCoton</t>
  </si>
  <si>
    <t>COSCOYINKGOUV.159</t>
  </si>
  <si>
    <t>40000client</t>
  </si>
  <si>
    <t>800000oocl</t>
  </si>
  <si>
    <t>EXPRESSSPAINV.145</t>
  </si>
  <si>
    <t>DATERETRAIT</t>
  </si>
  <si>
    <t>DET/RENO/LAF</t>
  </si>
  <si>
    <t>RENO200MIL</t>
  </si>
  <si>
    <t>AgricomSa</t>
  </si>
  <si>
    <t>IvoryNuts</t>
  </si>
  <si>
    <t>RENO160MIL</t>
  </si>
  <si>
    <t>RENO80MIL</t>
  </si>
  <si>
    <t>PhucAnConstructionConsultingAndImportExportTradingCo.,Lt</t>
  </si>
  <si>
    <t>LAF100MILàfactureràlarecptdelafacture</t>
  </si>
  <si>
    <t>SasSocieted'importationetdeCommission</t>
  </si>
  <si>
    <t>DIAMANTISP.246E</t>
  </si>
  <si>
    <t>100000rectifdne+agenceOK</t>
  </si>
  <si>
    <t>WARNOWMATEV.054</t>
  </si>
  <si>
    <t>352000/detentionnonjustifiée</t>
  </si>
  <si>
    <t>ALEXANDREBRIDGEV.069</t>
  </si>
  <si>
    <t>Cross-TradesShippingServicesB.V</t>
  </si>
  <si>
    <t>AgriprojectExportSarl</t>
  </si>
  <si>
    <t>NATALV.133N</t>
  </si>
  <si>
    <t>110000/ANNULE</t>
  </si>
  <si>
    <t>UscaciCoopCa/ORACLE</t>
  </si>
  <si>
    <t>BolloreTransport&amp;Logistics(IvoryCoast)</t>
  </si>
  <si>
    <t>VIOLETABV.033N</t>
  </si>
  <si>
    <t>BARRYCALLEBAUT</t>
  </si>
  <si>
    <t>Cross-TradesShipping</t>
  </si>
  <si>
    <t>WARNOWMATEV.053N</t>
  </si>
  <si>
    <t>CPF:
NOTIFYPARTY:
CommodityCentreAmsterdam
NetherlandsB.V.
Ruijgoordweg140,1047HM
Amsterdan,TheNetherlands
TEL+31(0)202161700
EMAIL:amsterdam@commoditycentre.com</t>
  </si>
  <si>
    <t>OK+CPF</t>
  </si>
  <si>
    <t>CARGILLCOCOASARL</t>
  </si>
  <si>
    <t>RENO40MILOK+DET1265000</t>
  </si>
  <si>
    <t>CentraleD'AchatDeProduitsAgricoles</t>
  </si>
  <si>
    <t>DET235000/annuléeparralia</t>
  </si>
  <si>
    <t>FoodsCompany</t>
  </si>
  <si>
    <t>VIOLETABV.032E</t>
  </si>
  <si>
    <t>3.399000</t>
  </si>
  <si>
    <t>DatisaForwardersSL</t>
  </si>
  <si>
    <t>415360xofpayé</t>
  </si>
  <si>
    <t>UPLOADOK</t>
  </si>
  <si>
    <t>COMPAGNIEINDUST.</t>
  </si>
  <si>
    <t>ANDROUSAV.353E</t>
  </si>
  <si>
    <t>CYRIANINTERNATIONAL</t>
  </si>
  <si>
    <t>PRINTTOBASEL</t>
  </si>
  <si>
    <t>GEPATEKSIL</t>
  </si>
  <si>
    <t>aucunefactdedetentionavecAccordralia</t>
  </si>
  <si>
    <t>RENAPV.003N</t>
  </si>
  <si>
    <t>PhucAnConstructionConsultingAndImportExportTradingCo.,Ltd</t>
  </si>
  <si>
    <t>REMISEFAITE</t>
  </si>
  <si>
    <t>DETnonjustifié</t>
  </si>
  <si>
    <t>EXPRESSSPAINV.144</t>
  </si>
  <si>
    <t>SOFITEXP/CCARGILLCOTTON</t>
  </si>
  <si>
    <t>SOCIETEDECOMMERCIALISATION</t>
  </si>
  <si>
    <t>COOP-CACABF</t>
  </si>
  <si>
    <t>SOCIETEDECOMMERCIALI</t>
  </si>
  <si>
    <t>TECHCOMCAPITAL</t>
  </si>
  <si>
    <t>upload/anepasrelacher</t>
  </si>
  <si>
    <t>SOCIETEDECOMMER</t>
  </si>
  <si>
    <t>AGS/MRLEEJINMOON</t>
  </si>
  <si>
    <t>SOFITEXP/CMAMBO</t>
  </si>
  <si>
    <t>WARNOWMATEV.052</t>
  </si>
  <si>
    <t>AFRICAGLOBALLOGISTICS</t>
  </si>
  <si>
    <t>SWBCARGILL</t>
  </si>
  <si>
    <t>GPATRANSFORMATIONSA</t>
  </si>
  <si>
    <t>COSCOYINGKOUV.158E</t>
  </si>
  <si>
    <t>OLAMCOCOA</t>
  </si>
  <si>
    <t>OKSWB/upload</t>
  </si>
  <si>
    <t>MASSOUKP/CCOIC</t>
  </si>
  <si>
    <t>OKOBLPRINTTOBSL</t>
  </si>
  <si>
    <t>VATEnattente?</t>
  </si>
  <si>
    <t>OKOBL/upload</t>
  </si>
  <si>
    <t>VIOLETAB.V.031S</t>
  </si>
  <si>
    <t>SOCIETECOOPERATIVENOUVEL</t>
  </si>
  <si>
    <t>CARGILLCOCOA</t>
  </si>
  <si>
    <t>OUTSPANIVOIRESA</t>
  </si>
  <si>
    <t>Nonréglé</t>
  </si>
  <si>
    <t>nonreglé/swb</t>
  </si>
  <si>
    <t>DIAMANTISP.V.245E</t>
  </si>
  <si>
    <t>CYRIAN+FRET</t>
  </si>
  <si>
    <t>CYRIAN+FRET/SWB</t>
  </si>
  <si>
    <t>KINEDENCOMMODITIES</t>
  </si>
  <si>
    <t>DORADOIVORYSA+FRET</t>
  </si>
  <si>
    <t>restonsenattentedeladetention</t>
  </si>
  <si>
    <t>ALEXANDRIABRIDGE068</t>
  </si>
  <si>
    <t>SOCIETEDECOMCACAO/CAFE</t>
  </si>
  <si>
    <t>LAF-facturelafàmonniveau</t>
  </si>
  <si>
    <t>STEDEPLANTEURSDEDJIBOUA</t>
  </si>
  <si>
    <t>LACOMPAGNIEDESCAOUTCHOUC</t>
  </si>
  <si>
    <t>WARNOWMATE051N</t>
  </si>
  <si>
    <t>NATAL132E</t>
  </si>
  <si>
    <t>COMPAGNIEDESCAOUT</t>
  </si>
  <si>
    <t>VIOLETABV.030N</t>
  </si>
  <si>
    <t>FOOD'SCO</t>
  </si>
  <si>
    <t>MARINEBIOTECH</t>
  </si>
  <si>
    <t>STEPHANDLAM</t>
  </si>
  <si>
    <t>UNIONDESSOCIETECOOPERATIVES</t>
  </si>
  <si>
    <t>COMPAGNIEDETRANS</t>
  </si>
  <si>
    <t>TRANSCAONEGOCE</t>
  </si>
  <si>
    <t>RENAP002S</t>
  </si>
  <si>
    <t>66000+LAF+155760/payé</t>
  </si>
  <si>
    <t>IVORYNUTS</t>
  </si>
  <si>
    <t>COSCOYINGKOU157E</t>
  </si>
  <si>
    <t>AGSFRASERS</t>
  </si>
  <si>
    <t>SWBPRINT</t>
  </si>
  <si>
    <t>OBLPRINTdet66000XOFencompteàfacturer</t>
  </si>
  <si>
    <t>QUANGTHIENIMEX</t>
  </si>
  <si>
    <t>WARNOWMATE050N</t>
  </si>
  <si>
    <t>CARGILLWESTAFRICASA</t>
  </si>
  <si>
    <t>ANDROUSAV.352</t>
  </si>
  <si>
    <t>CLIENTS/SHIPPER</t>
  </si>
  <si>
    <t>BARRYCALLEBEAUT</t>
  </si>
  <si>
    <t>COMPAGNIESDESCAOUTCH</t>
  </si>
  <si>
    <t>COMPAGNIEDETRANSFO</t>
  </si>
  <si>
    <t>Détentionàregler/155.760XOF/payé</t>
  </si>
  <si>
    <t>COOPERATIVEAGRICOLE</t>
  </si>
  <si>
    <t>LAF200000XOF/payé</t>
  </si>
  <si>
    <t>SONATAAGRI</t>
  </si>
  <si>
    <t>VslName</t>
  </si>
  <si>
    <t>Vsl
Operator</t>
  </si>
  <si>
    <t>AVISd'arrivée</t>
  </si>
  <si>
    <t>TOP
IMPORT</t>
  </si>
  <si>
    <t>TOP
EXPORT</t>
  </si>
  <si>
    <t>Manifeste
Export</t>
  </si>
  <si>
    <t>EXPRESSSPAIN</t>
  </si>
  <si>
    <t>VIOLETAB</t>
  </si>
  <si>
    <t>18/12/202319:00:00</t>
  </si>
  <si>
    <t>WARNOWMATE</t>
  </si>
  <si>
    <t>24/12/202314:00:00</t>
  </si>
  <si>
    <t>COSCOYINGKOU</t>
  </si>
  <si>
    <t>25/12/202319:00:00</t>
  </si>
  <si>
    <t>RENAP</t>
  </si>
  <si>
    <t>03/01/202419:00:00</t>
  </si>
  <si>
    <t>20/01/202421:00:00</t>
  </si>
  <si>
    <t>VIOLETAB029N</t>
  </si>
  <si>
    <t>OKOBL*NepasrelacheravantpaiementLSAsurNATAL131EETVIOLETAB028N</t>
  </si>
  <si>
    <t>EXPRESSSPAIN143E</t>
  </si>
  <si>
    <t>BarryCallebautSourcingAG</t>
  </si>
  <si>
    <t>SUNNYPHOENIX328E</t>
  </si>
  <si>
    <t>BLOK(BLdéjàimprimédanslecahierderelâche)</t>
  </si>
  <si>
    <t>WARNOWMATE049N</t>
  </si>
  <si>
    <t>OKBL</t>
  </si>
  <si>
    <t>OKOBLFRETABN</t>
  </si>
  <si>
    <t>ALEXANDRIABRIDGE067E</t>
  </si>
  <si>
    <t>OKOBL(FretpayéàSingapour)</t>
  </si>
  <si>
    <t>VIOLETABV.028E</t>
  </si>
  <si>
    <t>OKSWB+FRETABN+DETENTION</t>
  </si>
  <si>
    <t>OKSWB+FRETABN</t>
  </si>
  <si>
    <t>OKOBLFRETABNresteLSAàpayer</t>
  </si>
  <si>
    <t>OKOBL(*TELEX)FRETABN</t>
  </si>
  <si>
    <t>NATALV.131E</t>
  </si>
  <si>
    <t>CDICotonnieredeDistributionSA.</t>
  </si>
  <si>
    <t>FalconAgroSarl</t>
  </si>
  <si>
    <t>OKOBL(FRETABN)</t>
  </si>
  <si>
    <t>OKOBL(FRETABN)ResteLSAàpayer</t>
  </si>
  <si>
    <t>EXPRESSBLACKSEAV.042E</t>
  </si>
  <si>
    <t>fretok</t>
  </si>
  <si>
    <t>FRETABN</t>
  </si>
  <si>
    <t>RENAPV.0001</t>
  </si>
  <si>
    <t>SOCIETEAGRICOLEDE</t>
  </si>
  <si>
    <t>fret1558usd</t>
  </si>
  <si>
    <t>FRETABN14000usd/627.50</t>
  </si>
  <si>
    <t>SAICSASOCIETE</t>
  </si>
  <si>
    <t>SAICSA</t>
  </si>
  <si>
    <t>FRETABN1058usd/627.50</t>
  </si>
  <si>
    <t>WARNOWMATE048E</t>
  </si>
  <si>
    <t>MARINEBIO</t>
  </si>
  <si>
    <t>VIOLETABV.027E</t>
  </si>
  <si>
    <t>ROCABIANCAP/CFIP</t>
  </si>
  <si>
    <t>DET407000-P/MsgannulationdeRalia</t>
  </si>
  <si>
    <t>DET198000-P/MsgannulationdeRalia</t>
  </si>
  <si>
    <t>DET627000</t>
  </si>
  <si>
    <t>FRETABIDJANOk0</t>
  </si>
  <si>
    <t>DET132000MsgannulationdeRalia</t>
  </si>
  <si>
    <t>DET44000MsgannulationdeRalia</t>
  </si>
  <si>
    <t>CIDTCOTTON</t>
  </si>
  <si>
    <t>IMPRIMERENSUISSE</t>
  </si>
  <si>
    <t>ANDROUSAV.351E</t>
  </si>
  <si>
    <t>ALLCOMMODITIES</t>
  </si>
  <si>
    <t>IMPRIMER/ATTENTECONFIRMATIONPAIEMENTDEFRETATUK</t>
  </si>
  <si>
    <t>STEINDUST.</t>
  </si>
  <si>
    <t>COMPAGNIEDETRANSP</t>
  </si>
  <si>
    <t>STECOOPNOUR</t>
  </si>
  <si>
    <t>COSCOYINGKOUV.156E</t>
  </si>
  <si>
    <t>SOCIETEAGRICOLEDECAFE</t>
  </si>
  <si>
    <t>RALIA/DETENTION+detentionapayer1200000</t>
  </si>
  <si>
    <t>COMPDESCAOUTCHS</t>
  </si>
  <si>
    <t>COMPAGNIEDETRANSFORMATIO</t>
  </si>
  <si>
    <t>LAFAFACTURER400000FCFApayé</t>
  </si>
  <si>
    <t>OLAMIVOIRE</t>
  </si>
  <si>
    <t>P-fret</t>
  </si>
  <si>
    <t>CIDTA/CCOFCO</t>
  </si>
  <si>
    <t>FOODSCOSA</t>
  </si>
  <si>
    <t>fretP/ATTENTERGLTFACTUREFRET</t>
  </si>
  <si>
    <t>EXPRESSSPAIN142E</t>
  </si>
  <si>
    <t>STEINDUS</t>
  </si>
  <si>
    <t>WARNOWMATEV.047E</t>
  </si>
  <si>
    <t>SUNNYPHOENIXV.327W</t>
  </si>
  <si>
    <t>STEACHATCACAO</t>
  </si>
  <si>
    <t>COMPAGNIEDESCAOUTC</t>
  </si>
  <si>
    <t>ALEXANDRIABRIDGEV.066E</t>
  </si>
  <si>
    <t>STEIVOIRIENNEDECACAO</t>
  </si>
  <si>
    <t>STENOUR</t>
  </si>
  <si>
    <t>VIOLETABV.026N</t>
  </si>
  <si>
    <t>CASBSCOOPS</t>
  </si>
  <si>
    <t>CENTRALACHAT</t>
  </si>
  <si>
    <t>FIRSTT</t>
  </si>
  <si>
    <t>EXPRESSBLACKSEAV.041E</t>
  </si>
  <si>
    <t>ROYALKEANINTER</t>
  </si>
  <si>
    <t>BLSPLITE7162/7169</t>
  </si>
  <si>
    <t>COICA/CCDICOTTON</t>
  </si>
  <si>
    <t>AGSFRASERSCI</t>
  </si>
  <si>
    <t>NOFRET</t>
  </si>
  <si>
    <t>VIOLETABV.025N</t>
  </si>
  <si>
    <t>FILIARUBBERGROUPE</t>
  </si>
  <si>
    <t>NEWWAN-NAIRA</t>
  </si>
  <si>
    <t>BLIMPRIME</t>
  </si>
  <si>
    <t>WARNOWMATEV.046N</t>
  </si>
  <si>
    <t>COSCOYINGKOUV.155E</t>
  </si>
  <si>
    <t>ANDROUSAV.350E</t>
  </si>
  <si>
    <t>FRETABIDJAN</t>
  </si>
  <si>
    <t>EXPRESSSPAIN141E</t>
  </si>
  <si>
    <t>NepasfacturermessagedeRaliadu20/6/2023à15:00-print</t>
  </si>
  <si>
    <t>WARNOWMATE045E</t>
  </si>
  <si>
    <t>reductionde20%</t>
  </si>
  <si>
    <t>cargillproductànepasfacturer</t>
  </si>
  <si>
    <t>VIOLETAB024E</t>
  </si>
  <si>
    <t>ROCABIANCAdetannuléemsgraliadu15/06/2312:00</t>
  </si>
  <si>
    <t>KATANACOOP/remise50%surDET</t>
  </si>
  <si>
    <t>STECOOPAGRKATANA/remise50%surDET+LAF</t>
  </si>
  <si>
    <t>SOCAKKATANA/remise50%surDET</t>
  </si>
  <si>
    <t>Retraitd'unnonnego-BLàimprimeràdestination</t>
  </si>
  <si>
    <t>exonerédeDETcarils'agitdeproduct</t>
  </si>
  <si>
    <t>NAVIOSDESTINY076E</t>
  </si>
  <si>
    <t>COSCOYINGKOU154E</t>
  </si>
  <si>
    <t>EXPRESSBLACKSEA040E</t>
  </si>
  <si>
    <t>WARNOWMATE044N</t>
  </si>
  <si>
    <t>MARTINIQUE064E</t>
  </si>
  <si>
    <t>DET22000FCFAMOVIS</t>
  </si>
  <si>
    <t>ZIMBALTIMORE001E</t>
  </si>
  <si>
    <t>VGMAFACTURER</t>
  </si>
  <si>
    <t>CENTAURUS V.000</t>
  </si>
  <si>
    <t>CNZOS</t>
  </si>
  <si>
    <t>ALG P/C IMC CORPORATION SA</t>
  </si>
  <si>
    <t>A00703726Z</t>
  </si>
  <si>
    <t>SAPPHIRE V.532E</t>
  </si>
  <si>
    <t>A00703727Z</t>
  </si>
  <si>
    <t>att ok</t>
  </si>
  <si>
    <t>GPA TRANSFORMATION SA</t>
  </si>
  <si>
    <t xml:space="preserve">CMDT ON BEHALF OF DEVCOT </t>
  </si>
  <si>
    <t>QUANG THIEN IMEX S.A.</t>
  </si>
  <si>
    <t>COMPAGNIE IVOIRIENNE DE COTON</t>
  </si>
  <si>
    <t>COMPAGNIE DE TRANSFORMATION DU 
CAOUTCHOUC IVOIRIEN</t>
  </si>
  <si>
    <t>SAPH SOCIETE AFRICAINE DE 
PLANTATION D'HEVEAS</t>
  </si>
  <si>
    <t>SAPH SOCIETE  AFRICAINE DE</t>
  </si>
  <si>
    <t>IDH - L'IVOIRIENNE D'HEVEA</t>
  </si>
  <si>
    <t>CORRECTION</t>
  </si>
  <si>
    <t>IMACOM ON BEHALF OF AMS 
AMEROPA MARKETING AND SALES AG</t>
  </si>
  <si>
    <t>OLAM AGRI RUBBER COTE DIVOIRE</t>
  </si>
  <si>
    <t>A00703729Z</t>
  </si>
  <si>
    <t>A00703730Z</t>
  </si>
  <si>
    <t>A00703732Z</t>
  </si>
  <si>
    <t>OK P</t>
  </si>
  <si>
    <t>EN ATT</t>
  </si>
  <si>
    <t xml:space="preserve">400 USD </t>
  </si>
  <si>
    <t>500 USD</t>
  </si>
  <si>
    <t>A00703734Z</t>
  </si>
  <si>
    <t>A00703733Z</t>
  </si>
  <si>
    <t>A00703731Z</t>
  </si>
  <si>
    <t>A00703737Z</t>
  </si>
  <si>
    <t>A00703736</t>
  </si>
  <si>
    <t>A00703621Z</t>
  </si>
  <si>
    <t>A00703631Z</t>
  </si>
  <si>
    <t>A00703738Z</t>
  </si>
  <si>
    <t>A00703739Z</t>
  </si>
  <si>
    <t>A00703622Z</t>
  </si>
  <si>
    <t>A00703626Z</t>
  </si>
  <si>
    <t>A00703623Z</t>
  </si>
  <si>
    <t>A00703624Z</t>
  </si>
  <si>
    <t>A00703627Z</t>
  </si>
  <si>
    <t>A00703628Z</t>
  </si>
  <si>
    <t>A00703740Z</t>
  </si>
  <si>
    <t>A00703641Z</t>
  </si>
  <si>
    <t>A00703625Z</t>
  </si>
  <si>
    <t>ONE REPUTATION</t>
  </si>
  <si>
    <t>Olam Ivoire Sa</t>
  </si>
  <si>
    <t>Euro-Rijn Cross Trade B.V.</t>
  </si>
  <si>
    <t>SCC</t>
  </si>
  <si>
    <t>OLAM AGRI RUBBER CI</t>
  </si>
  <si>
    <t xml:space="preserve">IDH </t>
  </si>
  <si>
    <t>A00703630Z</t>
  </si>
  <si>
    <t>A00703634Z</t>
  </si>
  <si>
    <t>A00703629Z</t>
  </si>
  <si>
    <t>A00703632Z</t>
  </si>
  <si>
    <t>A00703633Z</t>
  </si>
  <si>
    <t>A00703642Z</t>
  </si>
  <si>
    <t>A00703635Z</t>
  </si>
  <si>
    <t>X-PRESS ODYSSEY /117 E</t>
  </si>
  <si>
    <t>Geant Ca</t>
  </si>
  <si>
    <t>IDH- L'Ivoirienne D'Hevea</t>
  </si>
  <si>
    <t>Scoopsiac</t>
  </si>
  <si>
    <t>2301 USD</t>
  </si>
  <si>
    <t>A00703643Z</t>
  </si>
  <si>
    <t>A00703636Z</t>
  </si>
  <si>
    <t>A00703640Z</t>
  </si>
  <si>
    <t>A00703638Z</t>
  </si>
  <si>
    <t>A00703639Z</t>
  </si>
  <si>
    <t>A00703637Z</t>
  </si>
  <si>
    <t>4500 USD</t>
  </si>
  <si>
    <t>2700 USD</t>
  </si>
  <si>
    <t>1300 USD</t>
  </si>
  <si>
    <t>COMPAGNIE MODERNE DE PRODUCION DE CAOUTCHOUC</t>
  </si>
  <si>
    <t>A00703649Z</t>
  </si>
  <si>
    <t>A00703644Z</t>
  </si>
  <si>
    <t>A00703647Z</t>
  </si>
  <si>
    <t>A00703646Z</t>
  </si>
  <si>
    <t>A00703645Z</t>
  </si>
  <si>
    <t>A00703650Z</t>
  </si>
  <si>
    <t>A00703651Z</t>
  </si>
  <si>
    <t>OK DNE</t>
  </si>
  <si>
    <t>A00703652Z</t>
  </si>
  <si>
    <t>A00703653Z</t>
  </si>
  <si>
    <t>PEPI STAR V.012N</t>
  </si>
  <si>
    <t>Tropicore S.A.</t>
  </si>
  <si>
    <t>Foods' CO SA</t>
  </si>
  <si>
    <t>Romship S.A.</t>
  </si>
  <si>
    <t>TRAD' SMART</t>
  </si>
  <si>
    <t>TRAD' SMART</t>
  </si>
  <si>
    <t>BARRY CALLEBAUT SOURCING AG</t>
  </si>
  <si>
    <t>450 USD</t>
  </si>
  <si>
    <t>5400 USD</t>
  </si>
  <si>
    <t>A00703655Z</t>
  </si>
  <si>
    <t>A00703656Z</t>
  </si>
  <si>
    <t>A00703654Z</t>
  </si>
  <si>
    <t>A00703657Z</t>
  </si>
  <si>
    <t>A00703662Z</t>
  </si>
  <si>
    <t>A00703659Z</t>
  </si>
  <si>
    <t>A00703661Z</t>
  </si>
  <si>
    <t>A00703658Z</t>
  </si>
  <si>
    <t>A00703660Z</t>
  </si>
  <si>
    <t>COPIES DNE</t>
  </si>
  <si>
    <t>A00703663Z</t>
  </si>
  <si>
    <t>A00703664Z</t>
  </si>
  <si>
    <t>impression à Basel</t>
  </si>
  <si>
    <t>obl retourné pour Telex</t>
  </si>
  <si>
    <t>A00703667Z</t>
  </si>
  <si>
    <t>A00703668Z</t>
  </si>
  <si>
    <t>EA CETUS</t>
  </si>
  <si>
    <t>COMPAGNIE DE TRANSFORMATION DU CAOUTCHOUC IVOIRIEN</t>
  </si>
  <si>
    <t>COMPAGNIE MODERNE DE PRODUCTION DE CAOUTCHOUC</t>
  </si>
  <si>
    <t>OK PRINT</t>
  </si>
  <si>
    <t>A00703666Z</t>
  </si>
  <si>
    <t>A00703665Z</t>
  </si>
  <si>
    <t>A00703669Z</t>
  </si>
  <si>
    <t>100000 payé</t>
  </si>
  <si>
    <t>A00703672Z</t>
  </si>
  <si>
    <t>A00703670Z</t>
  </si>
  <si>
    <t>IDH - L'IVOIRIENNE d'HEVEA</t>
  </si>
  <si>
    <t>OK /2675,3 USD</t>
  </si>
  <si>
    <t>A00703673Z</t>
  </si>
  <si>
    <t>A00703674Z</t>
  </si>
  <si>
    <t>COPIE DNE</t>
  </si>
  <si>
    <t>A00703676Z</t>
  </si>
  <si>
    <t>A00703677Z</t>
  </si>
  <si>
    <t>A00703675Z</t>
  </si>
  <si>
    <t>A00703679Z</t>
  </si>
  <si>
    <t>A00703678Z</t>
  </si>
  <si>
    <t>A00703728Z</t>
  </si>
  <si>
    <t>A00703680Z</t>
  </si>
  <si>
    <t>A00694691Z</t>
  </si>
  <si>
    <t>A00694692Z</t>
  </si>
  <si>
    <t>A00694702Z</t>
  </si>
  <si>
    <t>DNE OK</t>
  </si>
  <si>
    <t>A00694739Z</t>
  </si>
  <si>
    <t>A00694740Z</t>
  </si>
  <si>
    <t>A00694738Z</t>
  </si>
  <si>
    <t>A00694737Z</t>
  </si>
  <si>
    <t>A00694736Z</t>
  </si>
  <si>
    <t>A00694735Z</t>
  </si>
  <si>
    <t>DNE COPIE</t>
  </si>
  <si>
    <t>A00694734Z</t>
  </si>
  <si>
    <t>A00720181Z</t>
  </si>
  <si>
    <t>A00720184Z</t>
  </si>
  <si>
    <t>A00720182Z</t>
  </si>
  <si>
    <t>A00720183Z</t>
  </si>
  <si>
    <t>A00720185Z</t>
  </si>
  <si>
    <t>AQUAMARINE</t>
  </si>
  <si>
    <t>CAM Negoce</t>
  </si>
  <si>
    <t>Scc</t>
  </si>
  <si>
    <t>SIN01</t>
  </si>
  <si>
    <t>Qingdao</t>
  </si>
  <si>
    <t xml:space="preserve">SIN01 </t>
  </si>
  <si>
    <t>OK / 300 USD</t>
  </si>
  <si>
    <t>OK / 500 USD</t>
  </si>
  <si>
    <t>A revoir</t>
  </si>
  <si>
    <t>A00703648Z</t>
  </si>
  <si>
    <t>A00720189Z</t>
  </si>
  <si>
    <t>A00720188Z</t>
  </si>
  <si>
    <t>A00720187Z</t>
  </si>
  <si>
    <t xml:space="preserve"> </t>
  </si>
  <si>
    <t>A00720190Z</t>
  </si>
  <si>
    <t>A00703735Z</t>
  </si>
  <si>
    <t>A00720192Z</t>
  </si>
  <si>
    <t>A00720191Z</t>
  </si>
  <si>
    <t>A00720193Z</t>
  </si>
  <si>
    <t>A00720194Z</t>
  </si>
  <si>
    <t>A00720195Z</t>
  </si>
  <si>
    <t>A00720196Z</t>
  </si>
  <si>
    <t>A00720197Z</t>
  </si>
  <si>
    <t>A00720198Z</t>
  </si>
  <si>
    <t>A00720199Z</t>
  </si>
  <si>
    <t>A00720200Z</t>
  </si>
  <si>
    <t>A00720201Z</t>
  </si>
  <si>
    <t>4 360 000 Payé</t>
  </si>
  <si>
    <t>1 020 000 Payé</t>
  </si>
  <si>
    <t>2 340 000 Payé</t>
  </si>
  <si>
    <t>720 000 Payé</t>
  </si>
  <si>
    <t>xxx</t>
  </si>
  <si>
    <t>A00720202Z</t>
  </si>
  <si>
    <t>EA CHARA 013E</t>
  </si>
  <si>
    <t>NAVIOS NERINE 057E</t>
  </si>
  <si>
    <t>Quang Thien Imex S.A</t>
  </si>
  <si>
    <t>Compagnie Des Caoutchoucs Du Pakidie</t>
  </si>
  <si>
    <t>Seco Sa</t>
  </si>
  <si>
    <t>OK/350 USD</t>
  </si>
  <si>
    <t>A00720203Z</t>
  </si>
  <si>
    <t>A00720204Z</t>
  </si>
  <si>
    <t>1200000  Payé-FD01500100</t>
  </si>
  <si>
    <t>OK 3600 USD</t>
  </si>
  <si>
    <t>OK 5400 USD</t>
  </si>
  <si>
    <t xml:space="preserve">OK 3300 EURO </t>
  </si>
  <si>
    <t>BARRY CALLEBAUT NEGOCE</t>
  </si>
  <si>
    <t xml:space="preserve">SACO </t>
  </si>
  <si>
    <t>ZAMACOM SA</t>
  </si>
  <si>
    <t>OK TELEX</t>
  </si>
  <si>
    <t>NORDMAAS  218N</t>
  </si>
  <si>
    <t>A00720208Z</t>
  </si>
  <si>
    <t>A00720207Z</t>
  </si>
  <si>
    <t>A00720206Z</t>
  </si>
  <si>
    <t>A00720205Z</t>
  </si>
  <si>
    <t>A00720209Z</t>
  </si>
  <si>
    <t>A00720211Z</t>
  </si>
  <si>
    <t>A00720222Z</t>
  </si>
  <si>
    <t>A00720212Z</t>
  </si>
  <si>
    <t>100K / TC X 3</t>
  </si>
  <si>
    <t>Phuc An Construction</t>
  </si>
  <si>
    <t xml:space="preserve">CTCI </t>
  </si>
  <si>
    <t>SAPPHIRE</t>
  </si>
  <si>
    <t>A00720214Z</t>
  </si>
  <si>
    <t>Cargill Cotton Ltd.</t>
  </si>
  <si>
    <t xml:space="preserve">CMPC </t>
  </si>
  <si>
    <t>Scc Sud Comoe Caoutchouc (Scc). Aboisso.</t>
  </si>
  <si>
    <t>OK Fret</t>
  </si>
  <si>
    <t>A00720217Z</t>
  </si>
  <si>
    <t>A00720215Z</t>
  </si>
  <si>
    <t>A00720216Z</t>
  </si>
  <si>
    <t>A00720218Z</t>
  </si>
  <si>
    <t>A00720219Z</t>
  </si>
  <si>
    <t>A00720220Z</t>
  </si>
  <si>
    <t>A00720221Z</t>
  </si>
  <si>
    <t>A00720223Z</t>
  </si>
  <si>
    <t>A00720232Z</t>
  </si>
  <si>
    <t>A00720230Z</t>
  </si>
  <si>
    <t>A00720231Z</t>
  </si>
  <si>
    <t>A00720228Z</t>
  </si>
  <si>
    <t>A00720229Z</t>
  </si>
  <si>
    <t>A00720226Z</t>
  </si>
  <si>
    <t>A00720225Z</t>
  </si>
  <si>
    <t>A00720227Z</t>
  </si>
  <si>
    <t>A00720224Z</t>
  </si>
  <si>
    <t>350 USD</t>
  </si>
  <si>
    <t>A00720233Z</t>
  </si>
  <si>
    <t>A00720234Z</t>
  </si>
  <si>
    <t>A00720235Z</t>
  </si>
  <si>
    <t>A00720236Z</t>
  </si>
  <si>
    <t>A00720237Z</t>
  </si>
  <si>
    <t>A00720240Z</t>
  </si>
  <si>
    <t>A00720238Z</t>
  </si>
  <si>
    <t>A00720239Z</t>
  </si>
  <si>
    <t>A00720961Z</t>
  </si>
  <si>
    <t>A00720962Z</t>
  </si>
  <si>
    <t>A00720964Z</t>
  </si>
  <si>
    <t>A00720963Z</t>
  </si>
  <si>
    <t>A00720966Z</t>
  </si>
  <si>
    <t>A00720965Z</t>
  </si>
  <si>
    <t>A00720967Z</t>
  </si>
  <si>
    <t>A00720971Z</t>
  </si>
  <si>
    <t>A00720970Z</t>
  </si>
  <si>
    <t>A00720969Z</t>
  </si>
  <si>
    <t>A00720968Z</t>
  </si>
  <si>
    <t>A00720972Z</t>
  </si>
  <si>
    <t>A00720981Z</t>
  </si>
  <si>
    <t>A00721001Z</t>
  </si>
  <si>
    <t>A00721011Z</t>
  </si>
  <si>
    <t>A00720991Z</t>
  </si>
  <si>
    <t>A00720982Z</t>
  </si>
  <si>
    <t>A00720974Z</t>
  </si>
  <si>
    <t>A00720973Z</t>
  </si>
  <si>
    <t>A00720976Z</t>
  </si>
  <si>
    <t>A00720975Z</t>
  </si>
  <si>
    <t>A00720987Z</t>
  </si>
  <si>
    <t>A00720980Z</t>
  </si>
  <si>
    <t>A00720978Z</t>
  </si>
  <si>
    <t>A00720979Z</t>
  </si>
  <si>
    <t>A00720983Z</t>
  </si>
  <si>
    <t>A00720986Z</t>
  </si>
  <si>
    <t>A00720985Z</t>
  </si>
  <si>
    <t>A00720984Z</t>
  </si>
  <si>
    <t>A00720977Z</t>
  </si>
  <si>
    <t>EA CETUS 012E</t>
  </si>
  <si>
    <t>HCM-Ho Chi Minh,Vietnam</t>
  </si>
  <si>
    <t>ZHA-Gaolan,Zhuhai, Zhuhai,</t>
  </si>
  <si>
    <t>ZIN-Xingang,Tianjin, China</t>
  </si>
  <si>
    <t>Afic Shipping Agencies</t>
  </si>
  <si>
    <t>Navytrans Geneva S.A.</t>
  </si>
  <si>
    <t>Quang Thien Imex Sa</t>
  </si>
  <si>
    <t>SIN01 - PSA Corporation Limited, Singapore, Singapore</t>
  </si>
  <si>
    <t>Maritime Concept</t>
  </si>
  <si>
    <t>Fret ABJ</t>
  </si>
  <si>
    <t>A00721026Z</t>
  </si>
  <si>
    <t>A00721031Z</t>
  </si>
  <si>
    <t>A00721030Z</t>
  </si>
  <si>
    <t>A00721027Z</t>
  </si>
  <si>
    <t>NORDMAAS 220N</t>
  </si>
  <si>
    <t>ANR-Antwerpen,</t>
  </si>
  <si>
    <t>ANR-Antwerpen</t>
  </si>
  <si>
    <t>VLC-Valencia</t>
  </si>
  <si>
    <t>Sai Commodities Ltd</t>
  </si>
  <si>
    <t>ILONA 007E</t>
  </si>
  <si>
    <t>HPH-Hai Phong,Vietnam</t>
  </si>
  <si>
    <t>TINA I 121 E</t>
  </si>
  <si>
    <t>QIN-Qingdao,Qingdao</t>
  </si>
  <si>
    <t>NIN-Ningbo</t>
  </si>
  <si>
    <t>HCM-Ho Chi Minh</t>
  </si>
  <si>
    <t>HPH-Hai Phong</t>
  </si>
  <si>
    <t>Phuc An Construction Consulting And Import Export</t>
  </si>
  <si>
    <t>A00721014Z</t>
  </si>
  <si>
    <t>A00721018Z</t>
  </si>
  <si>
    <t>A00721017Z</t>
  </si>
  <si>
    <t>A00721013Z</t>
  </si>
  <si>
    <t>EA CENTAURUS 011 E</t>
  </si>
  <si>
    <t>ZIN</t>
  </si>
  <si>
    <t>QIN</t>
  </si>
  <si>
    <t xml:space="preserve">HCM-Ho Chi </t>
  </si>
  <si>
    <t>ZHA</t>
  </si>
  <si>
    <t>ZHA-Gaolana</t>
  </si>
  <si>
    <t>FUQ-Fuqing</t>
  </si>
  <si>
    <t>MNL-Manila</t>
  </si>
  <si>
    <t>QIN-Qingdao</t>
  </si>
  <si>
    <t>Sopra Sarl</t>
  </si>
  <si>
    <t>Compagnie De Transformation Du Caoutchouc Ivoirien</t>
  </si>
  <si>
    <t>Uscaci Coop Ca</t>
  </si>
  <si>
    <t xml:space="preserve"> ok print +</t>
  </si>
  <si>
    <t xml:space="preserve"> ok print</t>
  </si>
  <si>
    <t>ok print+</t>
  </si>
  <si>
    <t>A00721005Z</t>
  </si>
  <si>
    <t>A00721002Z</t>
  </si>
  <si>
    <t>A00721000Z</t>
  </si>
  <si>
    <t>A00721022Z</t>
  </si>
  <si>
    <t>A00721021Z</t>
  </si>
  <si>
    <t>A00721008Z</t>
  </si>
  <si>
    <t>A00721009Z</t>
  </si>
  <si>
    <t>A00721007Z</t>
  </si>
  <si>
    <t>A00721099Z</t>
  </si>
  <si>
    <t>A00721003Z</t>
  </si>
  <si>
    <t>A00720997Z</t>
  </si>
  <si>
    <t>A00721004Z</t>
  </si>
  <si>
    <t>A00720995Z</t>
  </si>
  <si>
    <t>A00720993Z</t>
  </si>
  <si>
    <t>A007200994Z</t>
  </si>
  <si>
    <t>A00720996Z</t>
  </si>
  <si>
    <t>5,280,000</t>
  </si>
  <si>
    <t>600Mille</t>
  </si>
  <si>
    <t>560Mille</t>
  </si>
  <si>
    <t>PEPI STAR 014 N</t>
  </si>
  <si>
    <t>Afreco (Africaine D'Echanges Commerciaux)</t>
  </si>
  <si>
    <t>Capro Ci Sa</t>
  </si>
  <si>
    <t>AGL P/C  ICM</t>
  </si>
  <si>
    <t>MERCY TRADING</t>
  </si>
  <si>
    <t>AGL P/C OLAM AGRI</t>
  </si>
  <si>
    <t>CAD SCOOPS</t>
  </si>
  <si>
    <t>UNION DES SOCIETES COOP</t>
  </si>
  <si>
    <t>COMPAGNIE DE TRANSFORMATION CAOU</t>
  </si>
  <si>
    <t>QUANG THIEN IMEX SA</t>
  </si>
  <si>
    <t>STEPH AND LAM TRADING</t>
  </si>
  <si>
    <t>CAM NEGOCE</t>
  </si>
  <si>
    <t>100 000 NSD</t>
  </si>
  <si>
    <t>Facture tp récupéré</t>
  </si>
  <si>
    <t>facture TP récupéré</t>
  </si>
  <si>
    <t>A00721019Z</t>
  </si>
  <si>
    <t>DORADO IVORY SA</t>
  </si>
  <si>
    <t>A00721020Z</t>
  </si>
  <si>
    <t>ATT OK SWB</t>
  </si>
  <si>
    <t>TRAD' SMART /00140990</t>
  </si>
  <si>
    <t>A00721037Z</t>
  </si>
  <si>
    <t>A00721036Z</t>
  </si>
  <si>
    <t>A00721038Z</t>
  </si>
  <si>
    <t>450 EURO</t>
  </si>
  <si>
    <t>543 EURO</t>
  </si>
  <si>
    <t>1058 EURO</t>
  </si>
  <si>
    <t>858 EURO</t>
  </si>
  <si>
    <t>841 EURO</t>
  </si>
  <si>
    <t>FRET ABJ / 2500 USD</t>
  </si>
  <si>
    <t>250 USD</t>
  </si>
  <si>
    <t>2250 USD</t>
  </si>
  <si>
    <t>RTM</t>
  </si>
  <si>
    <t>CAPRO CI</t>
  </si>
  <si>
    <t>OK FRET ABJ</t>
  </si>
  <si>
    <t>A00721032Z</t>
  </si>
  <si>
    <t>A00721039Z</t>
  </si>
  <si>
    <t>A00721040Z</t>
  </si>
  <si>
    <t>A00721041Z</t>
  </si>
  <si>
    <t>A00721043Z</t>
  </si>
  <si>
    <t>A00721042Z</t>
  </si>
  <si>
    <t>A00721044Z</t>
  </si>
  <si>
    <t>A00721045Z</t>
  </si>
  <si>
    <t>A00721048Z</t>
  </si>
  <si>
    <t>A00721046Z</t>
  </si>
  <si>
    <t>A00721047Z</t>
  </si>
  <si>
    <t>A00721050Z</t>
  </si>
  <si>
    <t>A00721049Z</t>
  </si>
  <si>
    <t>A00721052Z</t>
  </si>
  <si>
    <t>A00721051Z</t>
  </si>
  <si>
    <t>A00721054Z</t>
  </si>
  <si>
    <t>A00721053Z</t>
  </si>
  <si>
    <t>AQUAMARINE V.002E</t>
  </si>
  <si>
    <t>ETS KJS ELU</t>
  </si>
  <si>
    <t>Compagnie des Caoutchoucs du Pakidie</t>
  </si>
  <si>
    <t>NORD CAJOU</t>
  </si>
  <si>
    <t>FRET ABJ 690 USD</t>
  </si>
  <si>
    <t>Sogescol FR SA</t>
  </si>
  <si>
    <t>FRET ABJ 1350 USD</t>
  </si>
  <si>
    <t>A00721057Z</t>
  </si>
  <si>
    <t>A00721055Z</t>
  </si>
  <si>
    <t>A00721058Z</t>
  </si>
  <si>
    <t>FRET ABJ 350 USD</t>
  </si>
  <si>
    <t>900 000 NSD</t>
  </si>
  <si>
    <t>A00721033Z</t>
  </si>
  <si>
    <t>A00721028Z</t>
  </si>
  <si>
    <t>A00721059Z</t>
  </si>
  <si>
    <t>A00721060Z</t>
  </si>
  <si>
    <t>A00721061Z</t>
  </si>
  <si>
    <t>A00721062Z</t>
  </si>
  <si>
    <t>A00721063Z</t>
  </si>
  <si>
    <t>A00721064Z</t>
  </si>
  <si>
    <t>A00721065Z</t>
  </si>
  <si>
    <t>A00721067Z</t>
  </si>
  <si>
    <t>A00721066Z</t>
  </si>
  <si>
    <t>A00721056Z</t>
  </si>
  <si>
    <t>140000 /A facturer au transit exp</t>
  </si>
  <si>
    <t>A00721068Z</t>
  </si>
  <si>
    <t>A0072721069Z</t>
  </si>
  <si>
    <t>Imprimé à Singapour</t>
  </si>
  <si>
    <t>A00721070Z</t>
  </si>
  <si>
    <t>A00721080Z</t>
  </si>
  <si>
    <t>ONE PRESENCE</t>
  </si>
  <si>
    <t>NORTHERN MAJESTIC</t>
  </si>
  <si>
    <t>SECO</t>
  </si>
  <si>
    <t>fret ok -- tender</t>
  </si>
  <si>
    <t>SAGROCOM SARL p/c TAN MONDIAL</t>
  </si>
  <si>
    <t xml:space="preserve">fret ok -- </t>
  </si>
  <si>
    <t>CPF</t>
  </si>
  <si>
    <t xml:space="preserve">fret ok </t>
  </si>
  <si>
    <t>fret Abj 450 usd</t>
  </si>
  <si>
    <t>555 xof</t>
  </si>
  <si>
    <t>fret Abj 900 usd</t>
  </si>
  <si>
    <t>OK IMPRESSION</t>
  </si>
  <si>
    <t>EN ATTENTE DE OK IMPRESSION</t>
  </si>
  <si>
    <t>en attente CORRECTION DRAFT client</t>
  </si>
  <si>
    <t>ok fret -tender</t>
  </si>
  <si>
    <t>CARGILL WEST AFRICA</t>
  </si>
  <si>
    <t>MERCY TRADING SOLUTION MARCORY</t>
  </si>
  <si>
    <t>FOODS'CO SA</t>
  </si>
  <si>
    <t>Fret ABJ 500 USD</t>
  </si>
  <si>
    <t>TAN MONDIAL PTE LTD</t>
  </si>
  <si>
    <t>ok fret ---</t>
  </si>
  <si>
    <t xml:space="preserve">TAN MONDIAL </t>
  </si>
  <si>
    <t>a clarifier</t>
  </si>
  <si>
    <t xml:space="preserve">SARL NORD CAJOU </t>
  </si>
  <si>
    <t>Fret ABJ 900 USD</t>
  </si>
  <si>
    <t>fret ok--</t>
  </si>
  <si>
    <t>fret ok--cam negoce LEH</t>
  </si>
  <si>
    <t xml:space="preserve">ok fret -tender </t>
  </si>
  <si>
    <r>
      <t xml:space="preserve">OK IMPRESSION // </t>
    </r>
    <r>
      <rPr>
        <b/>
        <sz val="11"/>
        <color theme="1"/>
        <rFont val="Californian FB"/>
        <family val="1"/>
      </rPr>
      <t>SWB</t>
    </r>
  </si>
  <si>
    <r>
      <t>OK IMPRESSION //</t>
    </r>
    <r>
      <rPr>
        <b/>
        <sz val="11"/>
        <color theme="1"/>
        <rFont val="Californian FB"/>
        <family val="1"/>
      </rPr>
      <t>SWB</t>
    </r>
  </si>
  <si>
    <t>statutFret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</si>
</sst>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0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fornian FB"/>
      <family val="1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b/>
      <sz val="15"/>
      <color theme="1" tint="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3"/>
      <color theme="1" tint="0.14999847407452621"/>
      <name val="Calibri"/>
      <family val="2"/>
      <scheme val="minor"/>
    </font>
    <font>
      <b/>
      <sz val="11"/>
      <color theme="1"/>
      <name val="Californian FB"/>
      <family val="1"/>
    </font>
    <font>
      <b/>
      <sz val="10"/>
      <color rgb="FFFF000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z val="10"/>
      <color theme="1"/>
      <name val="Californian FB"/>
      <family val="1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sz val="14"/>
      <color theme="1"/>
      <name val="Californian FB"/>
      <family val="1"/>
    </font>
    <font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rgb="FFC00000"/>
      <name val="Calibri"/>
      <family val="2"/>
      <scheme val="minor"/>
    </font>
    <font>
      <b/>
      <sz val="12"/>
      <color theme="1"/>
      <name val="Cambria"/>
      <family val="1"/>
    </font>
    <font>
      <sz val="13"/>
      <color theme="1"/>
      <name val="Californian FB"/>
      <family val="1"/>
    </font>
    <font>
      <sz val="11"/>
      <color theme="0" tint="-4.9989318521683403E-2"/>
      <name val="Calibri"/>
      <family val="2"/>
      <scheme val="minor"/>
    </font>
    <font>
      <sz val="12"/>
      <color theme="1"/>
      <name val="Californian FB"/>
      <family val="1"/>
    </font>
    <font>
      <sz val="12"/>
      <color theme="1"/>
      <name val="Calibri"/>
      <family val="2"/>
      <scheme val="minor"/>
    </font>
    <font>
      <sz val="12"/>
      <color theme="1"/>
      <name val="Avenir Next LT Pro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Bierstadt"/>
      <family val="2"/>
    </font>
    <font>
      <sz val="13"/>
      <color indexed="8"/>
      <name val="Bierstadt"/>
      <family val="2"/>
    </font>
    <font>
      <sz val="11"/>
      <color indexed="8"/>
      <name val="Calibri"/>
      <family val="2"/>
    </font>
    <font>
      <b/>
      <sz val="12"/>
      <color rgb="FF000000"/>
      <name val="Aptos"/>
      <family val="2"/>
    </font>
    <font>
      <sz val="12"/>
      <color theme="1" tint="0.34998626667073579"/>
      <name val="Californian FB"/>
      <family val="1"/>
    </font>
    <font>
      <b/>
      <sz val="16"/>
      <color rgb="FFFFFF00"/>
      <name val="Calibri"/>
      <family val="2"/>
      <scheme val="minor"/>
    </font>
    <font>
      <sz val="11"/>
      <color theme="1"/>
      <name val="Californian FB"/>
      <family val="1"/>
    </font>
    <font>
      <sz val="14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2"/>
      <name val="Californian FB"/>
      <family val="1"/>
    </font>
    <font>
      <sz val="11"/>
      <name val="Calibri"/>
      <family val="2"/>
      <scheme val="minor"/>
    </font>
    <font>
      <sz val="12"/>
      <color rgb="FFFF0000"/>
      <name val="Californian FB"/>
      <family val="1"/>
    </font>
    <font>
      <b/>
      <sz val="12"/>
      <color rgb="FFFF0000"/>
      <name val="Californian FB"/>
      <family val="1"/>
    </font>
    <font>
      <i/>
      <sz val="12"/>
      <color theme="1"/>
      <name val="Californian FB"/>
      <family val="1"/>
    </font>
    <font>
      <b/>
      <sz val="12"/>
      <color rgb="FFC00000"/>
      <name val="Californian FB"/>
      <family val="1"/>
    </font>
    <font>
      <sz val="10"/>
      <color rgb="FF242424"/>
      <name val="Arial"/>
      <family val="2"/>
    </font>
    <font>
      <sz val="12"/>
      <color rgb="FF000000"/>
      <name val="Cambria"/>
      <family val="1"/>
    </font>
    <font>
      <b/>
      <sz val="10"/>
      <name val="Arial"/>
      <family val="2"/>
    </font>
    <font>
      <sz val="11"/>
      <color theme="1"/>
      <name val="Aptos"/>
      <family val="2"/>
    </font>
    <font>
      <sz val="10"/>
      <color theme="1"/>
      <name val="Californian FB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color rgb="FF000000"/>
      <name val="Californian FB"/>
      <family val="1"/>
    </font>
    <font>
      <sz val="12"/>
      <color theme="1"/>
      <name val="Biome"/>
      <family val="2"/>
    </font>
    <font>
      <b/>
      <sz val="9"/>
      <color theme="1"/>
      <name val="Arial"/>
      <family val="2"/>
    </font>
    <font>
      <b/>
      <i/>
      <sz val="12"/>
      <color theme="1"/>
      <name val="Californian FB"/>
      <family val="1"/>
    </font>
    <font>
      <b/>
      <sz val="12"/>
      <color theme="1"/>
      <name val="Trebuchet MS"/>
      <family val="2"/>
    </font>
    <font>
      <b/>
      <sz val="10"/>
      <color indexed="8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imes New Roman"/>
      <family val="1"/>
    </font>
    <font>
      <sz val="11"/>
      <color rgb="FF000000"/>
      <name val="Cambria"/>
      <family val="1"/>
    </font>
    <font>
      <b/>
      <i/>
      <sz val="12"/>
      <color rgb="FFFF0000"/>
      <name val="Californian FB"/>
      <family val="1"/>
    </font>
    <font>
      <i/>
      <sz val="11"/>
      <color theme="1"/>
      <name val="Californian FB"/>
      <family val="1"/>
    </font>
    <font>
      <b/>
      <sz val="11"/>
      <color theme="1"/>
      <name val="Biome"/>
      <family val="2"/>
    </font>
    <font>
      <sz val="12"/>
      <color rgb="FF3366FF"/>
      <name val="Arial"/>
      <family val="2"/>
    </font>
    <font>
      <sz val="8"/>
      <name val="Calibri"/>
      <family val="2"/>
      <scheme val="minor"/>
    </font>
    <font>
      <i/>
      <sz val="9"/>
      <color theme="1"/>
      <name val="Biome"/>
      <family val="2"/>
    </font>
    <font>
      <b/>
      <i/>
      <sz val="11"/>
      <color theme="1"/>
      <name val="Californian FB"/>
      <family val="1"/>
    </font>
    <font>
      <sz val="11"/>
      <color theme="1"/>
      <name val="Biome"/>
      <family val="2"/>
    </font>
    <font>
      <sz val="10"/>
      <color theme="1"/>
      <name val="Biome"/>
      <family val="2"/>
    </font>
    <font>
      <b/>
      <sz val="12"/>
      <color rgb="FF000000"/>
      <name val="Cambria"/>
      <family val="1"/>
    </font>
    <font>
      <sz val="11"/>
      <color theme="1"/>
      <name val="ADLaM Display"/>
    </font>
    <font>
      <b/>
      <sz val="14"/>
      <color theme="1"/>
      <name val="ADLaM Display"/>
    </font>
    <font>
      <b/>
      <sz val="10"/>
      <color indexed="8"/>
      <name val="ADLaM Display"/>
    </font>
    <font>
      <sz val="12"/>
      <color theme="1"/>
      <name val="ADLaM Display"/>
    </font>
    <font>
      <b/>
      <sz val="10"/>
      <color rgb="FF000000"/>
      <name val="Cambria"/>
      <family val="1"/>
    </font>
    <font>
      <sz val="8"/>
      <color rgb="FF000000"/>
      <name val="Verdana"/>
      <family val="2"/>
    </font>
    <font>
      <b/>
      <sz val="12"/>
      <color indexed="8"/>
      <name val="Trebuchet MS"/>
      <family val="2"/>
    </font>
    <font>
      <b/>
      <i/>
      <sz val="9"/>
      <color theme="1"/>
      <name val="Californian FB"/>
      <family val="1"/>
    </font>
    <font>
      <sz val="11"/>
      <color theme="1"/>
      <name val="Abadi ExtraLight"/>
      <family val="2"/>
    </font>
    <font>
      <b/>
      <sz val="14"/>
      <color theme="1"/>
      <name val="Abadi ExtraLight"/>
      <family val="2"/>
    </font>
    <font>
      <b/>
      <sz val="10"/>
      <color indexed="8"/>
      <name val="Abadi ExtraLight"/>
      <family val="2"/>
    </font>
    <font>
      <sz val="12"/>
      <color theme="1"/>
      <name val="Abadi ExtraLight"/>
      <family val="2"/>
    </font>
    <font>
      <b/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8" tint="0.59999389629810485"/>
        <bgColor indexed="0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5" tint="0.39997558519241921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rgb="FF00B050"/>
        <bgColor indexed="0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rgb="FFFFFF00"/>
      </bottom>
      <diagonal/>
    </border>
    <border>
      <left/>
      <right/>
      <top style="thin">
        <color rgb="FFFFFF00"/>
      </top>
      <bottom style="thin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44" fillId="0" borderId="0"/>
    <xf numFmtId="0" fontId="44" fillId="0" borderId="0"/>
  </cellStyleXfs>
  <cellXfs count="918">
    <xf numFmtId="0" fontId="0" fillId="0" borderId="0" xfId="0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4" fontId="7" fillId="0" borderId="10" xfId="0" applyNumberFormat="1" applyFont="1" applyBorder="1" applyAlignment="1" applyProtection="1">
      <alignment horizontal="center" vertical="center"/>
      <protection locked="0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3" fillId="0" borderId="10" xfId="0" applyNumberFormat="1" applyFont="1" applyBorder="1" applyAlignment="1" applyProtection="1">
      <alignment horizontal="center" vertical="center"/>
      <protection locked="0"/>
    </xf>
    <xf numFmtId="14" fontId="3" fillId="0" borderId="13" xfId="0" applyNumberFormat="1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4" fontId="7" fillId="0" borderId="8" xfId="0" applyNumberFormat="1" applyFont="1" applyBorder="1" applyAlignment="1" applyProtection="1">
      <alignment horizontal="center" vertical="center"/>
      <protection locked="0"/>
    </xf>
    <xf numFmtId="0" fontId="1" fillId="4" borderId="9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0" fillId="0" borderId="0" xfId="0" applyFont="1"/>
    <xf numFmtId="0" fontId="12" fillId="4" borderId="0" xfId="0" applyFont="1" applyFill="1" applyAlignment="1" applyProtection="1">
      <alignment horizontal="center"/>
      <protection locked="0"/>
    </xf>
    <xf numFmtId="14" fontId="7" fillId="0" borderId="23" xfId="0" applyNumberFormat="1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2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" fillId="3" borderId="27" xfId="0" applyFont="1" applyFill="1" applyBorder="1" applyAlignment="1">
      <alignment horizontal="center" vertical="center"/>
    </xf>
    <xf numFmtId="3" fontId="7" fillId="0" borderId="17" xfId="0" applyNumberFormat="1" applyFont="1" applyBorder="1" applyAlignment="1" applyProtection="1">
      <alignment horizontal="center" vertical="center"/>
      <protection locked="0"/>
    </xf>
    <xf numFmtId="3" fontId="7" fillId="0" borderId="29" xfId="0" applyNumberFormat="1" applyFont="1" applyBorder="1" applyAlignment="1" applyProtection="1">
      <alignment horizontal="center" vertical="center"/>
      <protection locked="0"/>
    </xf>
    <xf numFmtId="3" fontId="7" fillId="0" borderId="30" xfId="0" applyNumberFormat="1" applyFont="1" applyBorder="1" applyAlignment="1" applyProtection="1">
      <alignment horizontal="center" vertical="center"/>
      <protection locked="0"/>
    </xf>
    <xf numFmtId="3" fontId="7" fillId="0" borderId="28" xfId="0" applyNumberFormat="1" applyFont="1" applyBorder="1" applyAlignment="1" applyProtection="1">
      <alignment horizontal="center" vertical="center"/>
      <protection locked="0"/>
    </xf>
    <xf numFmtId="0" fontId="0" fillId="0" borderId="25" xfId="0" applyBorder="1"/>
    <xf numFmtId="0" fontId="0" fillId="0" borderId="14" xfId="0" applyBorder="1"/>
    <xf numFmtId="3" fontId="7" fillId="0" borderId="9" xfId="0" applyNumberFormat="1" applyFont="1" applyBorder="1" applyAlignment="1" applyProtection="1">
      <alignment horizontal="center" vertical="center"/>
      <protection locked="0"/>
    </xf>
    <xf numFmtId="3" fontId="7" fillId="0" borderId="11" xfId="0" applyNumberFormat="1" applyFont="1" applyBorder="1" applyAlignment="1" applyProtection="1">
      <alignment horizontal="center" vertical="center"/>
      <protection locked="0"/>
    </xf>
    <xf numFmtId="0" fontId="0" fillId="0" borderId="31" xfId="0" applyBorder="1"/>
    <xf numFmtId="0" fontId="1" fillId="3" borderId="32" xfId="0" applyFont="1" applyFill="1" applyBorder="1" applyAlignment="1">
      <alignment horizontal="center" vertical="center"/>
    </xf>
    <xf numFmtId="0" fontId="15" fillId="0" borderId="1" xfId="0" applyFont="1" applyBorder="1" applyAlignment="1" applyProtection="1">
      <alignment horizontal="left" vertical="center"/>
      <protection locked="0"/>
    </xf>
    <xf numFmtId="0" fontId="1" fillId="3" borderId="27" xfId="0" applyFont="1" applyFill="1" applyBorder="1" applyAlignment="1">
      <alignment vertical="center"/>
    </xf>
    <xf numFmtId="3" fontId="7" fillId="0" borderId="28" xfId="0" applyNumberFormat="1" applyFont="1" applyBorder="1" applyAlignment="1" applyProtection="1">
      <alignment vertical="center"/>
      <protection locked="0"/>
    </xf>
    <xf numFmtId="3" fontId="7" fillId="0" borderId="17" xfId="0" applyNumberFormat="1" applyFont="1" applyBorder="1" applyAlignment="1" applyProtection="1">
      <alignment vertical="center"/>
      <protection locked="0"/>
    </xf>
    <xf numFmtId="3" fontId="7" fillId="0" borderId="30" xfId="0" applyNumberFormat="1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7" fillId="4" borderId="0" xfId="0" applyFont="1" applyFill="1" applyAlignment="1" applyProtection="1">
      <alignment horizontal="center"/>
      <protection locked="0"/>
    </xf>
    <xf numFmtId="0" fontId="1" fillId="0" borderId="0" xfId="0" applyFont="1" applyAlignment="1">
      <alignment horizontal="center" vertical="center"/>
    </xf>
    <xf numFmtId="0" fontId="13" fillId="5" borderId="12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2" xfId="0" applyFont="1" applyFill="1" applyBorder="1" applyAlignment="1" applyProtection="1">
      <alignment horizontal="center" vertical="center"/>
      <protection locked="0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0" fontId="18" fillId="0" borderId="0" xfId="0" applyFont="1"/>
    <xf numFmtId="0" fontId="7" fillId="3" borderId="21" xfId="0" applyFont="1" applyFill="1" applyBorder="1" applyAlignment="1">
      <alignment horizontal="center" vertical="center"/>
    </xf>
    <xf numFmtId="3" fontId="7" fillId="0" borderId="4" xfId="0" applyNumberFormat="1" applyFont="1" applyBorder="1" applyAlignment="1" applyProtection="1">
      <alignment horizontal="center" vertical="center"/>
      <protection locked="0"/>
    </xf>
    <xf numFmtId="3" fontId="7" fillId="0" borderId="35" xfId="0" applyNumberFormat="1" applyFont="1" applyBorder="1" applyAlignment="1" applyProtection="1">
      <alignment horizontal="center" vertical="center"/>
      <protection locked="0"/>
    </xf>
    <xf numFmtId="3" fontId="7" fillId="0" borderId="5" xfId="0" applyNumberFormat="1" applyFont="1" applyBorder="1" applyAlignment="1" applyProtection="1">
      <alignment horizontal="center" vertical="center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4" fontId="7" fillId="0" borderId="35" xfId="0" applyNumberFormat="1" applyFont="1" applyBorder="1" applyAlignment="1" applyProtection="1">
      <alignment horizontal="center" vertical="center"/>
      <protection locked="0"/>
    </xf>
    <xf numFmtId="14" fontId="7" fillId="0" borderId="5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28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29" xfId="0" applyFont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left" vertical="center"/>
      <protection locked="0"/>
    </xf>
    <xf numFmtId="0" fontId="19" fillId="0" borderId="4" xfId="0" applyFont="1" applyBorder="1" applyAlignment="1" applyProtection="1">
      <alignment horizontal="left" vertical="center"/>
      <protection locked="0"/>
    </xf>
    <xf numFmtId="0" fontId="19" fillId="0" borderId="35" xfId="0" applyFont="1" applyBorder="1" applyAlignment="1" applyProtection="1">
      <alignment horizontal="left" vertical="center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0" fillId="0" borderId="36" xfId="0" applyBorder="1"/>
    <xf numFmtId="3" fontId="7" fillId="0" borderId="3" xfId="0" applyNumberFormat="1" applyFont="1" applyBorder="1" applyAlignment="1" applyProtection="1">
      <alignment horizontal="center" vertical="center"/>
      <protection locked="0"/>
    </xf>
    <xf numFmtId="0" fontId="1" fillId="4" borderId="30" xfId="0" applyFont="1" applyFill="1" applyBorder="1" applyAlignment="1">
      <alignment horizontal="center" vertical="center"/>
    </xf>
    <xf numFmtId="0" fontId="0" fillId="0" borderId="38" xfId="0" applyBorder="1"/>
    <xf numFmtId="0" fontId="20" fillId="0" borderId="28" xfId="0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center" vertical="center"/>
      <protection locked="0"/>
    </xf>
    <xf numFmtId="0" fontId="20" fillId="0" borderId="30" xfId="0" applyFont="1" applyBorder="1" applyAlignment="1" applyProtection="1">
      <alignment horizontal="center" vertical="center"/>
      <protection locked="0"/>
    </xf>
    <xf numFmtId="0" fontId="12" fillId="4" borderId="0" xfId="0" applyFont="1" applyFill="1" applyProtection="1">
      <protection locked="0"/>
    </xf>
    <xf numFmtId="0" fontId="6" fillId="0" borderId="2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4" borderId="0" xfId="0" applyFont="1" applyFill="1" applyProtection="1">
      <protection locked="0"/>
    </xf>
    <xf numFmtId="0" fontId="17" fillId="4" borderId="25" xfId="0" applyFont="1" applyFill="1" applyBorder="1" applyAlignment="1" applyProtection="1">
      <alignment horizontal="center"/>
      <protection locked="0"/>
    </xf>
    <xf numFmtId="0" fontId="0" fillId="0" borderId="41" xfId="0" applyBorder="1"/>
    <xf numFmtId="0" fontId="0" fillId="0" borderId="42" xfId="0" applyBorder="1"/>
    <xf numFmtId="0" fontId="1" fillId="0" borderId="29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9" fillId="0" borderId="2" xfId="0" applyFont="1" applyBorder="1" applyAlignment="1" applyProtection="1">
      <alignment horizontal="left" vertical="center"/>
      <protection locked="0"/>
    </xf>
    <xf numFmtId="0" fontId="21" fillId="0" borderId="2" xfId="0" applyFont="1" applyBorder="1" applyAlignment="1">
      <alignment horizontal="center" vertical="center"/>
    </xf>
    <xf numFmtId="14" fontId="3" fillId="0" borderId="3" xfId="0" applyNumberFormat="1" applyFont="1" applyBorder="1" applyAlignment="1" applyProtection="1">
      <alignment horizontal="center" vertical="center"/>
      <protection locked="0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8" xfId="0" applyFont="1" applyBorder="1" applyAlignment="1" applyProtection="1">
      <alignment horizontal="center" vertical="center"/>
      <protection locked="0"/>
    </xf>
    <xf numFmtId="0" fontId="23" fillId="0" borderId="43" xfId="0" applyFont="1" applyBorder="1" applyAlignment="1" applyProtection="1">
      <alignment horizontal="center" vertical="center"/>
      <protection locked="0"/>
    </xf>
    <xf numFmtId="0" fontId="23" fillId="6" borderId="28" xfId="0" applyFont="1" applyFill="1" applyBorder="1" applyAlignment="1" applyProtection="1">
      <alignment horizontal="center" vertical="center"/>
      <protection locked="0"/>
    </xf>
    <xf numFmtId="0" fontId="23" fillId="6" borderId="43" xfId="0" applyFont="1" applyFill="1" applyBorder="1" applyAlignment="1" applyProtection="1">
      <alignment horizontal="center" vertical="center"/>
      <protection locked="0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4" borderId="24" xfId="0" applyFont="1" applyFill="1" applyBorder="1" applyAlignment="1">
      <alignment horizontal="center" vertical="center"/>
    </xf>
    <xf numFmtId="0" fontId="19" fillId="0" borderId="27" xfId="0" applyFont="1" applyBorder="1" applyAlignment="1" applyProtection="1">
      <alignment horizontal="left" vertical="center"/>
      <protection locked="0"/>
    </xf>
    <xf numFmtId="0" fontId="21" fillId="0" borderId="27" xfId="0" applyFont="1" applyBorder="1" applyAlignment="1">
      <alignment horizontal="center" vertical="center"/>
    </xf>
    <xf numFmtId="14" fontId="3" fillId="0" borderId="27" xfId="0" applyNumberFormat="1" applyFont="1" applyBorder="1" applyAlignment="1" applyProtection="1">
      <alignment horizontal="center" vertical="center"/>
      <protection locked="0"/>
    </xf>
    <xf numFmtId="0" fontId="4" fillId="0" borderId="45" xfId="0" applyFont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14" fontId="3" fillId="0" borderId="48" xfId="0" applyNumberFormat="1" applyFont="1" applyBorder="1" applyAlignment="1" applyProtection="1">
      <alignment horizontal="center" vertical="center"/>
      <protection locked="0"/>
    </xf>
    <xf numFmtId="3" fontId="7" fillId="0" borderId="48" xfId="0" applyNumberFormat="1" applyFont="1" applyBorder="1" applyAlignment="1" applyProtection="1">
      <alignment horizontal="center" vertical="center"/>
      <protection locked="0"/>
    </xf>
    <xf numFmtId="0" fontId="1" fillId="4" borderId="41" xfId="0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9" fillId="0" borderId="46" xfId="0" applyFont="1" applyBorder="1" applyAlignment="1" applyProtection="1">
      <alignment horizontal="left" vertical="center"/>
      <protection locked="0"/>
    </xf>
    <xf numFmtId="0" fontId="21" fillId="0" borderId="46" xfId="0" applyFont="1" applyBorder="1" applyAlignment="1">
      <alignment horizontal="center" vertical="center"/>
    </xf>
    <xf numFmtId="3" fontId="7" fillId="0" borderId="46" xfId="0" applyNumberFormat="1" applyFont="1" applyBorder="1" applyAlignment="1" applyProtection="1">
      <alignment horizontal="center" vertical="center"/>
      <protection locked="0"/>
    </xf>
    <xf numFmtId="0" fontId="19" fillId="0" borderId="45" xfId="0" applyFont="1" applyBorder="1" applyAlignment="1" applyProtection="1">
      <alignment horizontal="left" vertical="center"/>
      <protection locked="0"/>
    </xf>
    <xf numFmtId="0" fontId="21" fillId="0" borderId="45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3" borderId="55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3" fontId="7" fillId="0" borderId="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 vertical="center"/>
    </xf>
    <xf numFmtId="0" fontId="1" fillId="4" borderId="59" xfId="0" applyFont="1" applyFill="1" applyBorder="1" applyAlignment="1">
      <alignment horizontal="center" vertical="center"/>
    </xf>
    <xf numFmtId="3" fontId="7" fillId="0" borderId="45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left" vertical="center"/>
      <protection locked="0"/>
    </xf>
    <xf numFmtId="0" fontId="23" fillId="0" borderId="27" xfId="0" applyFont="1" applyBorder="1" applyAlignment="1" applyProtection="1">
      <alignment horizontal="left" vertical="center"/>
      <protection locked="0"/>
    </xf>
    <xf numFmtId="0" fontId="23" fillId="0" borderId="2" xfId="0" applyFont="1" applyBorder="1" applyAlignment="1" applyProtection="1">
      <alignment horizontal="left" vertical="center"/>
      <protection locked="0"/>
    </xf>
    <xf numFmtId="0" fontId="23" fillId="0" borderId="46" xfId="0" applyFont="1" applyBorder="1" applyAlignment="1" applyProtection="1">
      <alignment horizontal="left" vertical="center"/>
      <protection locked="0"/>
    </xf>
    <xf numFmtId="0" fontId="23" fillId="0" borderId="45" xfId="0" applyFont="1" applyBorder="1" applyAlignment="1" applyProtection="1">
      <alignment horizontal="left" vertical="center"/>
      <protection locked="0"/>
    </xf>
    <xf numFmtId="0" fontId="23" fillId="0" borderId="48" xfId="0" applyFont="1" applyBorder="1" applyAlignment="1" applyProtection="1">
      <alignment horizontal="left" vertical="center"/>
      <protection locked="0"/>
    </xf>
    <xf numFmtId="0" fontId="3" fillId="0" borderId="4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0" fillId="2" borderId="17" xfId="0" applyFont="1" applyFill="1" applyBorder="1" applyAlignment="1" applyProtection="1">
      <alignment horizontal="center" vertical="center"/>
      <protection locked="0"/>
    </xf>
    <xf numFmtId="0" fontId="0" fillId="4" borderId="28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7" fillId="4" borderId="0" xfId="0" applyFont="1" applyFill="1" applyAlignment="1" applyProtection="1">
      <alignment horizontal="center" vertical="center"/>
      <protection locked="0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9" fillId="0" borderId="28" xfId="0" applyFont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30" fillId="0" borderId="3" xfId="0" applyFont="1" applyBorder="1" applyAlignment="1">
      <alignment horizontal="center" vertical="center"/>
    </xf>
    <xf numFmtId="14" fontId="27" fillId="0" borderId="3" xfId="0" applyNumberFormat="1" applyFont="1" applyBorder="1" applyAlignment="1" applyProtection="1">
      <alignment horizontal="center" vertical="center"/>
      <protection locked="0"/>
    </xf>
    <xf numFmtId="3" fontId="27" fillId="0" borderId="3" xfId="0" applyNumberFormat="1" applyFont="1" applyBorder="1" applyAlignment="1" applyProtection="1">
      <alignment horizontal="center" vertical="center"/>
      <protection locked="0"/>
    </xf>
    <xf numFmtId="3" fontId="27" fillId="0" borderId="4" xfId="0" applyNumberFormat="1" applyFont="1" applyBorder="1" applyAlignment="1" applyProtection="1">
      <alignment horizontal="center" vertical="center"/>
      <protection locked="0"/>
    </xf>
    <xf numFmtId="14" fontId="27" fillId="0" borderId="2" xfId="0" applyNumberFormat="1" applyFont="1" applyBorder="1" applyAlignment="1" applyProtection="1">
      <alignment horizontal="center" vertical="center"/>
      <protection locked="0"/>
    </xf>
    <xf numFmtId="0" fontId="27" fillId="0" borderId="45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3" fontId="27" fillId="0" borderId="48" xfId="0" applyNumberFormat="1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27" fillId="0" borderId="27" xfId="0" applyFont="1" applyBorder="1" applyAlignment="1" applyProtection="1">
      <alignment horizontal="center" vertical="center"/>
      <protection locked="0"/>
    </xf>
    <xf numFmtId="3" fontId="27" fillId="0" borderId="35" xfId="0" applyNumberFormat="1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locked="0"/>
    </xf>
    <xf numFmtId="3" fontId="27" fillId="0" borderId="2" xfId="0" applyNumberFormat="1" applyFont="1" applyBorder="1" applyAlignment="1" applyProtection="1">
      <alignment horizontal="center" vertical="center"/>
      <protection locked="0"/>
    </xf>
    <xf numFmtId="0" fontId="27" fillId="0" borderId="46" xfId="0" applyFont="1" applyBorder="1" applyAlignment="1">
      <alignment horizontal="center" vertical="center"/>
    </xf>
    <xf numFmtId="0" fontId="27" fillId="0" borderId="46" xfId="0" applyFont="1" applyBorder="1" applyAlignment="1" applyProtection="1">
      <alignment horizontal="center" vertical="center"/>
      <protection locked="0"/>
    </xf>
    <xf numFmtId="3" fontId="27" fillId="0" borderId="46" xfId="0" applyNumberFormat="1" applyFont="1" applyBorder="1" applyAlignment="1" applyProtection="1">
      <alignment horizontal="center" vertical="center"/>
      <protection locked="0"/>
    </xf>
    <xf numFmtId="0" fontId="27" fillId="0" borderId="45" xfId="0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>
      <alignment horizontal="center"/>
    </xf>
    <xf numFmtId="0" fontId="30" fillId="0" borderId="63" xfId="0" applyFont="1" applyBorder="1" applyAlignment="1">
      <alignment horizontal="center" vertical="center"/>
    </xf>
    <xf numFmtId="3" fontId="27" fillId="0" borderId="17" xfId="0" applyNumberFormat="1" applyFont="1" applyBorder="1" applyAlignment="1" applyProtection="1">
      <alignment horizontal="center" vertical="center"/>
      <protection locked="0"/>
    </xf>
    <xf numFmtId="0" fontId="27" fillId="0" borderId="22" xfId="0" applyFont="1" applyBorder="1" applyAlignment="1">
      <alignment horizontal="center"/>
    </xf>
    <xf numFmtId="0" fontId="27" fillId="0" borderId="50" xfId="0" applyFont="1" applyBorder="1" applyAlignment="1">
      <alignment horizontal="center"/>
    </xf>
    <xf numFmtId="0" fontId="27" fillId="3" borderId="19" xfId="0" applyFont="1" applyFill="1" applyBorder="1" applyAlignment="1">
      <alignment horizontal="center" vertical="center"/>
    </xf>
    <xf numFmtId="0" fontId="27" fillId="3" borderId="32" xfId="0" applyFont="1" applyFill="1" applyBorder="1" applyAlignment="1">
      <alignment horizontal="center" vertical="center"/>
    </xf>
    <xf numFmtId="0" fontId="27" fillId="3" borderId="20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7" xfId="0" applyFont="1" applyFill="1" applyBorder="1" applyAlignment="1">
      <alignment horizontal="center" vertical="center"/>
    </xf>
    <xf numFmtId="0" fontId="27" fillId="0" borderId="0" xfId="0" applyFont="1"/>
    <xf numFmtId="0" fontId="4" fillId="0" borderId="0" xfId="0" applyFont="1"/>
    <xf numFmtId="14" fontId="27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14" fontId="3" fillId="0" borderId="0" xfId="0" applyNumberFormat="1" applyFont="1" applyAlignment="1">
      <alignment horizontal="center" vertical="center"/>
    </xf>
    <xf numFmtId="14" fontId="27" fillId="0" borderId="0" xfId="0" applyNumberFormat="1" applyFont="1"/>
    <xf numFmtId="0" fontId="0" fillId="0" borderId="28" xfId="0" applyBorder="1" applyAlignment="1">
      <alignment horizontal="center" vertical="center"/>
    </xf>
    <xf numFmtId="3" fontId="27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14" fontId="31" fillId="0" borderId="12" xfId="0" applyNumberFormat="1" applyFont="1" applyBorder="1" applyAlignment="1">
      <alignment horizontal="center" vertical="center"/>
    </xf>
    <xf numFmtId="14" fontId="31" fillId="0" borderId="13" xfId="0" applyNumberFormat="1" applyFont="1" applyBorder="1" applyAlignment="1">
      <alignment horizontal="center" vertical="center"/>
    </xf>
    <xf numFmtId="0" fontId="33" fillId="8" borderId="9" xfId="0" applyFont="1" applyFill="1" applyBorder="1" applyAlignment="1">
      <alignment horizontal="left" vertical="center"/>
    </xf>
    <xf numFmtId="14" fontId="32" fillId="8" borderId="1" xfId="0" applyNumberFormat="1" applyFont="1" applyFill="1" applyBorder="1" applyAlignment="1">
      <alignment horizontal="center" vertical="center"/>
    </xf>
    <xf numFmtId="14" fontId="31" fillId="8" borderId="1" xfId="0" applyNumberFormat="1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31" fillId="8" borderId="42" xfId="0" applyFont="1" applyFill="1" applyBorder="1" applyAlignment="1">
      <alignment horizontal="center"/>
    </xf>
    <xf numFmtId="0" fontId="31" fillId="8" borderId="10" xfId="0" applyFont="1" applyFill="1" applyBorder="1" applyAlignment="1">
      <alignment horizontal="center" vertical="center"/>
    </xf>
    <xf numFmtId="0" fontId="33" fillId="8" borderId="11" xfId="0" applyFont="1" applyFill="1" applyBorder="1" applyAlignment="1">
      <alignment horizontal="left" vertical="center"/>
    </xf>
    <xf numFmtId="14" fontId="32" fillId="8" borderId="12" xfId="0" applyNumberFormat="1" applyFont="1" applyFill="1" applyBorder="1" applyAlignment="1">
      <alignment horizontal="center" vertical="center"/>
    </xf>
    <xf numFmtId="14" fontId="31" fillId="8" borderId="12" xfId="0" applyNumberFormat="1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1" fillId="8" borderId="13" xfId="0" applyFont="1" applyFill="1" applyBorder="1" applyAlignment="1">
      <alignment horizontal="center" vertical="center"/>
    </xf>
    <xf numFmtId="0" fontId="33" fillId="8" borderId="65" xfId="0" applyFont="1" applyFill="1" applyBorder="1" applyAlignment="1">
      <alignment horizontal="left" vertical="center"/>
    </xf>
    <xf numFmtId="14" fontId="32" fillId="8" borderId="50" xfId="0" applyNumberFormat="1" applyFont="1" applyFill="1" applyBorder="1" applyAlignment="1">
      <alignment horizontal="center" vertical="center"/>
    </xf>
    <xf numFmtId="14" fontId="31" fillId="8" borderId="50" xfId="0" applyNumberFormat="1" applyFont="1" applyFill="1" applyBorder="1" applyAlignment="1">
      <alignment horizontal="center" vertical="center"/>
    </xf>
    <xf numFmtId="0" fontId="31" fillId="8" borderId="50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2" fillId="7" borderId="57" xfId="0" applyFont="1" applyFill="1" applyBorder="1" applyAlignment="1">
      <alignment horizontal="center" vertical="center"/>
    </xf>
    <xf numFmtId="0" fontId="32" fillId="7" borderId="5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31" fillId="9" borderId="9" xfId="0" applyNumberFormat="1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 wrapText="1"/>
    </xf>
    <xf numFmtId="0" fontId="32" fillId="7" borderId="57" xfId="0" applyFont="1" applyFill="1" applyBorder="1" applyAlignment="1">
      <alignment horizontal="center" vertical="center" wrapText="1"/>
    </xf>
    <xf numFmtId="0" fontId="32" fillId="7" borderId="58" xfId="0" applyFont="1" applyFill="1" applyBorder="1" applyAlignment="1">
      <alignment horizontal="center" vertical="center" wrapText="1"/>
    </xf>
    <xf numFmtId="14" fontId="31" fillId="9" borderId="65" xfId="0" applyNumberFormat="1" applyFont="1" applyFill="1" applyBorder="1" applyAlignment="1">
      <alignment horizontal="center" vertical="center"/>
    </xf>
    <xf numFmtId="14" fontId="31" fillId="9" borderId="50" xfId="0" applyNumberFormat="1" applyFont="1" applyFill="1" applyBorder="1" applyAlignment="1">
      <alignment horizontal="center" vertical="center"/>
    </xf>
    <xf numFmtId="14" fontId="31" fillId="9" borderId="51" xfId="0" applyNumberFormat="1" applyFont="1" applyFill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14" fontId="31" fillId="9" borderId="1" xfId="0" applyNumberFormat="1" applyFont="1" applyFill="1" applyBorder="1" applyAlignment="1">
      <alignment horizontal="center" vertical="center"/>
    </xf>
    <xf numFmtId="0" fontId="32" fillId="7" borderId="56" xfId="0" applyFont="1" applyFill="1" applyBorder="1" applyAlignment="1">
      <alignment horizontal="center" vertical="center" wrapText="1"/>
    </xf>
    <xf numFmtId="14" fontId="31" fillId="9" borderId="33" xfId="0" applyNumberFormat="1" applyFont="1" applyFill="1" applyBorder="1" applyAlignment="1">
      <alignment horizontal="center" vertical="center"/>
    </xf>
    <xf numFmtId="14" fontId="31" fillId="9" borderId="10" xfId="0" applyNumberFormat="1" applyFont="1" applyFill="1" applyBorder="1" applyAlignment="1">
      <alignment horizontal="center" vertical="center"/>
    </xf>
    <xf numFmtId="14" fontId="35" fillId="8" borderId="1" xfId="0" applyNumberFormat="1" applyFont="1" applyFill="1" applyBorder="1" applyAlignment="1">
      <alignment horizontal="center" vertical="center"/>
    </xf>
    <xf numFmtId="14" fontId="27" fillId="0" borderId="33" xfId="0" applyNumberFormat="1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/>
    </xf>
    <xf numFmtId="14" fontId="31" fillId="9" borderId="11" xfId="0" applyNumberFormat="1" applyFont="1" applyFill="1" applyBorder="1" applyAlignment="1">
      <alignment horizontal="center" vertical="center"/>
    </xf>
    <xf numFmtId="14" fontId="31" fillId="9" borderId="34" xfId="0" applyNumberFormat="1" applyFont="1" applyFill="1" applyBorder="1" applyAlignment="1">
      <alignment horizontal="center" vertical="center"/>
    </xf>
    <xf numFmtId="0" fontId="37" fillId="0" borderId="0" xfId="0" applyFont="1"/>
    <xf numFmtId="3" fontId="27" fillId="0" borderId="44" xfId="0" applyNumberFormat="1" applyFont="1" applyBorder="1" applyAlignment="1" applyProtection="1">
      <alignment horizontal="center" vertical="center"/>
      <protection locked="0"/>
    </xf>
    <xf numFmtId="14" fontId="27" fillId="0" borderId="7" xfId="0" applyNumberFormat="1" applyFont="1" applyBorder="1" applyAlignment="1" applyProtection="1">
      <alignment horizontal="center" vertical="center"/>
      <protection locked="0"/>
    </xf>
    <xf numFmtId="0" fontId="0" fillId="4" borderId="9" xfId="0" applyFill="1" applyBorder="1" applyAlignment="1">
      <alignment horizontal="center" vertical="center"/>
    </xf>
    <xf numFmtId="14" fontId="27" fillId="0" borderId="57" xfId="0" applyNumberFormat="1" applyFont="1" applyBorder="1" applyAlignment="1" applyProtection="1">
      <alignment horizontal="center" vertical="center"/>
      <protection locked="0"/>
    </xf>
    <xf numFmtId="3" fontId="27" fillId="0" borderId="66" xfId="0" applyNumberFormat="1" applyFont="1" applyBorder="1" applyAlignment="1" applyProtection="1">
      <alignment horizontal="center" vertical="center"/>
      <protection locked="0"/>
    </xf>
    <xf numFmtId="0" fontId="0" fillId="4" borderId="11" xfId="0" applyFill="1" applyBorder="1" applyAlignment="1">
      <alignment horizontal="center" vertical="center"/>
    </xf>
    <xf numFmtId="3" fontId="27" fillId="0" borderId="5" xfId="0" applyNumberFormat="1" applyFont="1" applyBorder="1" applyAlignment="1" applyProtection="1">
      <alignment horizontal="center" vertical="center"/>
      <protection locked="0"/>
    </xf>
    <xf numFmtId="0" fontId="36" fillId="0" borderId="15" xfId="0" applyFont="1" applyBorder="1" applyAlignment="1">
      <alignment horizontal="center" vertical="center"/>
    </xf>
    <xf numFmtId="0" fontId="36" fillId="0" borderId="67" xfId="0" applyFont="1" applyBorder="1" applyAlignment="1">
      <alignment horizontal="center" vertical="center"/>
    </xf>
    <xf numFmtId="0" fontId="36" fillId="0" borderId="6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27" fillId="10" borderId="2" xfId="0" applyNumberFormat="1" applyFont="1" applyFill="1" applyBorder="1" applyAlignment="1" applyProtection="1">
      <alignment horizontal="center" vertical="center"/>
      <protection locked="0"/>
    </xf>
    <xf numFmtId="14" fontId="27" fillId="10" borderId="3" xfId="0" applyNumberFormat="1" applyFont="1" applyFill="1" applyBorder="1" applyAlignment="1" applyProtection="1">
      <alignment horizontal="center" vertical="center"/>
      <protection locked="0"/>
    </xf>
    <xf numFmtId="14" fontId="27" fillId="10" borderId="27" xfId="0" applyNumberFormat="1" applyFont="1" applyFill="1" applyBorder="1" applyAlignment="1" applyProtection="1">
      <alignment horizontal="center" vertical="center"/>
      <protection locked="0"/>
    </xf>
    <xf numFmtId="14" fontId="27" fillId="10" borderId="48" xfId="0" applyNumberFormat="1" applyFont="1" applyFill="1" applyBorder="1" applyAlignment="1" applyProtection="1">
      <alignment horizontal="center" vertical="center"/>
      <protection locked="0"/>
    </xf>
    <xf numFmtId="14" fontId="27" fillId="10" borderId="1" xfId="0" applyNumberFormat="1" applyFont="1" applyFill="1" applyBorder="1" applyAlignment="1">
      <alignment horizontal="center"/>
    </xf>
    <xf numFmtId="14" fontId="27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14" fontId="27" fillId="0" borderId="12" xfId="0" applyNumberFormat="1" applyFont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27" fillId="0" borderId="12" xfId="0" applyNumberFormat="1" applyFont="1" applyBorder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3" borderId="20" xfId="0" applyFont="1" applyFill="1" applyBorder="1" applyAlignment="1">
      <alignment horizontal="center" vertical="center"/>
    </xf>
    <xf numFmtId="0" fontId="39" fillId="0" borderId="0" xfId="0" applyFont="1"/>
    <xf numFmtId="0" fontId="1" fillId="0" borderId="1" xfId="0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 applyProtection="1">
      <alignment horizontal="center" vertical="center"/>
      <protection locked="0"/>
    </xf>
    <xf numFmtId="0" fontId="22" fillId="4" borderId="0" xfId="0" applyFont="1" applyFill="1" applyAlignment="1" applyProtection="1">
      <alignment horizontal="center"/>
      <protection locked="0"/>
    </xf>
    <xf numFmtId="0" fontId="40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0" fontId="41" fillId="0" borderId="0" xfId="0" applyFont="1"/>
    <xf numFmtId="0" fontId="9" fillId="3" borderId="1" xfId="0" applyFont="1" applyFill="1" applyBorder="1" applyAlignment="1">
      <alignment horizontal="center" vertical="center"/>
    </xf>
    <xf numFmtId="0" fontId="9" fillId="0" borderId="0" xfId="0" applyFont="1"/>
    <xf numFmtId="0" fontId="41" fillId="0" borderId="1" xfId="0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14" fontId="18" fillId="0" borderId="1" xfId="0" applyNumberFormat="1" applyFont="1" applyBorder="1" applyAlignment="1" applyProtection="1">
      <alignment horizontal="center" vertical="center"/>
      <protection locked="0"/>
    </xf>
    <xf numFmtId="0" fontId="40" fillId="2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40" fillId="1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0" fillId="4" borderId="22" xfId="0" applyFill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14" fontId="18" fillId="0" borderId="22" xfId="0" applyNumberFormat="1" applyFont="1" applyBorder="1" applyAlignment="1" applyProtection="1">
      <alignment horizontal="center" vertical="center"/>
      <protection locked="0"/>
    </xf>
    <xf numFmtId="3" fontId="3" fillId="0" borderId="22" xfId="0" applyNumberFormat="1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>
      <alignment horizontal="left" vertical="center"/>
    </xf>
    <xf numFmtId="0" fontId="46" fillId="0" borderId="69" xfId="1" applyFont="1" applyBorder="1" applyAlignment="1">
      <alignment horizontal="center" wrapText="1"/>
    </xf>
    <xf numFmtId="0" fontId="46" fillId="0" borderId="1" xfId="1" applyFont="1" applyBorder="1" applyAlignment="1">
      <alignment horizontal="center" wrapText="1"/>
    </xf>
    <xf numFmtId="3" fontId="9" fillId="0" borderId="1" xfId="0" applyNumberFormat="1" applyFont="1" applyBorder="1" applyAlignment="1" applyProtection="1">
      <alignment horizontal="center" vertical="center"/>
      <protection locked="0"/>
    </xf>
    <xf numFmtId="14" fontId="5" fillId="2" borderId="2" xfId="0" applyNumberFormat="1" applyFont="1" applyFill="1" applyBorder="1" applyAlignment="1" applyProtection="1">
      <alignment horizontal="center" vertical="center"/>
      <protection locked="0"/>
    </xf>
    <xf numFmtId="14" fontId="4" fillId="0" borderId="2" xfId="0" applyNumberFormat="1" applyFont="1" applyBorder="1" applyAlignment="1">
      <alignment horizontal="center" vertical="center"/>
    </xf>
    <xf numFmtId="0" fontId="46" fillId="0" borderId="1" xfId="1" applyFont="1" applyBorder="1" applyAlignment="1">
      <alignment horizontal="center" vertical="center" wrapText="1"/>
    </xf>
    <xf numFmtId="0" fontId="47" fillId="13" borderId="74" xfId="2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 vertical="center"/>
    </xf>
    <xf numFmtId="0" fontId="47" fillId="13" borderId="75" xfId="2" applyFont="1" applyFill="1" applyBorder="1" applyAlignment="1">
      <alignment horizontal="center"/>
    </xf>
    <xf numFmtId="0" fontId="47" fillId="13" borderId="76" xfId="2" applyFont="1" applyFill="1" applyBorder="1" applyAlignment="1">
      <alignment horizontal="center"/>
    </xf>
    <xf numFmtId="0" fontId="7" fillId="3" borderId="22" xfId="0" applyFont="1" applyFill="1" applyBorder="1" applyAlignment="1">
      <alignment horizontal="left" vertical="center"/>
    </xf>
    <xf numFmtId="0" fontId="48" fillId="0" borderId="0" xfId="0" applyFont="1"/>
    <xf numFmtId="0" fontId="38" fillId="0" borderId="1" xfId="0" applyFont="1" applyBorder="1" applyAlignment="1">
      <alignment horizontal="left" vertical="center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0" fontId="0" fillId="0" borderId="18" xfId="0" applyBorder="1"/>
    <xf numFmtId="0" fontId="0" fillId="0" borderId="70" xfId="0" applyBorder="1"/>
    <xf numFmtId="0" fontId="0" fillId="0" borderId="47" xfId="0" applyBorder="1"/>
    <xf numFmtId="0" fontId="27" fillId="0" borderId="7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52" xfId="0" applyFont="1" applyBorder="1" applyAlignment="1">
      <alignment vertical="center"/>
    </xf>
    <xf numFmtId="0" fontId="9" fillId="0" borderId="71" xfId="0" applyFont="1" applyBorder="1" applyAlignment="1">
      <alignment vertical="center"/>
    </xf>
    <xf numFmtId="0" fontId="27" fillId="0" borderId="72" xfId="0" applyFont="1" applyBorder="1" applyAlignment="1">
      <alignment vertical="center"/>
    </xf>
    <xf numFmtId="0" fontId="27" fillId="0" borderId="73" xfId="0" applyFont="1" applyBorder="1" applyAlignment="1">
      <alignment vertical="center"/>
    </xf>
    <xf numFmtId="0" fontId="27" fillId="0" borderId="49" xfId="0" applyFont="1" applyBorder="1" applyAlignment="1">
      <alignment vertical="center"/>
    </xf>
    <xf numFmtId="0" fontId="47" fillId="14" borderId="75" xfId="2" applyFont="1" applyFill="1" applyBorder="1" applyAlignment="1">
      <alignment horizontal="center"/>
    </xf>
    <xf numFmtId="0" fontId="47" fillId="14" borderId="76" xfId="2" applyFont="1" applyFill="1" applyBorder="1" applyAlignment="1">
      <alignment horizontal="center"/>
    </xf>
    <xf numFmtId="0" fontId="38" fillId="9" borderId="1" xfId="0" applyFont="1" applyFill="1" applyBorder="1" applyAlignment="1">
      <alignment horizontal="center" vertical="center"/>
    </xf>
    <xf numFmtId="3" fontId="3" fillId="0" borderId="15" xfId="0" applyNumberFormat="1" applyFont="1" applyBorder="1" applyAlignment="1" applyProtection="1">
      <alignment horizontal="left" vertical="center"/>
      <protection locked="0"/>
    </xf>
    <xf numFmtId="0" fontId="38" fillId="2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8" fillId="0" borderId="15" xfId="0" applyNumberFormat="1" applyFont="1" applyBorder="1" applyAlignment="1" applyProtection="1">
      <alignment horizontal="center" vertical="center"/>
      <protection locked="0"/>
    </xf>
    <xf numFmtId="3" fontId="18" fillId="0" borderId="1" xfId="0" applyNumberFormat="1" applyFon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/>
    </xf>
    <xf numFmtId="3" fontId="18" fillId="0" borderId="15" xfId="0" applyNumberFormat="1" applyFont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/>
    </xf>
    <xf numFmtId="0" fontId="11" fillId="4" borderId="0" xfId="0" applyFont="1" applyFill="1" applyProtection="1">
      <protection locked="0"/>
    </xf>
    <xf numFmtId="0" fontId="46" fillId="5" borderId="1" xfId="1" applyFont="1" applyFill="1" applyBorder="1" applyAlignment="1">
      <alignment horizontal="center" wrapText="1"/>
    </xf>
    <xf numFmtId="0" fontId="39" fillId="0" borderId="1" xfId="0" applyFont="1" applyBorder="1" applyAlignment="1">
      <alignment horizontal="center" vertical="center"/>
    </xf>
    <xf numFmtId="3" fontId="18" fillId="0" borderId="3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3" fontId="7" fillId="0" borderId="15" xfId="0" applyNumberFormat="1" applyFont="1" applyBorder="1" applyAlignment="1" applyProtection="1">
      <alignment horizontal="center" vertical="center"/>
      <protection locked="0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1" fontId="50" fillId="15" borderId="79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 applyProtection="1">
      <alignment horizontal="center" vertical="center"/>
      <protection locked="0"/>
    </xf>
    <xf numFmtId="14" fontId="38" fillId="0" borderId="1" xfId="0" applyNumberFormat="1" applyFont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3" fontId="5" fillId="2" borderId="2" xfId="0" applyNumberFormat="1" applyFont="1" applyFill="1" applyBorder="1" applyAlignment="1" applyProtection="1">
      <alignment horizontal="center" vertical="center"/>
      <protection locked="0"/>
    </xf>
    <xf numFmtId="0" fontId="51" fillId="0" borderId="1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73" xfId="0" applyBorder="1" applyAlignment="1">
      <alignment horizontal="center"/>
    </xf>
    <xf numFmtId="0" fontId="52" fillId="0" borderId="0" xfId="0" applyFont="1"/>
    <xf numFmtId="0" fontId="53" fillId="0" borderId="0" xfId="0" applyFont="1"/>
    <xf numFmtId="0" fontId="38" fillId="0" borderId="15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54" fillId="0" borderId="1" xfId="0" applyFont="1" applyBorder="1" applyAlignment="1">
      <alignment horizontal="center" vertical="center"/>
    </xf>
    <xf numFmtId="0" fontId="55" fillId="0" borderId="0" xfId="0" applyFont="1"/>
    <xf numFmtId="0" fontId="6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38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5" borderId="0" xfId="0" applyFont="1" applyFill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38" fillId="5" borderId="1" xfId="0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58" fillId="5" borderId="1" xfId="0" applyFon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 vertical="center"/>
    </xf>
    <xf numFmtId="14" fontId="38" fillId="0" borderId="1" xfId="0" applyNumberFormat="1" applyFont="1" applyBorder="1" applyAlignment="1">
      <alignment horizontal="center"/>
    </xf>
    <xf numFmtId="0" fontId="57" fillId="0" borderId="0" xfId="0" applyFont="1" applyAlignment="1">
      <alignment horizontal="center"/>
    </xf>
    <xf numFmtId="14" fontId="38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38" fillId="0" borderId="33" xfId="0" applyFont="1" applyBorder="1" applyAlignment="1">
      <alignment horizontal="center"/>
    </xf>
    <xf numFmtId="0" fontId="60" fillId="16" borderId="1" xfId="0" applyFont="1" applyFill="1" applyBorder="1" applyAlignment="1">
      <alignment vertical="center" wrapText="1"/>
    </xf>
    <xf numFmtId="0" fontId="38" fillId="0" borderId="15" xfId="0" applyFont="1" applyBorder="1" applyAlignment="1">
      <alignment horizontal="center"/>
    </xf>
    <xf numFmtId="0" fontId="6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38" fillId="18" borderId="1" xfId="0" applyFont="1" applyFill="1" applyBorder="1" applyAlignment="1">
      <alignment horizontal="center"/>
    </xf>
    <xf numFmtId="0" fontId="0" fillId="0" borderId="74" xfId="0" applyBorder="1"/>
    <xf numFmtId="0" fontId="62" fillId="3" borderId="75" xfId="0" applyFont="1" applyFill="1" applyBorder="1" applyAlignment="1">
      <alignment horizontal="center" vertical="center"/>
    </xf>
    <xf numFmtId="0" fontId="38" fillId="19" borderId="3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61" fillId="20" borderId="1" xfId="0" applyFont="1" applyFill="1" applyBorder="1" applyAlignment="1">
      <alignment horizontal="center" vertical="center" wrapText="1"/>
    </xf>
    <xf numFmtId="0" fontId="63" fillId="0" borderId="1" xfId="0" applyFont="1" applyBorder="1" applyAlignment="1">
      <alignment vertical="center"/>
    </xf>
    <xf numFmtId="0" fontId="64" fillId="0" borderId="1" xfId="0" applyFont="1" applyBorder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0" fillId="0" borderId="80" xfId="0" applyBorder="1"/>
    <xf numFmtId="0" fontId="51" fillId="17" borderId="1" xfId="0" applyFont="1" applyFill="1" applyBorder="1" applyAlignment="1">
      <alignment horizontal="center"/>
    </xf>
    <xf numFmtId="0" fontId="38" fillId="2" borderId="15" xfId="0" applyFont="1" applyFill="1" applyBorder="1" applyAlignment="1">
      <alignment horizontal="center"/>
    </xf>
    <xf numFmtId="0" fontId="0" fillId="2" borderId="74" xfId="0" applyFill="1" applyBorder="1"/>
    <xf numFmtId="0" fontId="63" fillId="2" borderId="1" xfId="0" applyFont="1" applyFill="1" applyBorder="1" applyAlignment="1">
      <alignment vertical="center"/>
    </xf>
    <xf numFmtId="0" fontId="38" fillId="2" borderId="33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 vertical="center"/>
    </xf>
    <xf numFmtId="14" fontId="38" fillId="2" borderId="1" xfId="0" applyNumberFormat="1" applyFont="1" applyFill="1" applyBorder="1" applyAlignment="1">
      <alignment horizontal="center"/>
    </xf>
    <xf numFmtId="0" fontId="58" fillId="0" borderId="1" xfId="0" applyFont="1" applyBorder="1" applyAlignment="1">
      <alignment horizontal="left" vertical="center"/>
    </xf>
    <xf numFmtId="0" fontId="0" fillId="0" borderId="74" xfId="0" applyBorder="1" applyAlignment="1">
      <alignment horizontal="center" vertical="center"/>
    </xf>
    <xf numFmtId="0" fontId="0" fillId="0" borderId="74" xfId="0" applyBorder="1" applyAlignment="1">
      <alignment horizontal="left"/>
    </xf>
    <xf numFmtId="0" fontId="38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horizontal="left"/>
    </xf>
    <xf numFmtId="14" fontId="38" fillId="0" borderId="22" xfId="0" applyNumberFormat="1" applyFont="1" applyBorder="1" applyAlignment="1">
      <alignment horizontal="center"/>
    </xf>
    <xf numFmtId="0" fontId="0" fillId="12" borderId="1" xfId="0" quotePrefix="1" applyFill="1" applyBorder="1" applyAlignment="1">
      <alignment horizontal="center" vertical="center"/>
    </xf>
    <xf numFmtId="0" fontId="38" fillId="5" borderId="33" xfId="0" applyFont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2" fillId="4" borderId="0" xfId="0" applyFont="1" applyFill="1" applyAlignment="1" applyProtection="1">
      <alignment horizontal="center" vertical="center"/>
      <protection locked="0"/>
    </xf>
    <xf numFmtId="0" fontId="47" fillId="14" borderId="76" xfId="2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47" fillId="14" borderId="75" xfId="2" applyFont="1" applyFill="1" applyBorder="1" applyAlignment="1">
      <alignment horizontal="center" vertical="center"/>
    </xf>
    <xf numFmtId="0" fontId="0" fillId="21" borderId="1" xfId="0" quotePrefix="1" applyFill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38" fillId="12" borderId="1" xfId="0" applyFont="1" applyFill="1" applyBorder="1" applyAlignment="1">
      <alignment horizontal="center"/>
    </xf>
    <xf numFmtId="0" fontId="0" fillId="12" borderId="1" xfId="0" quotePrefix="1" applyFill="1" applyBorder="1" applyAlignment="1">
      <alignment horizontal="left"/>
    </xf>
    <xf numFmtId="0" fontId="38" fillId="12" borderId="33" xfId="0" applyFont="1" applyFill="1" applyBorder="1" applyAlignment="1">
      <alignment horizontal="center"/>
    </xf>
    <xf numFmtId="0" fontId="58" fillId="12" borderId="1" xfId="0" applyFont="1" applyFill="1" applyBorder="1" applyAlignment="1">
      <alignment horizontal="center" vertical="center"/>
    </xf>
    <xf numFmtId="14" fontId="38" fillId="12" borderId="1" xfId="0" applyNumberFormat="1" applyFont="1" applyFill="1" applyBorder="1" applyAlignment="1">
      <alignment horizontal="center"/>
    </xf>
    <xf numFmtId="0" fontId="58" fillId="12" borderId="0" xfId="0" applyFont="1" applyFill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58" fillId="0" borderId="22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/>
    </xf>
    <xf numFmtId="0" fontId="65" fillId="22" borderId="1" xfId="0" applyFont="1" applyFill="1" applyBorder="1" applyAlignment="1">
      <alignment horizontal="center" vertical="center"/>
    </xf>
    <xf numFmtId="0" fontId="65" fillId="22" borderId="22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/>
    </xf>
    <xf numFmtId="0" fontId="0" fillId="22" borderId="1" xfId="0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67" fillId="0" borderId="1" xfId="0" applyFont="1" applyBorder="1" applyAlignment="1">
      <alignment horizontal="center"/>
    </xf>
    <xf numFmtId="0" fontId="67" fillId="0" borderId="1" xfId="0" applyFont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5" fillId="8" borderId="1" xfId="0" applyFont="1" applyFill="1" applyBorder="1" applyAlignment="1">
      <alignment horizontal="center" vertical="center"/>
    </xf>
    <xf numFmtId="0" fontId="65" fillId="8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/>
    </xf>
    <xf numFmtId="14" fontId="68" fillId="0" borderId="1" xfId="0" applyNumberFormat="1" applyFont="1" applyBorder="1" applyAlignment="1">
      <alignment horizontal="center" vertical="center"/>
    </xf>
    <xf numFmtId="49" fontId="69" fillId="0" borderId="1" xfId="0" applyNumberFormat="1" applyFont="1" applyBorder="1" applyAlignment="1">
      <alignment horizontal="center"/>
    </xf>
    <xf numFmtId="49" fontId="69" fillId="2" borderId="1" xfId="0" applyNumberFormat="1" applyFont="1" applyFill="1" applyBorder="1" applyAlignment="1">
      <alignment horizontal="center"/>
    </xf>
    <xf numFmtId="0" fontId="70" fillId="20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68" fillId="12" borderId="1" xfId="0" applyFont="1" applyFill="1" applyBorder="1" applyAlignment="1">
      <alignment horizontal="center" vertical="center"/>
    </xf>
    <xf numFmtId="3" fontId="21" fillId="2" borderId="1" xfId="0" applyNumberFormat="1" applyFont="1" applyFill="1" applyBorder="1" applyAlignment="1">
      <alignment horizontal="center"/>
    </xf>
    <xf numFmtId="0" fontId="68" fillId="12" borderId="33" xfId="0" applyFont="1" applyFill="1" applyBorder="1" applyAlignment="1">
      <alignment horizontal="center" vertical="center"/>
    </xf>
    <xf numFmtId="3" fontId="68" fillId="0" borderId="1" xfId="0" applyNumberFormat="1" applyFont="1" applyBorder="1" applyAlignment="1">
      <alignment horizontal="center" vertical="center"/>
    </xf>
    <xf numFmtId="3" fontId="68" fillId="2" borderId="1" xfId="0" applyNumberFormat="1" applyFont="1" applyFill="1" applyBorder="1" applyAlignment="1">
      <alignment horizontal="center" vertical="center"/>
    </xf>
    <xf numFmtId="14" fontId="68" fillId="2" borderId="1" xfId="0" applyNumberFormat="1" applyFont="1" applyFill="1" applyBorder="1" applyAlignment="1">
      <alignment horizontal="center" vertical="center"/>
    </xf>
    <xf numFmtId="0" fontId="38" fillId="0" borderId="72" xfId="0" applyFont="1" applyBorder="1" applyAlignment="1">
      <alignment horizontal="center"/>
    </xf>
    <xf numFmtId="0" fontId="68" fillId="12" borderId="49" xfId="0" applyFont="1" applyFill="1" applyBorder="1" applyAlignment="1">
      <alignment horizontal="center" vertical="center"/>
    </xf>
    <xf numFmtId="0" fontId="10" fillId="0" borderId="50" xfId="0" applyFont="1" applyBorder="1" applyAlignment="1">
      <alignment vertical="center"/>
    </xf>
    <xf numFmtId="0" fontId="47" fillId="14" borderId="1" xfId="2" applyFont="1" applyFill="1" applyBorder="1" applyAlignment="1">
      <alignment horizontal="center" vertical="center"/>
    </xf>
    <xf numFmtId="0" fontId="47" fillId="14" borderId="1" xfId="2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61" fillId="0" borderId="1" xfId="0" applyFont="1" applyBorder="1" applyAlignment="1">
      <alignment horizontal="center" vertical="center"/>
    </xf>
    <xf numFmtId="0" fontId="0" fillId="0" borderId="33" xfId="0" applyBorder="1"/>
    <xf numFmtId="0" fontId="73" fillId="14" borderId="76" xfId="2" applyFont="1" applyFill="1" applyBorder="1" applyAlignment="1">
      <alignment horizontal="center" vertical="center"/>
    </xf>
    <xf numFmtId="0" fontId="74" fillId="3" borderId="22" xfId="0" applyFont="1" applyFill="1" applyBorder="1" applyAlignment="1">
      <alignment horizontal="center" vertical="center"/>
    </xf>
    <xf numFmtId="0" fontId="73" fillId="14" borderId="75" xfId="2" applyFont="1" applyFill="1" applyBorder="1" applyAlignment="1">
      <alignment horizontal="center" vertical="center"/>
    </xf>
    <xf numFmtId="0" fontId="73" fillId="14" borderId="76" xfId="2" applyFont="1" applyFill="1" applyBorder="1" applyAlignment="1">
      <alignment horizontal="center"/>
    </xf>
    <xf numFmtId="0" fontId="74" fillId="0" borderId="0" xfId="0" applyFont="1"/>
    <xf numFmtId="0" fontId="72" fillId="5" borderId="1" xfId="0" applyFont="1" applyFill="1" applyBorder="1" applyAlignment="1">
      <alignment horizontal="center" vertical="center"/>
    </xf>
    <xf numFmtId="0" fontId="58" fillId="3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left" vertical="center" wrapText="1"/>
    </xf>
    <xf numFmtId="0" fontId="72" fillId="18" borderId="1" xfId="0" applyFont="1" applyFill="1" applyBorder="1" applyAlignment="1">
      <alignment horizontal="center" vertical="center"/>
    </xf>
    <xf numFmtId="0" fontId="72" fillId="24" borderId="1" xfId="0" applyFont="1" applyFill="1" applyBorder="1" applyAlignment="1">
      <alignment horizontal="center" vertical="center"/>
    </xf>
    <xf numFmtId="0" fontId="61" fillId="20" borderId="1" xfId="0" applyFont="1" applyFill="1" applyBorder="1" applyAlignment="1">
      <alignment horizontal="center" vertical="center"/>
    </xf>
    <xf numFmtId="0" fontId="72" fillId="2" borderId="1" xfId="0" applyFont="1" applyFill="1" applyBorder="1" applyAlignment="1">
      <alignment horizontal="center" vertical="center"/>
    </xf>
    <xf numFmtId="14" fontId="58" fillId="0" borderId="1" xfId="0" applyNumberFormat="1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0" fontId="61" fillId="24" borderId="1" xfId="0" applyFont="1" applyFill="1" applyBorder="1" applyAlignment="1">
      <alignment horizontal="center" vertical="center"/>
    </xf>
    <xf numFmtId="0" fontId="58" fillId="18" borderId="1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left" vertical="center"/>
    </xf>
    <xf numFmtId="3" fontId="58" fillId="0" borderId="1" xfId="0" applyNumberFormat="1" applyFont="1" applyBorder="1" applyAlignment="1">
      <alignment horizontal="center" vertical="center"/>
    </xf>
    <xf numFmtId="0" fontId="75" fillId="0" borderId="0" xfId="0" applyFont="1"/>
    <xf numFmtId="0" fontId="73" fillId="14" borderId="1" xfId="2" applyFont="1" applyFill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61" fillId="0" borderId="1" xfId="0" applyFont="1" applyBorder="1" applyAlignment="1">
      <alignment horizontal="left" vertical="center"/>
    </xf>
    <xf numFmtId="0" fontId="38" fillId="5" borderId="1" xfId="0" applyFont="1" applyFill="1" applyBorder="1" applyAlignment="1">
      <alignment horizontal="center" vertical="center"/>
    </xf>
    <xf numFmtId="0" fontId="61" fillId="12" borderId="1" xfId="0" applyFont="1" applyFill="1" applyBorder="1" applyAlignment="1">
      <alignment horizontal="center" vertical="center"/>
    </xf>
    <xf numFmtId="0" fontId="12" fillId="4" borderId="0" xfId="0" applyFont="1" applyFill="1" applyAlignment="1" applyProtection="1">
      <alignment horizontal="right" vertical="center"/>
      <protection locked="0"/>
    </xf>
    <xf numFmtId="0" fontId="0" fillId="0" borderId="0" xfId="0" applyAlignment="1">
      <alignment horizontal="right" vertical="center"/>
    </xf>
    <xf numFmtId="0" fontId="73" fillId="14" borderId="76" xfId="2" applyFont="1" applyFill="1" applyBorder="1" applyAlignment="1">
      <alignment horizontal="right" vertical="center"/>
    </xf>
    <xf numFmtId="0" fontId="38" fillId="23" borderId="1" xfId="0" applyFont="1" applyFill="1" applyBorder="1" applyAlignment="1">
      <alignment horizontal="left" vertical="center"/>
    </xf>
    <xf numFmtId="0" fontId="38" fillId="12" borderId="1" xfId="0" applyFont="1" applyFill="1" applyBorder="1" applyAlignment="1">
      <alignment horizontal="left" vertical="center"/>
    </xf>
    <xf numFmtId="0" fontId="38" fillId="23" borderId="1" xfId="0" applyFont="1" applyFill="1" applyBorder="1" applyAlignment="1">
      <alignment horizontal="center" vertical="center"/>
    </xf>
    <xf numFmtId="0" fontId="38" fillId="17" borderId="1" xfId="0" applyFont="1" applyFill="1" applyBorder="1" applyAlignment="1">
      <alignment horizontal="right" vertical="center"/>
    </xf>
    <xf numFmtId="0" fontId="76" fillId="0" borderId="1" xfId="0" applyFont="1" applyBorder="1" applyAlignment="1">
      <alignment horizontal="left" vertical="center"/>
    </xf>
    <xf numFmtId="3" fontId="38" fillId="0" borderId="1" xfId="0" applyNumberFormat="1" applyFont="1" applyBorder="1" applyAlignment="1">
      <alignment horizontal="center" vertical="center"/>
    </xf>
    <xf numFmtId="0" fontId="38" fillId="20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3" fontId="38" fillId="0" borderId="1" xfId="0" applyNumberFormat="1" applyFont="1" applyBorder="1" applyAlignment="1">
      <alignment horizontal="left" vertical="center"/>
    </xf>
    <xf numFmtId="0" fontId="0" fillId="12" borderId="74" xfId="0" applyFill="1" applyBorder="1" applyAlignment="1">
      <alignment horizontal="center" vertical="center"/>
    </xf>
    <xf numFmtId="0" fontId="0" fillId="12" borderId="74" xfId="0" applyFill="1" applyBorder="1"/>
    <xf numFmtId="0" fontId="61" fillId="12" borderId="1" xfId="0" applyFont="1" applyFill="1" applyBorder="1" applyAlignment="1">
      <alignment horizontal="left" vertical="center"/>
    </xf>
    <xf numFmtId="0" fontId="38" fillId="12" borderId="33" xfId="0" applyFont="1" applyFill="1" applyBorder="1" applyAlignment="1">
      <alignment horizontal="center" vertical="center"/>
    </xf>
    <xf numFmtId="0" fontId="51" fillId="12" borderId="1" xfId="0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" borderId="74" xfId="0" applyFill="1" applyBorder="1" applyAlignment="1">
      <alignment horizontal="center" vertical="center"/>
    </xf>
    <xf numFmtId="0" fontId="38" fillId="2" borderId="1" xfId="0" applyFont="1" applyFill="1" applyBorder="1" applyAlignment="1">
      <alignment horizontal="right" vertical="center"/>
    </xf>
    <xf numFmtId="14" fontId="58" fillId="0" borderId="22" xfId="0" applyNumberFormat="1" applyFont="1" applyBorder="1" applyAlignment="1">
      <alignment horizontal="center" vertical="center"/>
    </xf>
    <xf numFmtId="3" fontId="58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" fontId="58" fillId="5" borderId="1" xfId="0" applyNumberFormat="1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20" borderId="6" xfId="0" applyFont="1" applyFill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14" fontId="58" fillId="0" borderId="7" xfId="0" applyNumberFormat="1" applyFont="1" applyBorder="1" applyAlignment="1">
      <alignment horizontal="center" vertical="center"/>
    </xf>
    <xf numFmtId="3" fontId="58" fillId="0" borderId="7" xfId="0" applyNumberFormat="1" applyFont="1" applyBorder="1" applyAlignment="1">
      <alignment horizontal="center" vertical="center"/>
    </xf>
    <xf numFmtId="0" fontId="58" fillId="0" borderId="7" xfId="0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78" fillId="0" borderId="10" xfId="0" applyFont="1" applyBorder="1" applyAlignment="1">
      <alignment horizontal="center" vertical="center"/>
    </xf>
    <xf numFmtId="0" fontId="38" fillId="20" borderId="1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38" fillId="0" borderId="12" xfId="0" applyFont="1" applyBorder="1" applyAlignment="1">
      <alignment horizontal="left" vertical="center"/>
    </xf>
    <xf numFmtId="0" fontId="38" fillId="0" borderId="12" xfId="0" applyFont="1" applyBorder="1" applyAlignment="1">
      <alignment horizontal="center" vertical="center"/>
    </xf>
    <xf numFmtId="14" fontId="58" fillId="0" borderId="12" xfId="0" applyNumberFormat="1" applyFont="1" applyBorder="1" applyAlignment="1">
      <alignment horizontal="center" vertical="center"/>
    </xf>
    <xf numFmtId="3" fontId="58" fillId="0" borderId="12" xfId="0" applyNumberFormat="1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58" fillId="0" borderId="13" xfId="0" applyFont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3" fontId="58" fillId="0" borderId="1" xfId="0" applyNumberFormat="1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38" fillId="0" borderId="7" xfId="0" applyFont="1" applyBorder="1" applyAlignment="1">
      <alignment horizontal="left" vertical="center"/>
    </xf>
    <xf numFmtId="0" fontId="6" fillId="21" borderId="33" xfId="0" applyFont="1" applyFill="1" applyBorder="1" applyAlignment="1">
      <alignment horizontal="center" vertical="center"/>
    </xf>
    <xf numFmtId="0" fontId="38" fillId="0" borderId="25" xfId="0" applyFont="1" applyBorder="1" applyAlignment="1">
      <alignment horizontal="center"/>
    </xf>
    <xf numFmtId="0" fontId="64" fillId="0" borderId="1" xfId="0" applyFont="1" applyBorder="1" applyAlignment="1">
      <alignment horizontal="left" vertical="center" wrapText="1"/>
    </xf>
    <xf numFmtId="0" fontId="6" fillId="12" borderId="74" xfId="0" applyFont="1" applyFill="1" applyBorder="1" applyAlignment="1">
      <alignment horizontal="center" vertical="center"/>
    </xf>
    <xf numFmtId="0" fontId="12" fillId="12" borderId="0" xfId="0" applyFont="1" applyFill="1" applyAlignment="1" applyProtection="1">
      <alignment horizontal="center" vertical="center"/>
      <protection locked="0"/>
    </xf>
    <xf numFmtId="0" fontId="0" fillId="12" borderId="0" xfId="0" applyFill="1" applyAlignment="1">
      <alignment horizontal="center" vertical="center"/>
    </xf>
    <xf numFmtId="0" fontId="73" fillId="26" borderId="76" xfId="2" applyFont="1" applyFill="1" applyBorder="1" applyAlignment="1">
      <alignment horizontal="center" vertical="center"/>
    </xf>
    <xf numFmtId="0" fontId="58" fillId="21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right" vertical="center"/>
    </xf>
    <xf numFmtId="0" fontId="73" fillId="14" borderId="24" xfId="2" applyFont="1" applyFill="1" applyBorder="1" applyAlignment="1">
      <alignment horizontal="center" vertical="center"/>
    </xf>
    <xf numFmtId="0" fontId="73" fillId="14" borderId="82" xfId="2" applyFont="1" applyFill="1" applyBorder="1" applyAlignment="1">
      <alignment horizontal="center" vertical="center"/>
    </xf>
    <xf numFmtId="0" fontId="73" fillId="14" borderId="83" xfId="2" applyFont="1" applyFill="1" applyBorder="1" applyAlignment="1">
      <alignment horizontal="center" vertical="center"/>
    </xf>
    <xf numFmtId="0" fontId="73" fillId="14" borderId="25" xfId="2" applyFont="1" applyFill="1" applyBorder="1" applyAlignment="1">
      <alignment horizontal="center" vertical="center"/>
    </xf>
    <xf numFmtId="0" fontId="61" fillId="0" borderId="1" xfId="0" applyFont="1" applyBorder="1" applyAlignment="1">
      <alignment horizontal="left" vertical="center" wrapText="1"/>
    </xf>
    <xf numFmtId="0" fontId="61" fillId="24" borderId="1" xfId="0" applyFont="1" applyFill="1" applyBorder="1" applyAlignment="1">
      <alignment horizontal="center" vertical="center" wrapText="1"/>
    </xf>
    <xf numFmtId="0" fontId="38" fillId="24" borderId="1" xfId="0" applyFont="1" applyFill="1" applyBorder="1" applyAlignment="1">
      <alignment horizontal="center" vertical="center"/>
    </xf>
    <xf numFmtId="3" fontId="79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0" fillId="0" borderId="0" xfId="0" applyFont="1" applyAlignment="1">
      <alignment vertical="center"/>
    </xf>
    <xf numFmtId="0" fontId="80" fillId="0" borderId="0" xfId="0" applyFont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0" fontId="73" fillId="0" borderId="76" xfId="2" applyFont="1" applyBorder="1" applyAlignment="1">
      <alignment horizontal="center" vertical="center"/>
    </xf>
    <xf numFmtId="3" fontId="82" fillId="0" borderId="1" xfId="0" applyNumberFormat="1" applyFont="1" applyBorder="1" applyAlignment="1">
      <alignment horizontal="left" vertical="center"/>
    </xf>
    <xf numFmtId="0" fontId="61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left" vertical="center"/>
    </xf>
    <xf numFmtId="0" fontId="73" fillId="27" borderId="76" xfId="2" applyFont="1" applyFill="1" applyBorder="1" applyAlignment="1">
      <alignment horizontal="center" vertical="center"/>
    </xf>
    <xf numFmtId="0" fontId="83" fillId="2" borderId="1" xfId="0" applyFont="1" applyFill="1" applyBorder="1" applyAlignment="1">
      <alignment horizontal="left" vertical="center"/>
    </xf>
    <xf numFmtId="0" fontId="6" fillId="28" borderId="1" xfId="0" applyFont="1" applyFill="1" applyBorder="1" applyAlignment="1">
      <alignment horizontal="center" vertical="center"/>
    </xf>
    <xf numFmtId="3" fontId="84" fillId="0" borderId="1" xfId="0" applyNumberFormat="1" applyFont="1" applyBorder="1" applyAlignment="1">
      <alignment horizontal="left" vertical="center"/>
    </xf>
    <xf numFmtId="3" fontId="85" fillId="0" borderId="1" xfId="0" applyNumberFormat="1" applyFont="1" applyBorder="1" applyAlignment="1">
      <alignment horizontal="left" vertical="center"/>
    </xf>
    <xf numFmtId="0" fontId="61" fillId="7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7" fillId="0" borderId="0" xfId="0" applyFont="1" applyAlignment="1">
      <alignment horizontal="center"/>
    </xf>
    <xf numFmtId="0" fontId="89" fillId="14" borderId="76" xfId="2" applyFont="1" applyFill="1" applyBorder="1" applyAlignment="1">
      <alignment horizontal="center" vertical="center"/>
    </xf>
    <xf numFmtId="0" fontId="87" fillId="0" borderId="0" xfId="0" applyFont="1"/>
    <xf numFmtId="3" fontId="90" fillId="0" borderId="1" xfId="0" applyNumberFormat="1" applyFont="1" applyBorder="1" applyAlignment="1">
      <alignment horizontal="center" vertical="center"/>
    </xf>
    <xf numFmtId="0" fontId="61" fillId="0" borderId="7" xfId="0" applyFont="1" applyBorder="1" applyAlignment="1">
      <alignment horizontal="center" vertical="center"/>
    </xf>
    <xf numFmtId="0" fontId="86" fillId="0" borderId="7" xfId="0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0" fontId="86" fillId="0" borderId="7" xfId="0" applyFont="1" applyBorder="1" applyAlignment="1">
      <alignment horizontal="center" vertical="center" wrapText="1"/>
    </xf>
    <xf numFmtId="0" fontId="61" fillId="4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14" fontId="58" fillId="4" borderId="1" xfId="0" applyNumberFormat="1" applyFont="1" applyFill="1" applyBorder="1" applyAlignment="1">
      <alignment horizontal="center" vertical="center"/>
    </xf>
    <xf numFmtId="3" fontId="90" fillId="4" borderId="1" xfId="0" applyNumberFormat="1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horizontal="center" vertical="center"/>
    </xf>
    <xf numFmtId="14" fontId="58" fillId="0" borderId="15" xfId="0" applyNumberFormat="1" applyFont="1" applyBorder="1" applyAlignment="1">
      <alignment horizontal="center" vertical="center"/>
    </xf>
    <xf numFmtId="0" fontId="73" fillId="14" borderId="22" xfId="2" applyFont="1" applyFill="1" applyBorder="1" applyAlignment="1">
      <alignment horizontal="center" vertical="center"/>
    </xf>
    <xf numFmtId="0" fontId="91" fillId="12" borderId="1" xfId="0" applyFont="1" applyFill="1" applyBorder="1" applyAlignment="1">
      <alignment horizontal="center" vertical="center"/>
    </xf>
    <xf numFmtId="14" fontId="88" fillId="0" borderId="0" xfId="0" applyNumberFormat="1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92" fillId="0" borderId="0" xfId="0" applyFont="1"/>
    <xf numFmtId="22" fontId="0" fillId="0" borderId="0" xfId="0" applyNumberFormat="1"/>
    <xf numFmtId="164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0" fontId="21" fillId="12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1" fillId="17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center" vertical="center"/>
    </xf>
    <xf numFmtId="0" fontId="38" fillId="17" borderId="1" xfId="0" applyFont="1" applyFill="1" applyBorder="1" applyAlignment="1">
      <alignment horizontal="center" vertical="center"/>
    </xf>
    <xf numFmtId="14" fontId="58" fillId="17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2" fillId="4" borderId="0" xfId="0" applyFont="1" applyFill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14" fontId="78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/>
    </xf>
    <xf numFmtId="0" fontId="6" fillId="28" borderId="1" xfId="0" applyFont="1" applyFill="1" applyBorder="1" applyAlignment="1">
      <alignment horizontal="left" vertical="center"/>
    </xf>
    <xf numFmtId="0" fontId="4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93" fillId="14" borderId="22" xfId="2" applyFont="1" applyFill="1" applyBorder="1" applyAlignment="1">
      <alignment horizontal="center" vertical="center"/>
    </xf>
    <xf numFmtId="3" fontId="83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8" fillId="20" borderId="15" xfId="0" applyFont="1" applyFill="1" applyBorder="1" applyAlignment="1">
      <alignment horizontal="center" vertical="center"/>
    </xf>
    <xf numFmtId="0" fontId="24" fillId="0" borderId="33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2" fillId="2" borderId="1" xfId="0" applyFont="1" applyFill="1" applyBorder="1" applyAlignment="1">
      <alignment horizontal="center" vertical="center"/>
    </xf>
    <xf numFmtId="0" fontId="73" fillId="14" borderId="18" xfId="2" applyFont="1" applyFill="1" applyBorder="1" applyAlignment="1">
      <alignment horizontal="center" vertical="center"/>
    </xf>
    <xf numFmtId="14" fontId="78" fillId="0" borderId="15" xfId="0" applyNumberFormat="1" applyFont="1" applyBorder="1" applyAlignment="1">
      <alignment horizontal="center" vertical="center"/>
    </xf>
    <xf numFmtId="0" fontId="73" fillId="14" borderId="47" xfId="2" applyFont="1" applyFill="1" applyBorder="1" applyAlignment="1">
      <alignment horizontal="center" vertical="center"/>
    </xf>
    <xf numFmtId="0" fontId="73" fillId="14" borderId="27" xfId="2" applyFont="1" applyFill="1" applyBorder="1" applyAlignment="1">
      <alignment horizontal="center" vertical="center"/>
    </xf>
    <xf numFmtId="1" fontId="94" fillId="0" borderId="4" xfId="0" applyNumberFormat="1" applyFont="1" applyBorder="1" applyAlignment="1">
      <alignment horizontal="center" vertical="center"/>
    </xf>
    <xf numFmtId="3" fontId="94" fillId="0" borderId="4" xfId="0" applyNumberFormat="1" applyFont="1" applyBorder="1" applyAlignment="1">
      <alignment horizontal="center" vertical="center"/>
    </xf>
    <xf numFmtId="3" fontId="94" fillId="0" borderId="5" xfId="0" applyNumberFormat="1" applyFont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7" fillId="14" borderId="27" xfId="2" applyFont="1" applyFill="1" applyBorder="1" applyAlignment="1">
      <alignment horizontal="center" vertical="center"/>
    </xf>
    <xf numFmtId="3" fontId="95" fillId="0" borderId="1" xfId="0" applyNumberFormat="1" applyFont="1" applyBorder="1" applyAlignment="1">
      <alignment horizontal="center" vertical="center"/>
    </xf>
    <xf numFmtId="14" fontId="95" fillId="0" borderId="1" xfId="0" applyNumberFormat="1" applyFont="1" applyBorder="1" applyAlignment="1">
      <alignment horizontal="center" vertical="center"/>
    </xf>
    <xf numFmtId="0" fontId="6" fillId="29" borderId="1" xfId="0" applyFont="1" applyFill="1" applyBorder="1" applyAlignment="1">
      <alignment horizontal="left" vertical="center"/>
    </xf>
    <xf numFmtId="0" fontId="51" fillId="29" borderId="1" xfId="0" applyFont="1" applyFill="1" applyBorder="1" applyAlignment="1">
      <alignment horizontal="center" vertical="center"/>
    </xf>
    <xf numFmtId="14" fontId="78" fillId="29" borderId="15" xfId="0" applyNumberFormat="1" applyFont="1" applyFill="1" applyBorder="1" applyAlignment="1">
      <alignment horizontal="center" vertical="center"/>
    </xf>
    <xf numFmtId="3" fontId="94" fillId="29" borderId="4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51" fillId="0" borderId="80" xfId="0" applyFont="1" applyBorder="1" applyAlignment="1">
      <alignment vertical="center"/>
    </xf>
    <xf numFmtId="0" fontId="51" fillId="0" borderId="74" xfId="0" applyFont="1" applyBorder="1" applyAlignment="1">
      <alignment vertical="center"/>
    </xf>
    <xf numFmtId="0" fontId="51" fillId="0" borderId="1" xfId="0" applyFont="1" applyBorder="1" applyAlignment="1">
      <alignment horizontal="left" vertical="center"/>
    </xf>
    <xf numFmtId="0" fontId="62" fillId="8" borderId="1" xfId="0" applyFont="1" applyFill="1" applyBorder="1" applyAlignment="1">
      <alignment horizontal="center" vertical="center"/>
    </xf>
    <xf numFmtId="3" fontId="95" fillId="0" borderId="33" xfId="0" applyNumberFormat="1" applyFont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left" vertical="center"/>
    </xf>
    <xf numFmtId="3" fontId="95" fillId="12" borderId="33" xfId="0" applyNumberFormat="1" applyFont="1" applyFill="1" applyBorder="1" applyAlignment="1">
      <alignment horizontal="center" vertical="center"/>
    </xf>
    <xf numFmtId="14" fontId="95" fillId="12" borderId="1" xfId="0" applyNumberFormat="1" applyFont="1" applyFill="1" applyBorder="1" applyAlignment="1">
      <alignment horizontal="center" vertical="center"/>
    </xf>
    <xf numFmtId="3" fontId="95" fillId="12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2" borderId="1" xfId="0" applyFill="1" applyBorder="1"/>
    <xf numFmtId="0" fontId="38" fillId="12" borderId="50" xfId="0" applyFont="1" applyFill="1" applyBorder="1" applyAlignment="1">
      <alignment horizontal="center" vertical="center"/>
    </xf>
    <xf numFmtId="0" fontId="6" fillId="12" borderId="50" xfId="0" applyFont="1" applyFill="1" applyBorder="1" applyAlignment="1">
      <alignment horizontal="left" vertical="center"/>
    </xf>
    <xf numFmtId="0" fontId="21" fillId="12" borderId="50" xfId="0" applyFont="1" applyFill="1" applyBorder="1" applyAlignment="1">
      <alignment horizontal="left" vertical="center"/>
    </xf>
    <xf numFmtId="0" fontId="6" fillId="12" borderId="50" xfId="0" applyFont="1" applyFill="1" applyBorder="1" applyAlignment="1">
      <alignment horizontal="center" vertical="center"/>
    </xf>
    <xf numFmtId="3" fontId="95" fillId="0" borderId="15" xfId="0" applyNumberFormat="1" applyFont="1" applyBorder="1" applyAlignment="1">
      <alignment horizontal="center" vertical="center"/>
    </xf>
    <xf numFmtId="0" fontId="73" fillId="14" borderId="19" xfId="2" applyFont="1" applyFill="1" applyBorder="1" applyAlignment="1">
      <alignment horizontal="center" vertical="center"/>
    </xf>
    <xf numFmtId="0" fontId="93" fillId="14" borderId="20" xfId="2" applyFont="1" applyFill="1" applyBorder="1" applyAlignment="1">
      <alignment horizontal="center" vertical="center"/>
    </xf>
    <xf numFmtId="0" fontId="73" fillId="14" borderId="20" xfId="2" applyFont="1" applyFill="1" applyBorder="1" applyAlignment="1">
      <alignment horizontal="center" vertical="center"/>
    </xf>
    <xf numFmtId="0" fontId="73" fillId="14" borderId="84" xfId="2" applyFont="1" applyFill="1" applyBorder="1" applyAlignment="1">
      <alignment horizontal="center" vertical="center"/>
    </xf>
    <xf numFmtId="0" fontId="73" fillId="14" borderId="32" xfId="2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3" fontId="95" fillId="2" borderId="1" xfId="0" applyNumberFormat="1" applyFont="1" applyFill="1" applyBorder="1" applyAlignment="1">
      <alignment horizontal="center" vertical="center"/>
    </xf>
    <xf numFmtId="14" fontId="95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38" fillId="21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left" vertical="center"/>
    </xf>
    <xf numFmtId="0" fontId="0" fillId="0" borderId="73" xfId="0" applyBorder="1"/>
    <xf numFmtId="0" fontId="51" fillId="0" borderId="1" xfId="0" applyFont="1" applyBorder="1" applyAlignment="1">
      <alignment horizontal="right" vertical="center"/>
    </xf>
    <xf numFmtId="0" fontId="12" fillId="4" borderId="0" xfId="0" applyFont="1" applyFill="1" applyAlignment="1" applyProtection="1">
      <alignment vertical="center"/>
      <protection locked="0"/>
    </xf>
    <xf numFmtId="0" fontId="73" fillId="14" borderId="20" xfId="2" applyFont="1" applyFill="1" applyBorder="1" applyAlignment="1">
      <alignment vertical="center"/>
    </xf>
    <xf numFmtId="0" fontId="51" fillId="0" borderId="1" xfId="0" applyFont="1" applyBorder="1" applyAlignment="1">
      <alignment vertical="center"/>
    </xf>
    <xf numFmtId="14" fontId="95" fillId="31" borderId="1" xfId="0" applyNumberFormat="1" applyFont="1" applyFill="1" applyBorder="1" applyAlignment="1">
      <alignment horizontal="center" vertical="center"/>
    </xf>
    <xf numFmtId="14" fontId="95" fillId="30" borderId="1" xfId="0" applyNumberFormat="1" applyFont="1" applyFill="1" applyBorder="1" applyAlignment="1">
      <alignment horizontal="center" vertical="center"/>
    </xf>
    <xf numFmtId="3" fontId="95" fillId="31" borderId="1" xfId="0" applyNumberFormat="1" applyFont="1" applyFill="1" applyBorder="1" applyAlignment="1">
      <alignment horizontal="center" vertical="center"/>
    </xf>
    <xf numFmtId="3" fontId="95" fillId="30" borderId="1" xfId="0" applyNumberFormat="1" applyFont="1" applyFill="1" applyBorder="1" applyAlignment="1">
      <alignment horizontal="center" vertical="center"/>
    </xf>
    <xf numFmtId="3" fontId="98" fillId="0" borderId="1" xfId="0" applyNumberFormat="1" applyFont="1" applyBorder="1" applyAlignment="1">
      <alignment horizontal="center" vertical="center"/>
    </xf>
    <xf numFmtId="0" fontId="93" fillId="14" borderId="1" xfId="2" applyFont="1" applyFill="1" applyBorder="1" applyAlignment="1">
      <alignment horizontal="center" vertical="center"/>
    </xf>
    <xf numFmtId="0" fontId="97" fillId="14" borderId="1" xfId="2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38" fillId="28" borderId="1" xfId="0" applyFont="1" applyFill="1" applyBorder="1" applyAlignment="1">
      <alignment horizontal="center" vertical="center"/>
    </xf>
    <xf numFmtId="0" fontId="51" fillId="28" borderId="1" xfId="0" applyFont="1" applyFill="1" applyBorder="1" applyAlignment="1">
      <alignment horizontal="left" vertical="center"/>
    </xf>
    <xf numFmtId="0" fontId="21" fillId="28" borderId="1" xfId="0" applyFont="1" applyFill="1" applyBorder="1" applyAlignment="1">
      <alignment horizontal="left" vertical="center"/>
    </xf>
    <xf numFmtId="0" fontId="51" fillId="28" borderId="1" xfId="0" applyFont="1" applyFill="1" applyBorder="1" applyAlignment="1">
      <alignment horizontal="center" vertical="center"/>
    </xf>
    <xf numFmtId="3" fontId="95" fillId="28" borderId="1" xfId="0" applyNumberFormat="1" applyFont="1" applyFill="1" applyBorder="1" applyAlignment="1">
      <alignment horizontal="center" vertical="center"/>
    </xf>
    <xf numFmtId="14" fontId="95" fillId="28" borderId="1" xfId="0" applyNumberFormat="1" applyFont="1" applyFill="1" applyBorder="1" applyAlignment="1">
      <alignment horizontal="center" vertical="center"/>
    </xf>
    <xf numFmtId="0" fontId="51" fillId="28" borderId="1" xfId="0" applyFont="1" applyFill="1" applyBorder="1" applyAlignment="1">
      <alignment horizontal="right" vertical="center"/>
    </xf>
    <xf numFmtId="0" fontId="51" fillId="0" borderId="33" xfId="0" applyFont="1" applyBorder="1" applyAlignment="1">
      <alignment horizontal="left" vertical="center"/>
    </xf>
    <xf numFmtId="0" fontId="38" fillId="5" borderId="1" xfId="0" applyFont="1" applyFill="1" applyBorder="1" applyAlignment="1">
      <alignment horizontal="left" vertical="center"/>
    </xf>
    <xf numFmtId="0" fontId="99" fillId="0" borderId="0" xfId="0" applyFont="1"/>
    <xf numFmtId="3" fontId="0" fillId="0" borderId="0" xfId="0" applyNumberFormat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51" fillId="5" borderId="1" xfId="0" applyFont="1" applyFill="1" applyBorder="1" applyAlignment="1">
      <alignment horizontal="center" vertical="center"/>
    </xf>
    <xf numFmtId="14" fontId="78" fillId="5" borderId="15" xfId="0" applyNumberFormat="1" applyFont="1" applyFill="1" applyBorder="1" applyAlignment="1">
      <alignment horizontal="center" vertical="center"/>
    </xf>
    <xf numFmtId="3" fontId="94" fillId="5" borderId="4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73" fillId="32" borderId="20" xfId="2" applyFont="1" applyFill="1" applyBorder="1" applyAlignment="1">
      <alignment horizontal="center" vertical="center"/>
    </xf>
    <xf numFmtId="0" fontId="93" fillId="32" borderId="20" xfId="2" applyFont="1" applyFill="1" applyBorder="1" applyAlignment="1">
      <alignment horizontal="center" vertical="center"/>
    </xf>
    <xf numFmtId="0" fontId="73" fillId="32" borderId="84" xfId="2" applyFont="1" applyFill="1" applyBorder="1" applyAlignment="1">
      <alignment horizontal="center" vertical="center"/>
    </xf>
    <xf numFmtId="0" fontId="73" fillId="33" borderId="20" xfId="2" applyFont="1" applyFill="1" applyBorder="1" applyAlignment="1">
      <alignment horizontal="center" vertical="center"/>
    </xf>
    <xf numFmtId="0" fontId="73" fillId="33" borderId="84" xfId="2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58" fillId="5" borderId="22" xfId="0" applyFont="1" applyFill="1" applyBorder="1" applyAlignment="1">
      <alignment horizontal="center" vertical="center"/>
    </xf>
    <xf numFmtId="0" fontId="58" fillId="5" borderId="50" xfId="0" applyFont="1" applyFill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50" xfId="0" applyFont="1" applyBorder="1" applyAlignment="1">
      <alignment horizontal="center" vertical="center"/>
    </xf>
    <xf numFmtId="14" fontId="38" fillId="0" borderId="22" xfId="0" applyNumberFormat="1" applyFont="1" applyBorder="1" applyAlignment="1">
      <alignment horizontal="center" vertical="center"/>
    </xf>
    <xf numFmtId="14" fontId="38" fillId="0" borderId="50" xfId="0" applyNumberFormat="1" applyFont="1" applyBorder="1" applyAlignment="1">
      <alignment horizontal="center" vertical="center"/>
    </xf>
    <xf numFmtId="0" fontId="58" fillId="0" borderId="22" xfId="0" applyFont="1" applyBorder="1" applyAlignment="1">
      <alignment horizontal="center" vertical="center"/>
    </xf>
    <xf numFmtId="0" fontId="58" fillId="0" borderId="50" xfId="0" applyFont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50" xfId="0" applyFont="1" applyFill="1" applyBorder="1" applyAlignment="1">
      <alignment horizontal="center" vertical="center"/>
    </xf>
    <xf numFmtId="0" fontId="58" fillId="5" borderId="22" xfId="0" applyFont="1" applyFill="1" applyBorder="1" applyAlignment="1">
      <alignment horizontal="center"/>
    </xf>
    <xf numFmtId="0" fontId="58" fillId="5" borderId="5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70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7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72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12" fillId="4" borderId="0" xfId="0" applyFont="1" applyFill="1" applyAlignment="1" applyProtection="1">
      <alignment horizontal="center"/>
      <protection locked="0"/>
    </xf>
    <xf numFmtId="0" fontId="27" fillId="0" borderId="1" xfId="0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70" xfId="0" applyFont="1" applyBorder="1" applyAlignment="1">
      <alignment horizontal="left" vertical="center"/>
    </xf>
    <xf numFmtId="0" fontId="27" fillId="0" borderId="47" xfId="0" applyFont="1" applyBorder="1" applyAlignment="1">
      <alignment horizontal="left" vertical="center"/>
    </xf>
    <xf numFmtId="0" fontId="27" fillId="0" borderId="7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52" xfId="0" applyFont="1" applyBorder="1" applyAlignment="1">
      <alignment horizontal="left" vertical="center"/>
    </xf>
    <xf numFmtId="0" fontId="27" fillId="0" borderId="72" xfId="0" applyFont="1" applyBorder="1" applyAlignment="1">
      <alignment horizontal="left" vertical="center"/>
    </xf>
    <xf numFmtId="0" fontId="27" fillId="0" borderId="73" xfId="0" applyFont="1" applyBorder="1" applyAlignment="1">
      <alignment horizontal="left" vertical="center"/>
    </xf>
    <xf numFmtId="0" fontId="27" fillId="0" borderId="49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7" fillId="11" borderId="1" xfId="0" applyNumberFormat="1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3" borderId="25" xfId="0" applyFont="1" applyFill="1" applyBorder="1" applyAlignment="1">
      <alignment horizontal="center" vertical="center"/>
    </xf>
    <xf numFmtId="0" fontId="27" fillId="3" borderId="26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3" fontId="27" fillId="0" borderId="33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7" fillId="0" borderId="33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7" fillId="0" borderId="9" xfId="0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5" fillId="0" borderId="52" xfId="0" applyFont="1" applyBorder="1" applyAlignment="1">
      <alignment horizontal="left" vertical="center"/>
    </xf>
    <xf numFmtId="0" fontId="25" fillId="0" borderId="53" xfId="0" applyFont="1" applyBorder="1" applyAlignment="1">
      <alignment horizontal="left" vertical="center"/>
    </xf>
    <xf numFmtId="0" fontId="25" fillId="0" borderId="54" xfId="0" applyFont="1" applyBorder="1" applyAlignment="1">
      <alignment horizontal="left" vertical="center"/>
    </xf>
    <xf numFmtId="0" fontId="25" fillId="0" borderId="49" xfId="0" applyFont="1" applyBorder="1" applyAlignment="1">
      <alignment horizontal="left" vertical="center"/>
    </xf>
    <xf numFmtId="0" fontId="25" fillId="0" borderId="50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25" fillId="0" borderId="33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6" fillId="0" borderId="33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5" fillId="0" borderId="47" xfId="0" applyFont="1" applyBorder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6" fillId="0" borderId="56" xfId="0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/>
    </xf>
    <xf numFmtId="0" fontId="25" fillId="0" borderId="56" xfId="0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6" fillId="0" borderId="60" xfId="0" applyFont="1" applyBorder="1" applyAlignment="1">
      <alignment horizontal="left" vertical="center"/>
    </xf>
    <xf numFmtId="0" fontId="26" fillId="0" borderId="61" xfId="0" applyFont="1" applyBorder="1" applyAlignment="1">
      <alignment horizontal="left" vertical="center"/>
    </xf>
    <xf numFmtId="0" fontId="26" fillId="0" borderId="62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56" xfId="0" applyFont="1" applyBorder="1" applyAlignment="1">
      <alignment horizontal="left" vertical="center"/>
    </xf>
    <xf numFmtId="0" fontId="1" fillId="0" borderId="57" xfId="0" applyFont="1" applyBorder="1" applyAlignment="1">
      <alignment horizontal="left" vertical="center"/>
    </xf>
    <xf numFmtId="0" fontId="1" fillId="0" borderId="58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" fillId="0" borderId="61" xfId="0" applyFont="1" applyBorder="1" applyAlignment="1">
      <alignment horizontal="left" vertical="center"/>
    </xf>
    <xf numFmtId="0" fontId="1" fillId="0" borderId="62" xfId="0" applyFont="1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9" fillId="0" borderId="33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2" fillId="4" borderId="0" xfId="0" applyFont="1" applyFill="1" applyAlignment="1" applyProtection="1">
      <alignment horizontal="center"/>
      <protection locked="0"/>
    </xf>
    <xf numFmtId="0" fontId="1" fillId="0" borderId="1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22" fillId="4" borderId="24" xfId="0" applyFont="1" applyFill="1" applyBorder="1" applyAlignment="1" applyProtection="1">
      <alignment horizontal="center"/>
      <protection locked="0"/>
    </xf>
    <xf numFmtId="0" fontId="22" fillId="4" borderId="25" xfId="0" applyFont="1" applyFill="1" applyBorder="1" applyAlignment="1" applyProtection="1">
      <alignment horizontal="center"/>
      <protection locked="0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17" fillId="4" borderId="24" xfId="0" applyFont="1" applyFill="1" applyBorder="1" applyAlignment="1" applyProtection="1">
      <alignment horizontal="left"/>
      <protection locked="0"/>
    </xf>
    <xf numFmtId="0" fontId="17" fillId="4" borderId="25" xfId="0" applyFont="1" applyFill="1" applyBorder="1" applyAlignment="1" applyProtection="1">
      <alignment horizontal="left"/>
      <protection locked="0"/>
    </xf>
    <xf numFmtId="0" fontId="14" fillId="0" borderId="33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3" borderId="24" xfId="0" applyFont="1" applyFill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" fillId="3" borderId="24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1" fillId="4" borderId="0" xfId="0" applyFont="1" applyFill="1" applyAlignment="1" applyProtection="1">
      <alignment horizontal="center"/>
      <protection locked="0"/>
    </xf>
  </cellXfs>
  <cellStyles count="3">
    <cellStyle name="Normal" xfId="0" builtinId="0"/>
    <cellStyle name="Normal_DIAMANTIS P.246E" xfId="2" xr:uid="{A026B46E-B77D-4041-88CE-76A040AF62DE}"/>
    <cellStyle name="Normal_WARNOW MATE V.053N" xfId="1" xr:uid="{6E1FDE04-13F9-431A-8D97-1491E62016B8}"/>
  </cellStyles>
  <dxfs count="15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gradientFill degree="135">
          <stop position="0">
            <color rgb="FFFFFF00"/>
          </stop>
          <stop position="0.5">
            <color rgb="FFFF0000"/>
          </stop>
          <stop position="1">
            <color rgb="FFFFFF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gradientFill degree="135">
          <stop position="0">
            <color rgb="FFFFFF00"/>
          </stop>
          <stop position="0.5">
            <color rgb="FFFF0000"/>
          </stop>
          <stop position="1">
            <color rgb="FFFFFF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microsoft.com/office/2017/10/relationships/person" Target="persons/person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theme" Target="theme/theme1.xml"/><Relationship Id="rId156" Type="http://schemas.openxmlformats.org/officeDocument/2006/relationships/customXml" Target="../customXml/item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customXml" Target="../customXml/item3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calcChain" Target="calcChain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eur01.safelinks.protection.outlook.com/?url=https%3A%2F%2Firis.oocl.com%2Fwls_prs_cus%2Fsecured%2Fcus%2FgetCustomer%3FcpfId%3D4102729000&amp;data=05%7C02%7Cjean-felix.ziagoue%40aglgroup.com%7C98adaf03815f4f80cde608de01d10805%7C088e9b00ffd0458ebfa1acf4c596d3cb%7C0%7C0%7C638950194609356738%7CUnknown%7CTWFpbGZsb3d8eyJFbXB0eU1hcGkiOnRydWUsIlYiOiIwLjAuMDAwMCIsIlAiOiJXaW4zMiIsIkFOIjoiTWFpbCIsIldUIjoyfQ%3D%3D%7C0%7C%7C%7C&amp;sdata=3QUwmgX%2BzSAQiDsgdmwY64ya%2FGRaIReFJVnyuCl1QUI%3D&amp;reserved=0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E1D3-0828-482A-BC15-51CBB37B0CE0}">
  <sheetPr>
    <tabColor rgb="FF92D050"/>
  </sheetPr>
  <dimension ref="A1:AJ40"/>
  <sheetViews>
    <sheetView topLeftCell="C1" zoomScaleNormal="100" workbookViewId="0">
      <pane ySplit="4" topLeftCell="A5" activePane="bottomLeft" state="frozen"/>
      <selection pane="bottomLeft" activeCell="G2" sqref="G2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53" style="208" customWidth="1"/>
    <col min="5" max="5" width="30.28515625" style="105" customWidth="1"/>
    <col min="6" max="6" width="42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36" ht="19.5" thickBot="1" x14ac:dyDescent="0.35">
      <c r="A1" s="348" t="s">
        <v>2165</v>
      </c>
      <c r="B1" s="431"/>
      <c r="C1" s="431"/>
      <c r="D1" s="288"/>
      <c r="E1" s="631"/>
      <c r="F1" s="288"/>
      <c r="G1" s="729"/>
      <c r="H1" s="729"/>
      <c r="I1" s="729"/>
    </row>
    <row r="2" spans="1:36" ht="24" thickBot="1" x14ac:dyDescent="0.3">
      <c r="A2" s="618" t="s">
        <v>0</v>
      </c>
      <c r="B2" s="638"/>
      <c r="C2" s="24"/>
      <c r="D2" s="25"/>
      <c r="E2" s="358">
        <f ca="1">I2-G2</f>
        <v>7</v>
      </c>
      <c r="F2" s="25"/>
      <c r="G2" s="314">
        <v>46089</v>
      </c>
      <c r="H2" s="365">
        <f ca="1">I2-G2</f>
        <v>7</v>
      </c>
      <c r="I2" s="315">
        <f ca="1">TODAY()</f>
        <v>46096</v>
      </c>
      <c r="J2" s="655"/>
    </row>
    <row r="3" spans="1:36" ht="16.5" thickBot="1" x14ac:dyDescent="0.3">
      <c r="D3" s="633"/>
      <c r="E3" s="632"/>
      <c r="F3" s="633"/>
      <c r="G3" s="105"/>
      <c r="H3" s="105"/>
      <c r="I3" s="208"/>
    </row>
    <row r="4" spans="1:36" ht="19.5" customHeight="1" x14ac:dyDescent="0.25">
      <c r="A4" s="682" t="s">
        <v>1</v>
      </c>
      <c r="B4" s="725" t="s">
        <v>2</v>
      </c>
      <c r="C4" s="724" t="s">
        <v>3</v>
      </c>
      <c r="D4" s="724" t="s">
        <v>5</v>
      </c>
      <c r="E4" s="727" t="s">
        <v>2195</v>
      </c>
      <c r="F4" s="727" t="s">
        <v>1066</v>
      </c>
      <c r="G4" s="684" t="s">
        <v>1067</v>
      </c>
      <c r="H4" s="727" t="s">
        <v>167</v>
      </c>
      <c r="I4" s="726" t="s">
        <v>1068</v>
      </c>
      <c r="J4" s="656" t="s">
        <v>8</v>
      </c>
      <c r="K4" s="686" t="s">
        <v>9</v>
      </c>
      <c r="L4" s="684" t="s">
        <v>10</v>
      </c>
      <c r="M4" s="728" t="s">
        <v>11</v>
      </c>
    </row>
    <row r="5" spans="1:36" s="229" customFormat="1" ht="19.5" customHeight="1" x14ac:dyDescent="0.25">
      <c r="A5" s="516">
        <v>1</v>
      </c>
      <c r="B5" s="505">
        <v>4055010790</v>
      </c>
      <c r="C5" s="275" t="s">
        <v>164</v>
      </c>
      <c r="D5" s="275" t="s">
        <v>12</v>
      </c>
      <c r="E5" s="275" t="s">
        <v>2179</v>
      </c>
      <c r="F5" s="667" t="s">
        <v>2176</v>
      </c>
      <c r="G5" s="323" t="str">
        <f t="shared" ref="G5:G18" ca="1" si="0">IF(I5="",IF($E$2&lt;=15,"En attente de Retrait","En Attente d'un Retrait Tardif"),IF(I5-$G$2&lt;=15,"Rétiré dans les délais",IF(I5-$G$2&gt;15,"Rétiré tardivement-30000FCFAamende")))</f>
        <v>En attente de Retrait</v>
      </c>
      <c r="H5" s="657"/>
      <c r="I5" s="658"/>
      <c r="J5" s="657">
        <v>0</v>
      </c>
      <c r="K5" s="657"/>
      <c r="L5" s="657"/>
      <c r="M5" s="657"/>
    </row>
    <row r="6" spans="1:36" s="722" customFormat="1" ht="19.5" customHeight="1" x14ac:dyDescent="0.25">
      <c r="A6" s="516">
        <v>2</v>
      </c>
      <c r="B6" s="505">
        <v>2166523210</v>
      </c>
      <c r="C6" s="275" t="s">
        <v>26</v>
      </c>
      <c r="D6" s="275" t="s">
        <v>2180</v>
      </c>
      <c r="E6" s="275" t="s">
        <v>2192</v>
      </c>
      <c r="F6" s="667" t="s">
        <v>2193</v>
      </c>
      <c r="G6" s="323" t="str">
        <f t="shared" ca="1" si="0"/>
        <v>En attente de Retrait</v>
      </c>
      <c r="H6" s="657"/>
      <c r="I6" s="658"/>
      <c r="J6" s="275">
        <v>0</v>
      </c>
      <c r="K6" s="695"/>
      <c r="L6" s="613"/>
      <c r="M6" s="353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</row>
    <row r="7" spans="1:36" s="229" customFormat="1" ht="19.5" customHeight="1" x14ac:dyDescent="0.25">
      <c r="A7" s="516">
        <v>3</v>
      </c>
      <c r="B7" s="505">
        <v>2166523240</v>
      </c>
      <c r="C7" s="275" t="s">
        <v>26</v>
      </c>
      <c r="D7" s="275" t="s">
        <v>2180</v>
      </c>
      <c r="E7" s="275" t="s">
        <v>2179</v>
      </c>
      <c r="F7" s="667" t="s">
        <v>2194</v>
      </c>
      <c r="G7" s="323" t="str">
        <f t="shared" ca="1" si="0"/>
        <v>En attente de Retrait</v>
      </c>
      <c r="H7" s="657"/>
      <c r="I7" s="658"/>
      <c r="J7" s="657">
        <v>0</v>
      </c>
      <c r="K7" s="657"/>
      <c r="L7" s="657"/>
      <c r="M7" s="657"/>
    </row>
    <row r="8" spans="1:36" s="722" customFormat="1" ht="19.5" customHeight="1" x14ac:dyDescent="0.25">
      <c r="A8" s="516">
        <v>4</v>
      </c>
      <c r="B8" s="505">
        <v>4054882491</v>
      </c>
      <c r="C8" s="275" t="s">
        <v>26</v>
      </c>
      <c r="D8" s="275" t="s">
        <v>2182</v>
      </c>
      <c r="E8" s="275" t="s">
        <v>2183</v>
      </c>
      <c r="F8" s="667" t="s">
        <v>2176</v>
      </c>
      <c r="G8" s="323" t="str">
        <f t="shared" ca="1" si="0"/>
        <v>En attente de Retrait</v>
      </c>
      <c r="H8" s="657"/>
      <c r="I8" s="658"/>
      <c r="J8" s="723">
        <v>3360000</v>
      </c>
      <c r="K8" s="695"/>
      <c r="L8" s="613"/>
      <c r="M8" s="353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29"/>
    </row>
    <row r="9" spans="1:36" s="229" customFormat="1" ht="19.5" customHeight="1" x14ac:dyDescent="0.25">
      <c r="A9" s="516">
        <v>5</v>
      </c>
      <c r="B9" s="505">
        <v>4054926923</v>
      </c>
      <c r="C9" s="275" t="s">
        <v>26</v>
      </c>
      <c r="D9" s="275" t="s">
        <v>2181</v>
      </c>
      <c r="E9" s="275" t="s">
        <v>526</v>
      </c>
      <c r="F9" s="667" t="s">
        <v>2178</v>
      </c>
      <c r="G9" s="323" t="str">
        <f t="shared" ca="1" si="0"/>
        <v>En attente de Retrait</v>
      </c>
      <c r="H9" s="657"/>
      <c r="I9" s="658"/>
      <c r="J9" s="657">
        <v>880000</v>
      </c>
      <c r="K9" s="657"/>
      <c r="L9" s="657"/>
      <c r="M9" s="657"/>
    </row>
    <row r="10" spans="1:36" s="229" customFormat="1" ht="19.5" customHeight="1" x14ac:dyDescent="0.25">
      <c r="A10" s="516">
        <v>6</v>
      </c>
      <c r="B10" s="505">
        <v>4000741000</v>
      </c>
      <c r="C10" s="275" t="s">
        <v>26</v>
      </c>
      <c r="D10" s="275" t="s">
        <v>2181</v>
      </c>
      <c r="E10" s="275" t="s">
        <v>526</v>
      </c>
      <c r="F10" s="667" t="s">
        <v>2176</v>
      </c>
      <c r="G10" s="323" t="str">
        <f t="shared" ca="1" si="0"/>
        <v>En attente de Retrait</v>
      </c>
      <c r="H10" s="657"/>
      <c r="I10" s="658"/>
      <c r="J10" s="657">
        <v>0</v>
      </c>
      <c r="K10" s="657"/>
      <c r="L10" s="657"/>
      <c r="M10" s="657"/>
    </row>
    <row r="11" spans="1:36" s="229" customFormat="1" ht="19.5" customHeight="1" x14ac:dyDescent="0.25">
      <c r="A11" s="516">
        <v>7</v>
      </c>
      <c r="B11" s="505">
        <v>4000740990</v>
      </c>
      <c r="C11" s="275" t="s">
        <v>26</v>
      </c>
      <c r="D11" s="275" t="s">
        <v>2181</v>
      </c>
      <c r="E11" s="275" t="s">
        <v>526</v>
      </c>
      <c r="F11" s="667" t="s">
        <v>2176</v>
      </c>
      <c r="G11" s="323" t="str">
        <f t="shared" ca="1" si="0"/>
        <v>En attente de Retrait</v>
      </c>
      <c r="H11" s="657"/>
      <c r="I11" s="658"/>
      <c r="J11" s="657">
        <v>0</v>
      </c>
      <c r="K11" s="657"/>
      <c r="L11" s="657"/>
      <c r="M11" s="657"/>
    </row>
    <row r="12" spans="1:36" s="229" customFormat="1" ht="19.5" customHeight="1" x14ac:dyDescent="0.25">
      <c r="A12" s="516">
        <v>8</v>
      </c>
      <c r="B12" s="505">
        <v>4055025590</v>
      </c>
      <c r="C12" s="275" t="s">
        <v>26</v>
      </c>
      <c r="D12" s="275" t="s">
        <v>2184</v>
      </c>
      <c r="E12" s="275" t="s">
        <v>2185</v>
      </c>
      <c r="F12" s="667" t="s">
        <v>2177</v>
      </c>
      <c r="G12" s="323" t="str">
        <f t="shared" ca="1" si="0"/>
        <v>En attente de Retrait</v>
      </c>
      <c r="H12" s="657"/>
      <c r="I12" s="658"/>
      <c r="J12" s="657">
        <v>0</v>
      </c>
      <c r="K12" s="657"/>
      <c r="L12" s="657"/>
      <c r="M12" s="657"/>
    </row>
    <row r="13" spans="1:36" s="229" customFormat="1" ht="19.5" customHeight="1" x14ac:dyDescent="0.25">
      <c r="A13" s="516">
        <v>9</v>
      </c>
      <c r="B13" s="505">
        <v>4055027530</v>
      </c>
      <c r="C13" s="275" t="s">
        <v>26</v>
      </c>
      <c r="D13" s="275" t="s">
        <v>2095</v>
      </c>
      <c r="E13" s="275" t="s">
        <v>2185</v>
      </c>
      <c r="F13" s="667" t="s">
        <v>2176</v>
      </c>
      <c r="G13" s="323" t="str">
        <f t="shared" ca="1" si="0"/>
        <v>En attente de Retrait</v>
      </c>
      <c r="H13" s="657"/>
      <c r="I13" s="658"/>
      <c r="J13" s="657">
        <v>0</v>
      </c>
      <c r="K13" s="657"/>
      <c r="L13" s="657"/>
      <c r="M13" s="657"/>
    </row>
    <row r="14" spans="1:36" s="229" customFormat="1" ht="19.5" customHeight="1" x14ac:dyDescent="0.25">
      <c r="A14" s="516">
        <v>10</v>
      </c>
      <c r="B14" s="505">
        <v>4055029940</v>
      </c>
      <c r="C14" s="275" t="s">
        <v>26</v>
      </c>
      <c r="D14" s="275" t="s">
        <v>2186</v>
      </c>
      <c r="E14" s="275" t="s">
        <v>2185</v>
      </c>
      <c r="F14" s="667" t="s">
        <v>2177</v>
      </c>
      <c r="G14" s="323" t="str">
        <f t="shared" ca="1" si="0"/>
        <v>En attente de Retrait</v>
      </c>
      <c r="H14" s="657"/>
      <c r="I14" s="658"/>
      <c r="J14" s="657">
        <v>0</v>
      </c>
      <c r="K14" s="657"/>
      <c r="L14" s="657"/>
      <c r="M14" s="657"/>
    </row>
    <row r="15" spans="1:36" s="229" customFormat="1" ht="19.5" customHeight="1" x14ac:dyDescent="0.25">
      <c r="A15" s="516">
        <v>11</v>
      </c>
      <c r="B15" s="505">
        <v>4055037130</v>
      </c>
      <c r="C15" s="275" t="s">
        <v>26</v>
      </c>
      <c r="D15" s="275" t="s">
        <v>2094</v>
      </c>
      <c r="E15" s="275" t="s">
        <v>2187</v>
      </c>
      <c r="F15" s="667" t="s">
        <v>2177</v>
      </c>
      <c r="G15" s="323" t="str">
        <f t="shared" ca="1" si="0"/>
        <v>En attente de Retrait</v>
      </c>
      <c r="H15" s="657"/>
      <c r="I15" s="658"/>
      <c r="J15" s="657">
        <v>0</v>
      </c>
      <c r="K15" s="657"/>
      <c r="L15" s="657"/>
      <c r="M15" s="657"/>
    </row>
    <row r="16" spans="1:36" s="229" customFormat="1" ht="19.5" customHeight="1" x14ac:dyDescent="0.25">
      <c r="A16" s="516">
        <v>12</v>
      </c>
      <c r="B16" s="505">
        <v>4055038620</v>
      </c>
      <c r="C16" s="275" t="s">
        <v>26</v>
      </c>
      <c r="D16" s="275" t="s">
        <v>2188</v>
      </c>
      <c r="E16" s="275" t="s">
        <v>2189</v>
      </c>
      <c r="F16" s="667" t="s">
        <v>2176</v>
      </c>
      <c r="G16" s="323" t="str">
        <f t="shared" ca="1" si="0"/>
        <v>En attente de Retrait</v>
      </c>
      <c r="H16" s="657"/>
      <c r="I16" s="658"/>
      <c r="J16" s="657">
        <v>0</v>
      </c>
      <c r="K16" s="657"/>
      <c r="L16" s="657"/>
      <c r="M16" s="657"/>
    </row>
    <row r="17" spans="1:36" s="229" customFormat="1" ht="19.5" customHeight="1" x14ac:dyDescent="0.25">
      <c r="A17" s="516">
        <v>13</v>
      </c>
      <c r="B17" s="505">
        <v>4055041040</v>
      </c>
      <c r="C17" s="275" t="s">
        <v>26</v>
      </c>
      <c r="D17" s="275" t="s">
        <v>2095</v>
      </c>
      <c r="E17" s="323" t="s">
        <v>2191</v>
      </c>
      <c r="F17" s="667" t="s">
        <v>2176</v>
      </c>
      <c r="G17" s="323" t="str">
        <f t="shared" ca="1" si="0"/>
        <v>En attente de Retrait</v>
      </c>
      <c r="H17" s="657"/>
      <c r="I17" s="658"/>
      <c r="J17" s="657">
        <v>0</v>
      </c>
      <c r="K17" s="657"/>
      <c r="L17" s="657"/>
      <c r="M17" s="657"/>
    </row>
    <row r="18" spans="1:36" s="229" customFormat="1" ht="19.5" customHeight="1" x14ac:dyDescent="0.25">
      <c r="A18" s="516">
        <v>14</v>
      </c>
      <c r="B18" s="505">
        <v>4055051090</v>
      </c>
      <c r="C18" s="275" t="s">
        <v>26</v>
      </c>
      <c r="D18" s="275" t="s">
        <v>2094</v>
      </c>
      <c r="E18" s="275" t="s">
        <v>2190</v>
      </c>
      <c r="F18" s="667" t="s">
        <v>2177</v>
      </c>
      <c r="G18" s="323" t="str">
        <f t="shared" ca="1" si="0"/>
        <v>En attente de Retrait</v>
      </c>
      <c r="H18" s="657"/>
      <c r="I18" s="658"/>
      <c r="J18" s="657">
        <v>0</v>
      </c>
      <c r="K18" s="657"/>
      <c r="L18" s="657"/>
      <c r="M18" s="657"/>
    </row>
    <row r="19" spans="1:36" ht="17.25" customHeight="1" x14ac:dyDescent="0.25">
      <c r="B19"/>
      <c r="C19"/>
    </row>
    <row r="20" spans="1:36" ht="17.25" customHeight="1" x14ac:dyDescent="0.25">
      <c r="B20"/>
      <c r="C20"/>
    </row>
    <row r="21" spans="1:36" ht="17.25" customHeight="1" x14ac:dyDescent="0.25">
      <c r="B21"/>
      <c r="C21"/>
    </row>
    <row r="22" spans="1:36" ht="17.25" customHeight="1" x14ac:dyDescent="0.25">
      <c r="B22"/>
      <c r="C22"/>
      <c r="E22" s="208"/>
    </row>
    <row r="23" spans="1:36" ht="17.25" customHeight="1" x14ac:dyDescent="0.25">
      <c r="B23"/>
      <c r="C23"/>
      <c r="E23" s="208"/>
    </row>
    <row r="24" spans="1:36" ht="17.25" customHeight="1" x14ac:dyDescent="0.25">
      <c r="B24"/>
      <c r="C24"/>
      <c r="E24" s="208"/>
    </row>
    <row r="25" spans="1:36" s="208" customFormat="1" ht="15" x14ac:dyDescent="0.25">
      <c r="A25"/>
      <c r="B25"/>
      <c r="C25"/>
      <c r="I25"/>
      <c r="J25" s="654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208" customFormat="1" ht="15" x14ac:dyDescent="0.25">
      <c r="I26"/>
      <c r="J26" s="654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s="208" customFormat="1" ht="15" x14ac:dyDescent="0.25">
      <c r="I27"/>
      <c r="J27" s="654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1:36" s="208" customFormat="1" ht="15" x14ac:dyDescent="0.25">
      <c r="I28"/>
      <c r="J28" s="654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 ht="15" x14ac:dyDescent="0.25">
      <c r="A29" s="208"/>
      <c r="B29" s="208"/>
      <c r="C29" s="208"/>
      <c r="E29" s="208"/>
    </row>
    <row r="30" spans="1:36" ht="15" x14ac:dyDescent="0.25">
      <c r="A30" s="208"/>
      <c r="B30" s="208"/>
      <c r="C30" s="208"/>
      <c r="E30" s="208"/>
    </row>
    <row r="31" spans="1:36" ht="15" x14ac:dyDescent="0.25">
      <c r="A31" s="208"/>
      <c r="B31" s="208"/>
      <c r="C31" s="208"/>
      <c r="E31" s="208"/>
    </row>
    <row r="32" spans="1:36" ht="15" x14ac:dyDescent="0.25">
      <c r="A32" s="208"/>
      <c r="B32" s="208"/>
      <c r="C32" s="208"/>
      <c r="E32" s="208"/>
    </row>
    <row r="33" spans="1:36" ht="15" x14ac:dyDescent="0.25">
      <c r="A33" s="208"/>
      <c r="B33" s="208"/>
      <c r="C33" s="208"/>
      <c r="E33" s="208"/>
    </row>
    <row r="34" spans="1:36" s="208" customFormat="1" ht="15" x14ac:dyDescent="0.25">
      <c r="I34"/>
      <c r="J34" s="65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1:36" s="208" customFormat="1" ht="15" x14ac:dyDescent="0.25">
      <c r="I35"/>
      <c r="J35" s="654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s="208" customFormat="1" ht="15" x14ac:dyDescent="0.25">
      <c r="I36"/>
      <c r="J36" s="654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 spans="1:36" s="208" customFormat="1" ht="15" x14ac:dyDescent="0.25">
      <c r="I37"/>
      <c r="J37" s="654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</row>
    <row r="38" spans="1:36" s="208" customFormat="1" ht="15" x14ac:dyDescent="0.25">
      <c r="E38" s="105"/>
      <c r="G38" s="717"/>
      <c r="I38"/>
      <c r="J38" s="654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 spans="1:36" ht="15" x14ac:dyDescent="0.25">
      <c r="A39" s="208"/>
      <c r="B39" s="208"/>
      <c r="C39" s="208"/>
    </row>
    <row r="40" spans="1:36" ht="15" x14ac:dyDescent="0.25">
      <c r="A40" s="208"/>
      <c r="B40" s="208"/>
      <c r="C40" s="208"/>
    </row>
  </sheetData>
  <autoFilter ref="A4:M9" xr:uid="{682D34AD-08D1-44C3-B410-EE1FDFA313B1}">
    <sortState xmlns:xlrd2="http://schemas.microsoft.com/office/spreadsheetml/2017/richdata2" ref="A5:M16">
      <sortCondition ref="C4:C9"/>
    </sortState>
  </autoFilter>
  <sortState xmlns:xlrd2="http://schemas.microsoft.com/office/spreadsheetml/2017/richdata2" ref="B27:C38">
    <sortCondition ref="B27:B38"/>
  </sortState>
  <mergeCells count="1">
    <mergeCell ref="G1:I1"/>
  </mergeCells>
  <conditionalFormatting sqref="B41:B1048576 B1:B25">
    <cfRule type="duplicateValues" dxfId="1534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63B9-BE16-42FB-9DC4-80731EBE42F0}">
  <sheetPr>
    <tabColor rgb="FF92D050"/>
  </sheetPr>
  <dimension ref="A1:AJ22"/>
  <sheetViews>
    <sheetView zoomScaleNormal="100" workbookViewId="0">
      <pane ySplit="4" topLeftCell="A5" activePane="bottomLeft" state="frozen"/>
      <selection pane="bottomLeft" activeCell="D27" sqref="D27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48.7109375" style="208" customWidth="1"/>
    <col min="5" max="5" width="21.42578125" style="105" customWidth="1"/>
    <col min="6" max="6" width="24.7109375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36" ht="19.5" thickBot="1" x14ac:dyDescent="0.35">
      <c r="A1" s="348" t="s">
        <v>2166</v>
      </c>
      <c r="B1" s="431"/>
      <c r="C1" s="431"/>
      <c r="D1" s="288"/>
      <c r="E1" s="631"/>
      <c r="F1" s="288"/>
      <c r="G1" s="729"/>
      <c r="H1" s="729"/>
      <c r="I1" s="729"/>
    </row>
    <row r="2" spans="1:36" ht="24" thickBot="1" x14ac:dyDescent="0.3">
      <c r="A2" s="618" t="s">
        <v>0</v>
      </c>
      <c r="B2" s="638"/>
      <c r="C2" s="24"/>
      <c r="D2" s="25"/>
      <c r="E2" s="358">
        <f ca="1">I2-G2</f>
        <v>8</v>
      </c>
      <c r="F2" s="25"/>
      <c r="G2" s="314">
        <v>46088</v>
      </c>
      <c r="H2" s="365">
        <f ca="1">I2-G2</f>
        <v>8</v>
      </c>
      <c r="I2" s="315">
        <f ca="1">TODAY()</f>
        <v>46096</v>
      </c>
      <c r="J2" s="655"/>
    </row>
    <row r="3" spans="1:36" ht="16.5" thickBot="1" x14ac:dyDescent="0.3">
      <c r="D3" s="633"/>
      <c r="E3" s="632"/>
      <c r="F3" s="633"/>
      <c r="G3" s="105"/>
      <c r="H3" s="105"/>
      <c r="I3" s="208"/>
    </row>
    <row r="4" spans="1:36" ht="19.5" customHeight="1" x14ac:dyDescent="0.25">
      <c r="A4" s="682" t="s">
        <v>1</v>
      </c>
      <c r="B4" s="683" t="s">
        <v>2</v>
      </c>
      <c r="C4" s="684" t="s">
        <v>3</v>
      </c>
      <c r="D4" s="684" t="s">
        <v>5</v>
      </c>
      <c r="E4" s="684" t="s">
        <v>1065</v>
      </c>
      <c r="F4" s="684" t="s">
        <v>1066</v>
      </c>
      <c r="G4" s="684" t="s">
        <v>1067</v>
      </c>
      <c r="H4" s="684" t="s">
        <v>167</v>
      </c>
      <c r="I4" s="685" t="s">
        <v>1068</v>
      </c>
      <c r="J4" s="656" t="s">
        <v>8</v>
      </c>
      <c r="K4" s="686" t="s">
        <v>9</v>
      </c>
      <c r="L4" s="684" t="s">
        <v>10</v>
      </c>
      <c r="M4" s="685" t="s">
        <v>11</v>
      </c>
    </row>
    <row r="5" spans="1:36" s="229" customFormat="1" ht="19.5" customHeight="1" x14ac:dyDescent="0.25">
      <c r="A5" s="516">
        <v>1</v>
      </c>
      <c r="B5" s="505">
        <v>4055015190</v>
      </c>
      <c r="C5" s="275" t="s">
        <v>26</v>
      </c>
      <c r="D5" s="275" t="s">
        <v>2167</v>
      </c>
      <c r="E5" s="275" t="s">
        <v>2168</v>
      </c>
      <c r="F5" s="275" t="s">
        <v>17</v>
      </c>
      <c r="G5" s="275" t="str">
        <f t="shared" ref="G5:G11" ca="1" si="0">IF(I5="",IF($E$2&lt;=15,"En attente de Retrait","En Attente d'un Retrait Tardif"),IF(I5-$G$2&lt;=15,"Rétiré dans les délais",IF(I5-$G$2&gt;15,"Rétiré tardivement-30000FCFAamende")))</f>
        <v>En attente de Retrait</v>
      </c>
      <c r="H5" s="657"/>
      <c r="I5" s="658"/>
      <c r="J5" s="275">
        <v>0</v>
      </c>
      <c r="K5" s="695"/>
      <c r="L5" s="613"/>
      <c r="M5" s="353"/>
    </row>
    <row r="6" spans="1:36" s="722" customFormat="1" ht="19.5" customHeight="1" x14ac:dyDescent="0.25">
      <c r="A6" s="516">
        <v>2</v>
      </c>
      <c r="B6" s="505">
        <v>4055027560</v>
      </c>
      <c r="C6" s="275" t="s">
        <v>26</v>
      </c>
      <c r="D6" s="275" t="s">
        <v>2169</v>
      </c>
      <c r="E6" s="275" t="s">
        <v>2170</v>
      </c>
      <c r="F6" s="275" t="s">
        <v>17</v>
      </c>
      <c r="G6" s="275" t="str">
        <f t="shared" ca="1" si="0"/>
        <v>En attente de Retrait</v>
      </c>
      <c r="H6" s="657"/>
      <c r="I6" s="658"/>
      <c r="J6" s="657">
        <v>0</v>
      </c>
      <c r="K6" s="657"/>
      <c r="L6" s="657"/>
      <c r="M6" s="657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</row>
    <row r="7" spans="1:36" s="229" customFormat="1" ht="19.5" customHeight="1" x14ac:dyDescent="0.25">
      <c r="A7" s="516">
        <v>3</v>
      </c>
      <c r="B7" s="505">
        <v>4055038680</v>
      </c>
      <c r="C7" s="275" t="s">
        <v>24</v>
      </c>
      <c r="D7" s="275" t="s">
        <v>12</v>
      </c>
      <c r="E7" s="275" t="s">
        <v>2171</v>
      </c>
      <c r="F7" s="275" t="s">
        <v>17</v>
      </c>
      <c r="G7" s="275" t="str">
        <f t="shared" ca="1" si="0"/>
        <v>En attente de Retrait</v>
      </c>
      <c r="H7" s="657"/>
      <c r="I7" s="658"/>
      <c r="J7" s="275">
        <v>0</v>
      </c>
      <c r="K7" s="695"/>
      <c r="L7" s="613"/>
      <c r="M7" s="353"/>
    </row>
    <row r="8" spans="1:36" s="722" customFormat="1" ht="19.5" customHeight="1" x14ac:dyDescent="0.25">
      <c r="A8" s="516">
        <v>4</v>
      </c>
      <c r="B8" s="505">
        <v>4055049370</v>
      </c>
      <c r="C8" s="275" t="s">
        <v>24</v>
      </c>
      <c r="D8" s="275" t="s">
        <v>12</v>
      </c>
      <c r="E8" s="275" t="s">
        <v>2171</v>
      </c>
      <c r="F8" s="275" t="s">
        <v>17</v>
      </c>
      <c r="G8" s="275" t="str">
        <f t="shared" ca="1" si="0"/>
        <v>En attente de Retrait</v>
      </c>
      <c r="H8" s="657"/>
      <c r="I8" s="658"/>
      <c r="J8" s="657">
        <v>0</v>
      </c>
      <c r="K8" s="657"/>
      <c r="L8" s="657"/>
      <c r="M8" s="657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29"/>
    </row>
    <row r="9" spans="1:36" s="229" customFormat="1" ht="19.5" customHeight="1" x14ac:dyDescent="0.25">
      <c r="A9" s="516">
        <v>5</v>
      </c>
      <c r="B9" s="505">
        <v>4055051400</v>
      </c>
      <c r="C9" s="275" t="s">
        <v>164</v>
      </c>
      <c r="D9" s="275" t="s">
        <v>12</v>
      </c>
      <c r="E9" s="275" t="s">
        <v>2172</v>
      </c>
      <c r="F9" s="275" t="s">
        <v>17</v>
      </c>
      <c r="G9" s="275" t="str">
        <f t="shared" ca="1" si="0"/>
        <v>En attente de Retrait</v>
      </c>
      <c r="H9" s="657"/>
      <c r="I9" s="658"/>
      <c r="J9" s="657">
        <v>0</v>
      </c>
      <c r="K9" s="657"/>
      <c r="L9" s="657"/>
      <c r="M9" s="657"/>
    </row>
    <row r="10" spans="1:36" s="229" customFormat="1" ht="19.5" customHeight="1" x14ac:dyDescent="0.25">
      <c r="A10" s="516">
        <v>6</v>
      </c>
      <c r="B10" s="505">
        <v>4055052800</v>
      </c>
      <c r="C10" s="275" t="s">
        <v>26</v>
      </c>
      <c r="D10" s="275" t="s">
        <v>2138</v>
      </c>
      <c r="E10" s="275" t="s">
        <v>2173</v>
      </c>
      <c r="F10" s="275" t="s">
        <v>17</v>
      </c>
      <c r="G10" s="275" t="str">
        <f t="shared" ca="1" si="0"/>
        <v>En attente de Retrait</v>
      </c>
      <c r="H10" s="657"/>
      <c r="I10" s="658"/>
      <c r="J10" s="657">
        <v>0</v>
      </c>
      <c r="K10" s="657"/>
      <c r="L10" s="657"/>
      <c r="M10" s="657"/>
    </row>
    <row r="11" spans="1:36" x14ac:dyDescent="0.25">
      <c r="A11" s="516">
        <v>7</v>
      </c>
      <c r="B11" s="505">
        <v>4055052809</v>
      </c>
      <c r="C11" s="275" t="s">
        <v>26</v>
      </c>
      <c r="D11" s="275" t="s">
        <v>2138</v>
      </c>
      <c r="E11" s="275" t="s">
        <v>2175</v>
      </c>
      <c r="F11" s="275" t="s">
        <v>17</v>
      </c>
      <c r="G11" s="275" t="str">
        <f t="shared" ca="1" si="0"/>
        <v>En attente de Retrait</v>
      </c>
      <c r="H11" s="657"/>
      <c r="I11" s="658"/>
      <c r="J11" s="657">
        <v>0</v>
      </c>
      <c r="K11" s="657"/>
      <c r="L11" s="657"/>
      <c r="M11" s="657"/>
    </row>
    <row r="12" spans="1:36" x14ac:dyDescent="0.25">
      <c r="E12" s="208"/>
    </row>
    <row r="13" spans="1:36" x14ac:dyDescent="0.25">
      <c r="E13" s="208"/>
    </row>
    <row r="14" spans="1:36" x14ac:dyDescent="0.25">
      <c r="E14" s="379" t="s">
        <v>2174</v>
      </c>
    </row>
    <row r="15" spans="1:36" x14ac:dyDescent="0.25">
      <c r="E15" s="208"/>
    </row>
    <row r="16" spans="1:36" x14ac:dyDescent="0.25">
      <c r="E16" s="208"/>
    </row>
    <row r="17" spans="1:36" s="208" customFormat="1" x14ac:dyDescent="0.25">
      <c r="A17"/>
      <c r="B17" s="282"/>
      <c r="C17" s="105"/>
      <c r="I17"/>
      <c r="J17" s="654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s="208" customFormat="1" x14ac:dyDescent="0.25">
      <c r="A18"/>
      <c r="B18" s="282"/>
      <c r="C18" s="105"/>
      <c r="I18"/>
      <c r="J18" s="654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s="208" customFormat="1" x14ac:dyDescent="0.25">
      <c r="A19"/>
      <c r="B19" s="282"/>
      <c r="C19" s="105"/>
      <c r="I19"/>
      <c r="J19" s="654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 s="208" customFormat="1" x14ac:dyDescent="0.25">
      <c r="A20"/>
      <c r="B20" s="282"/>
      <c r="C20" s="105"/>
      <c r="I20"/>
      <c r="J20" s="654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 s="208" customFormat="1" x14ac:dyDescent="0.25">
      <c r="A21"/>
      <c r="B21" s="282"/>
      <c r="C21" s="105"/>
      <c r="I21"/>
      <c r="J21" s="654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s="208" customFormat="1" x14ac:dyDescent="0.25">
      <c r="A22"/>
      <c r="B22" s="282"/>
      <c r="C22" s="105"/>
      <c r="E22" s="105"/>
      <c r="G22" s="717"/>
      <c r="I22"/>
      <c r="J22" s="654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</sheetData>
  <autoFilter ref="A4:M10" xr:uid="{682D34AD-08D1-44C3-B410-EE1FDFA313B1}">
    <sortState xmlns:xlrd2="http://schemas.microsoft.com/office/spreadsheetml/2017/richdata2" ref="A5:M10">
      <sortCondition ref="B4:B9"/>
    </sortState>
  </autoFilter>
  <mergeCells count="1">
    <mergeCell ref="G1:I1"/>
  </mergeCells>
  <conditionalFormatting sqref="B1:B4 B12:B1048576">
    <cfRule type="duplicateValues" dxfId="1533" priority="4"/>
  </conditionalFormatting>
  <conditionalFormatting sqref="B12:B1048576 B1:B4">
    <cfRule type="duplicateValues" dxfId="1532" priority="7"/>
    <cfRule type="duplicateValues" dxfId="1531" priority="8"/>
    <cfRule type="duplicateValues" dxfId="1530" priority="9"/>
  </conditionalFormatting>
  <conditionalFormatting sqref="F22:F1048576 F1:F4">
    <cfRule type="duplicateValues" dxfId="1529" priority="1"/>
    <cfRule type="duplicateValues" dxfId="1528" priority="2"/>
  </conditionalFormatting>
  <conditionalFormatting sqref="F45:F172 F22:F24 F39:F43">
    <cfRule type="duplicateValues" dxfId="1527" priority="3"/>
  </conditionalFormatting>
  <conditionalFormatting sqref="K5:L8">
    <cfRule type="containsText" dxfId="1526" priority="5" operator="containsText" text="En Attente d'un Retrait Tardif">
      <formula>NOT(ISERROR(SEARCH("En Attente d'un Retrait Tardif",K5)))</formula>
    </cfRule>
    <cfRule type="containsText" dxfId="1525" priority="6" operator="containsText" text="Rétiré dans les délais">
      <formula>NOT(ISERROR(SEARCH("Rétiré dans les délais",K5)))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96DF-A423-46F9-AADD-E04685E08EAE}">
  <sheetPr>
    <tabColor theme="2"/>
  </sheetPr>
  <dimension ref="A1:AJ38"/>
  <sheetViews>
    <sheetView zoomScaleNormal="100" workbookViewId="0">
      <pane ySplit="4" topLeftCell="A5" activePane="bottomLeft" state="frozen"/>
      <selection pane="bottomLeft" activeCell="F16" sqref="F16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53" style="208" customWidth="1"/>
    <col min="5" max="5" width="21.42578125" style="105" customWidth="1"/>
    <col min="6" max="6" width="24.7109375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36" ht="19.5" thickBot="1" x14ac:dyDescent="0.35">
      <c r="A1" s="348" t="s">
        <v>2135</v>
      </c>
      <c r="B1" s="431"/>
      <c r="C1" s="431"/>
      <c r="D1" s="288"/>
      <c r="E1" s="631"/>
      <c r="F1" s="288"/>
      <c r="G1" s="729"/>
      <c r="H1" s="729"/>
      <c r="I1" s="729"/>
    </row>
    <row r="2" spans="1:36" ht="24" thickBot="1" x14ac:dyDescent="0.3">
      <c r="A2" s="618" t="s">
        <v>0</v>
      </c>
      <c r="B2" s="638"/>
      <c r="C2" s="24"/>
      <c r="D2" s="25"/>
      <c r="E2" s="358">
        <f ca="1">I2-G2</f>
        <v>29</v>
      </c>
      <c r="F2" s="25"/>
      <c r="G2" s="314">
        <v>46067</v>
      </c>
      <c r="H2" s="365">
        <f ca="1">I2-G2</f>
        <v>29</v>
      </c>
      <c r="I2" s="315">
        <f ca="1">TODAY()</f>
        <v>46096</v>
      </c>
      <c r="J2" s="655"/>
    </row>
    <row r="3" spans="1:36" ht="16.5" thickBot="1" x14ac:dyDescent="0.3">
      <c r="D3" s="633"/>
      <c r="E3" s="632"/>
      <c r="F3" s="633"/>
      <c r="G3" s="105"/>
      <c r="H3" s="105"/>
      <c r="I3" s="208"/>
    </row>
    <row r="4" spans="1:36" ht="19.5" customHeight="1" x14ac:dyDescent="0.25">
      <c r="A4" s="682" t="s">
        <v>1</v>
      </c>
      <c r="B4" s="683" t="s">
        <v>2</v>
      </c>
      <c r="C4" s="684" t="s">
        <v>3</v>
      </c>
      <c r="D4" s="684" t="s">
        <v>5</v>
      </c>
      <c r="E4" s="684" t="s">
        <v>1065</v>
      </c>
      <c r="F4" s="684" t="s">
        <v>1066</v>
      </c>
      <c r="G4" s="684" t="s">
        <v>1067</v>
      </c>
      <c r="H4" s="684" t="s">
        <v>167</v>
      </c>
      <c r="I4" s="685" t="s">
        <v>1068</v>
      </c>
      <c r="J4" s="656" t="s">
        <v>8</v>
      </c>
      <c r="K4" s="686" t="s">
        <v>9</v>
      </c>
      <c r="L4" s="684" t="s">
        <v>10</v>
      </c>
      <c r="M4" s="685" t="s">
        <v>11</v>
      </c>
    </row>
    <row r="5" spans="1:36" ht="21" customHeight="1" x14ac:dyDescent="0.25">
      <c r="A5" s="516">
        <v>1</v>
      </c>
      <c r="B5" s="715">
        <v>4054936240</v>
      </c>
      <c r="C5" s="323" t="s">
        <v>24</v>
      </c>
      <c r="D5" s="613" t="s">
        <v>2136</v>
      </c>
      <c r="E5" s="15" t="s">
        <v>1772</v>
      </c>
      <c r="F5" s="353" t="s">
        <v>2139</v>
      </c>
      <c r="G5" s="323" t="str">
        <f>IF(I5="",IF($E$2&lt;=15,"En attente de Retrait","En Attente d'un Retrait Tardif"),IF(I5-$G$2&lt;=15,"Rétiré dans les délais",IF(I5-$G$2&gt;15,"Rétiré tardivement-30000FCFAamende")))</f>
        <v>Rétiré dans les délais</v>
      </c>
      <c r="H5" s="657" t="s">
        <v>2149</v>
      </c>
      <c r="I5" s="658">
        <v>46077</v>
      </c>
      <c r="J5" s="275"/>
      <c r="K5" s="695"/>
      <c r="L5" s="613"/>
      <c r="M5" s="353"/>
    </row>
    <row r="6" spans="1:36" s="691" customFormat="1" ht="21" customHeight="1" x14ac:dyDescent="0.25">
      <c r="A6" s="516">
        <v>2</v>
      </c>
      <c r="B6" s="715">
        <v>4055008310</v>
      </c>
      <c r="C6" s="323" t="s">
        <v>26</v>
      </c>
      <c r="D6" s="613" t="s">
        <v>2093</v>
      </c>
      <c r="E6" s="15" t="s">
        <v>1772</v>
      </c>
      <c r="F6" s="353" t="s">
        <v>2145</v>
      </c>
      <c r="G6" s="323" t="str">
        <f>IF(I6="",IF($E$2&lt;=15,"En attente de Retrait","En Attente d'un Retrait Tardif"),IF(I6-$G$2&lt;=15,"Rétiré dans les délais",IF(I6-$G$2&gt;15,"Rétiré tardivement-30000FCFAamende")))</f>
        <v>Rétiré dans les délais</v>
      </c>
      <c r="H6" s="657" t="s">
        <v>2157</v>
      </c>
      <c r="I6" s="658">
        <v>46080</v>
      </c>
      <c r="J6" s="657"/>
      <c r="K6" s="657"/>
      <c r="L6" s="657"/>
      <c r="M6" s="657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ht="21" customHeight="1" x14ac:dyDescent="0.25">
      <c r="A7" s="516">
        <v>3</v>
      </c>
      <c r="B7" s="715">
        <v>4055010800</v>
      </c>
      <c r="C7" s="323" t="s">
        <v>24</v>
      </c>
      <c r="D7" s="613" t="s">
        <v>12</v>
      </c>
      <c r="E7" s="15" t="s">
        <v>1772</v>
      </c>
      <c r="F7" s="353" t="s">
        <v>653</v>
      </c>
      <c r="G7" s="323" t="str">
        <f>IF(I7="",IF($E$2&lt;=15,"En attente de Retrait","En Attente d'un Retrait Tardif"),IF(I7-$G$2&lt;=15,"Rétiré dans les délais",IF(I7-$G$2&gt;15,"Rétiré tardivement-30000FCFAamende")))</f>
        <v>Rétiré dans les délais</v>
      </c>
      <c r="H7" s="657" t="s">
        <v>2153</v>
      </c>
      <c r="I7" s="658">
        <v>46078</v>
      </c>
      <c r="J7" s="275"/>
      <c r="K7" s="695"/>
      <c r="L7" s="613"/>
      <c r="M7" s="353"/>
    </row>
    <row r="8" spans="1:36" s="691" customFormat="1" ht="21" customHeight="1" x14ac:dyDescent="0.25">
      <c r="A8" s="516">
        <v>4</v>
      </c>
      <c r="B8" s="715">
        <v>4055020930</v>
      </c>
      <c r="C8" s="323" t="s">
        <v>24</v>
      </c>
      <c r="D8" s="613" t="s">
        <v>2137</v>
      </c>
      <c r="E8" s="15" t="s">
        <v>1772</v>
      </c>
      <c r="F8" s="353" t="s">
        <v>2140</v>
      </c>
      <c r="G8" s="323" t="str">
        <f>IF(I8="",IF($E$2&lt;=15,"En attente de Retrait","En Attente d'un Retrait Tardif"),IF(I8-$G$2&lt;=15,"Rétiré dans les délais",IF(I8-$G$2&gt;15,"Rétiré tardivement-30000FCFAamende")))</f>
        <v>Rétiré dans les délais</v>
      </c>
      <c r="H8" s="657" t="s">
        <v>2151</v>
      </c>
      <c r="I8" s="658">
        <v>46078</v>
      </c>
      <c r="J8" s="657"/>
      <c r="K8" s="657"/>
      <c r="L8" s="657"/>
      <c r="M8" s="657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ht="21" customHeight="1" x14ac:dyDescent="0.25">
      <c r="A9" s="516">
        <v>5</v>
      </c>
      <c r="B9" s="715">
        <v>4055024480</v>
      </c>
      <c r="C9" s="323" t="s">
        <v>26</v>
      </c>
      <c r="D9" s="613" t="s">
        <v>2138</v>
      </c>
      <c r="E9" s="15" t="s">
        <v>1772</v>
      </c>
      <c r="F9" s="353" t="s">
        <v>2141</v>
      </c>
      <c r="G9" s="323" t="str">
        <f>IF(I9="",IF($E$2&lt;=15,"En attente de Retrait","En Attente d'un Retrait Tardif"),IF(I9-$G$2&lt;=15,"Rétiré dans les délais",IF(I9-$G$2&gt;15,"Rétiré tardivement-30000FCFAamende")))</f>
        <v>Rétiré tardivement-30000FCFAamende</v>
      </c>
      <c r="H9" s="657" t="s">
        <v>2161</v>
      </c>
      <c r="I9" s="658">
        <v>46085</v>
      </c>
      <c r="J9" s="657"/>
      <c r="K9" s="657"/>
      <c r="L9" s="657"/>
      <c r="M9" s="657"/>
    </row>
    <row r="12" spans="1:36" x14ac:dyDescent="0.25">
      <c r="D12" s="379"/>
    </row>
    <row r="15" spans="1:36" ht="15" x14ac:dyDescent="0.25">
      <c r="B15"/>
      <c r="C15"/>
    </row>
    <row r="16" spans="1:36" ht="15" x14ac:dyDescent="0.25">
      <c r="B16"/>
      <c r="C16"/>
    </row>
    <row r="17" spans="1:36" ht="15" x14ac:dyDescent="0.25">
      <c r="B17"/>
      <c r="C17"/>
    </row>
    <row r="18" spans="1:36" ht="15" x14ac:dyDescent="0.25">
      <c r="B18"/>
      <c r="C18"/>
    </row>
    <row r="19" spans="1:36" ht="15" x14ac:dyDescent="0.25">
      <c r="B19"/>
      <c r="C19"/>
    </row>
    <row r="20" spans="1:36" ht="15" x14ac:dyDescent="0.25">
      <c r="B20"/>
      <c r="C20"/>
      <c r="E20" s="208"/>
    </row>
    <row r="21" spans="1:36" ht="15" x14ac:dyDescent="0.25">
      <c r="B21"/>
      <c r="C21"/>
      <c r="E21" s="208"/>
    </row>
    <row r="22" spans="1:36" ht="15" x14ac:dyDescent="0.25">
      <c r="B22"/>
      <c r="C22"/>
      <c r="E22" s="208"/>
    </row>
    <row r="23" spans="1:36" s="208" customFormat="1" ht="15" x14ac:dyDescent="0.25">
      <c r="A23"/>
      <c r="B23"/>
      <c r="C23"/>
      <c r="I23"/>
      <c r="J23" s="654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s="208" customFormat="1" ht="15" x14ac:dyDescent="0.25">
      <c r="A24"/>
      <c r="B24"/>
      <c r="C24"/>
      <c r="I24"/>
      <c r="J24" s="65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s="208" customFormat="1" ht="15" x14ac:dyDescent="0.25">
      <c r="A25"/>
      <c r="B25"/>
      <c r="C25"/>
      <c r="I25"/>
      <c r="J25" s="654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1:36" s="208" customFormat="1" ht="15" x14ac:dyDescent="0.25">
      <c r="A26"/>
      <c r="B26"/>
      <c r="C26"/>
      <c r="I26"/>
      <c r="J26" s="654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1:36" x14ac:dyDescent="0.25">
      <c r="E27" s="208"/>
    </row>
    <row r="28" spans="1:36" x14ac:dyDescent="0.25">
      <c r="E28" s="208"/>
    </row>
    <row r="29" spans="1:36" x14ac:dyDescent="0.25">
      <c r="E29" s="208"/>
    </row>
    <row r="30" spans="1:36" x14ac:dyDescent="0.25">
      <c r="E30" s="208"/>
    </row>
    <row r="31" spans="1:36" x14ac:dyDescent="0.25">
      <c r="E31" s="208"/>
    </row>
    <row r="32" spans="1:36" x14ac:dyDescent="0.25">
      <c r="E32" s="208"/>
    </row>
    <row r="33" spans="5:7" x14ac:dyDescent="0.25">
      <c r="E33" s="208"/>
    </row>
    <row r="34" spans="5:7" x14ac:dyDescent="0.25">
      <c r="E34" s="208"/>
    </row>
    <row r="35" spans="5:7" x14ac:dyDescent="0.25">
      <c r="E35" s="208"/>
    </row>
    <row r="36" spans="5:7" x14ac:dyDescent="0.25">
      <c r="E36" s="208"/>
    </row>
    <row r="37" spans="5:7" x14ac:dyDescent="0.25">
      <c r="E37" s="208"/>
    </row>
    <row r="38" spans="5:7" x14ac:dyDescent="0.25">
      <c r="G38" s="717"/>
    </row>
  </sheetData>
  <autoFilter ref="A4:M9" xr:uid="{682D34AD-08D1-44C3-B410-EE1FDFA313B1}">
    <sortState xmlns:xlrd2="http://schemas.microsoft.com/office/spreadsheetml/2017/richdata2" ref="A5:M9">
      <sortCondition ref="B4:B9"/>
    </sortState>
  </autoFilter>
  <mergeCells count="1">
    <mergeCell ref="G1:I1"/>
  </mergeCells>
  <conditionalFormatting sqref="B27:B1048576 B10:B14 B1:B4">
    <cfRule type="duplicateValues" dxfId="1524" priority="9"/>
    <cfRule type="duplicateValues" dxfId="1523" priority="10"/>
    <cfRule type="duplicateValues" dxfId="1522" priority="11"/>
  </conditionalFormatting>
  <conditionalFormatting sqref="B27:B1048576 J5:J8 B1:B4 B10:B14">
    <cfRule type="duplicateValues" dxfId="1521" priority="6"/>
  </conditionalFormatting>
  <conditionalFormatting sqref="F1:F19 F38:F1048576">
    <cfRule type="duplicateValues" dxfId="1520" priority="1"/>
    <cfRule type="duplicateValues" dxfId="1519" priority="2"/>
  </conditionalFormatting>
  <conditionalFormatting sqref="F61:F188 F38:F40 F55:F59">
    <cfRule type="duplicateValues" dxfId="1518" priority="3"/>
  </conditionalFormatting>
  <conditionalFormatting sqref="J5:J8">
    <cfRule type="duplicateValues" dxfId="1517" priority="2346"/>
  </conditionalFormatting>
  <conditionalFormatting sqref="J5:L8 B5:D9 G5:G9">
    <cfRule type="containsText" dxfId="1516" priority="7" operator="containsText" text="En Attente d'un Retrait Tardif">
      <formula>NOT(ISERROR(SEARCH("En Attente d'un Retrait Tardif",B5)))</formula>
    </cfRule>
    <cfRule type="containsText" dxfId="1515" priority="8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8FF2-5B86-4876-BF5D-A82DF7DED20E}">
  <sheetPr>
    <tabColor theme="2"/>
  </sheetPr>
  <dimension ref="A1:M36"/>
  <sheetViews>
    <sheetView zoomScaleNormal="100" workbookViewId="0">
      <pane ySplit="4" topLeftCell="A5" activePane="bottomLeft" state="frozen"/>
      <selection pane="bottomLeft" activeCell="G21" sqref="G21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53" style="208" customWidth="1"/>
    <col min="5" max="5" width="21.4257812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13" ht="19.5" thickBot="1" x14ac:dyDescent="0.35">
      <c r="A1" s="348" t="s">
        <v>2084</v>
      </c>
      <c r="B1" s="431"/>
      <c r="C1" s="431"/>
      <c r="D1" s="288"/>
      <c r="E1" s="631"/>
      <c r="F1" s="288"/>
      <c r="G1" s="729"/>
      <c r="H1" s="729"/>
      <c r="I1" s="729"/>
    </row>
    <row r="2" spans="1:13" ht="24" thickBot="1" x14ac:dyDescent="0.3">
      <c r="A2" s="618" t="s">
        <v>0</v>
      </c>
      <c r="B2" s="638"/>
      <c r="C2" s="24"/>
      <c r="D2" s="25"/>
      <c r="E2" s="358">
        <f ca="1">I2-G2</f>
        <v>29</v>
      </c>
      <c r="F2" s="25"/>
      <c r="G2" s="314">
        <v>46067</v>
      </c>
      <c r="H2" s="365">
        <f ca="1">I2-G2</f>
        <v>29</v>
      </c>
      <c r="I2" s="315">
        <f ca="1">TODAY()</f>
        <v>46096</v>
      </c>
      <c r="J2" s="655"/>
    </row>
    <row r="3" spans="1:13" ht="16.5" thickBot="1" x14ac:dyDescent="0.3">
      <c r="D3" s="633"/>
      <c r="E3" s="632"/>
      <c r="F3" s="633"/>
      <c r="G3" s="105"/>
      <c r="H3" s="105"/>
      <c r="I3" s="208"/>
    </row>
    <row r="4" spans="1:13" ht="19.5" customHeight="1" x14ac:dyDescent="0.25">
      <c r="A4" s="682" t="s">
        <v>1</v>
      </c>
      <c r="B4" s="683" t="s">
        <v>2</v>
      </c>
      <c r="C4" s="684" t="s">
        <v>3</v>
      </c>
      <c r="D4" s="684" t="s">
        <v>5</v>
      </c>
      <c r="E4" s="684" t="s">
        <v>1065</v>
      </c>
      <c r="F4" s="684" t="s">
        <v>1066</v>
      </c>
      <c r="G4" s="684" t="s">
        <v>1067</v>
      </c>
      <c r="H4" s="684" t="s">
        <v>167</v>
      </c>
      <c r="I4" s="685" t="s">
        <v>1068</v>
      </c>
      <c r="J4" s="656" t="s">
        <v>8</v>
      </c>
      <c r="K4" s="686" t="s">
        <v>9</v>
      </c>
      <c r="L4" s="684" t="s">
        <v>10</v>
      </c>
      <c r="M4" s="685" t="s">
        <v>11</v>
      </c>
    </row>
    <row r="5" spans="1:13" ht="21" customHeight="1" x14ac:dyDescent="0.25">
      <c r="A5" s="516">
        <v>1</v>
      </c>
      <c r="B5" s="275">
        <v>4055003350</v>
      </c>
      <c r="C5" s="667" t="s">
        <v>465</v>
      </c>
      <c r="D5" s="613" t="s">
        <v>2085</v>
      </c>
      <c r="E5" s="15" t="s">
        <v>2109</v>
      </c>
      <c r="F5" s="353" t="s">
        <v>1772</v>
      </c>
      <c r="G5" s="323" t="str">
        <f t="shared" ref="G5:G16" si="0">IF(I5="",IF($E$2&lt;=15,"En attente de Retrait","En Attente d'un Retrait Tardif"),IF(I5-$G$2&lt;=15,"Rétiré dans les délais",IF(I5-$G$2&gt;15,"Rétiré tardivement-30000FCFAamende")))</f>
        <v>Rétiré dans les délais</v>
      </c>
      <c r="H5" s="657" t="s">
        <v>2128</v>
      </c>
      <c r="I5" s="658">
        <v>46073</v>
      </c>
      <c r="J5" s="275">
        <v>0</v>
      </c>
      <c r="K5" s="695"/>
      <c r="L5" s="613"/>
      <c r="M5" s="353"/>
    </row>
    <row r="6" spans="1:13" s="691" customFormat="1" ht="21" customHeight="1" x14ac:dyDescent="0.25">
      <c r="A6" s="516">
        <v>2</v>
      </c>
      <c r="B6" s="275">
        <v>4055008600</v>
      </c>
      <c r="C6" s="667" t="s">
        <v>355</v>
      </c>
      <c r="D6" s="613" t="s">
        <v>2100</v>
      </c>
      <c r="E6" s="15" t="s">
        <v>2110</v>
      </c>
      <c r="F6" s="353" t="s">
        <v>1772</v>
      </c>
      <c r="G6" s="323" t="str">
        <f t="shared" si="0"/>
        <v>Rétiré dans les délais</v>
      </c>
      <c r="H6" s="657" t="s">
        <v>2130</v>
      </c>
      <c r="I6" s="658">
        <v>46073</v>
      </c>
      <c r="J6" s="275">
        <v>0</v>
      </c>
      <c r="K6" s="695"/>
      <c r="L6" s="613"/>
      <c r="M6" s="353"/>
    </row>
    <row r="7" spans="1:13" ht="21" customHeight="1" x14ac:dyDescent="0.25">
      <c r="A7" s="516">
        <v>3</v>
      </c>
      <c r="B7" s="275">
        <v>4054992220</v>
      </c>
      <c r="C7" s="708" t="s">
        <v>355</v>
      </c>
      <c r="D7" s="709" t="s">
        <v>2103</v>
      </c>
      <c r="E7" s="587" t="s">
        <v>2107</v>
      </c>
      <c r="F7" s="636" t="s">
        <v>1772</v>
      </c>
      <c r="G7" s="323" t="str">
        <f t="shared" si="0"/>
        <v>Rétiré dans les délais</v>
      </c>
      <c r="H7" s="657" t="s">
        <v>2152</v>
      </c>
      <c r="I7" s="658">
        <v>46078</v>
      </c>
      <c r="J7" s="275"/>
      <c r="K7" s="695"/>
      <c r="L7" s="613"/>
      <c r="M7" s="353"/>
    </row>
    <row r="8" spans="1:13" s="691" customFormat="1" ht="21" customHeight="1" x14ac:dyDescent="0.25">
      <c r="A8" s="516">
        <v>4</v>
      </c>
      <c r="B8" s="275">
        <v>2166052340</v>
      </c>
      <c r="C8" s="667" t="s">
        <v>355</v>
      </c>
      <c r="D8" s="613" t="s">
        <v>55</v>
      </c>
      <c r="E8" s="15" t="s">
        <v>17</v>
      </c>
      <c r="F8" s="353" t="s">
        <v>15</v>
      </c>
      <c r="G8" s="323" t="str">
        <f t="shared" si="0"/>
        <v>Rétiré dans les délais</v>
      </c>
      <c r="H8" s="657" t="s">
        <v>2122</v>
      </c>
      <c r="I8" s="658">
        <v>46071</v>
      </c>
      <c r="J8" s="275"/>
      <c r="K8" s="695"/>
      <c r="L8" s="613"/>
      <c r="M8" s="353"/>
    </row>
    <row r="9" spans="1:13" ht="21" customHeight="1" x14ac:dyDescent="0.25">
      <c r="A9" s="516">
        <v>5</v>
      </c>
      <c r="B9" s="275">
        <v>4055010330</v>
      </c>
      <c r="C9" s="667" t="s">
        <v>355</v>
      </c>
      <c r="D9" s="613" t="s">
        <v>2086</v>
      </c>
      <c r="E9" s="15" t="s">
        <v>2111</v>
      </c>
      <c r="F9" s="353" t="s">
        <v>1772</v>
      </c>
      <c r="G9" s="323" t="str">
        <f t="shared" si="0"/>
        <v>Rétiré dans les délais</v>
      </c>
      <c r="H9" s="657" t="s">
        <v>2144</v>
      </c>
      <c r="I9" s="658">
        <v>46077</v>
      </c>
      <c r="J9" s="657"/>
      <c r="K9" s="657"/>
      <c r="L9" s="657"/>
      <c r="M9" s="657"/>
    </row>
    <row r="10" spans="1:13" ht="21" customHeight="1" x14ac:dyDescent="0.25">
      <c r="A10" s="516">
        <v>6</v>
      </c>
      <c r="B10" s="275">
        <v>4055000140</v>
      </c>
      <c r="C10" s="708" t="s">
        <v>355</v>
      </c>
      <c r="D10" s="709" t="s">
        <v>2103</v>
      </c>
      <c r="E10" s="587" t="s">
        <v>2108</v>
      </c>
      <c r="F10" s="636" t="s">
        <v>15</v>
      </c>
      <c r="G10" s="323" t="str">
        <f t="shared" si="0"/>
        <v>Rétiré dans les délais</v>
      </c>
      <c r="H10" s="657" t="s">
        <v>2150</v>
      </c>
      <c r="I10" s="658">
        <v>46078</v>
      </c>
      <c r="J10" s="657"/>
      <c r="K10" s="657"/>
      <c r="L10" s="657"/>
      <c r="M10" s="657"/>
    </row>
    <row r="11" spans="1:13" ht="21" customHeight="1" x14ac:dyDescent="0.25">
      <c r="A11" s="516">
        <v>7</v>
      </c>
      <c r="B11" s="275">
        <v>4055034800</v>
      </c>
      <c r="C11" s="667" t="s">
        <v>355</v>
      </c>
      <c r="D11" s="613" t="s">
        <v>1833</v>
      </c>
      <c r="E11" s="15" t="s">
        <v>17</v>
      </c>
      <c r="F11" s="353" t="s">
        <v>2102</v>
      </c>
      <c r="G11" s="323" t="str">
        <f t="shared" si="0"/>
        <v>Rétiré tardivement-30000FCFAamende</v>
      </c>
      <c r="H11" s="657" t="s">
        <v>2160</v>
      </c>
      <c r="I11" s="658">
        <v>46085</v>
      </c>
      <c r="J11" s="657"/>
      <c r="K11" s="657"/>
      <c r="L11" s="657"/>
      <c r="M11" s="657"/>
    </row>
    <row r="12" spans="1:13" ht="21" customHeight="1" x14ac:dyDescent="0.25">
      <c r="A12" s="516">
        <v>8</v>
      </c>
      <c r="B12" s="275">
        <v>2166398630</v>
      </c>
      <c r="C12" s="667" t="s">
        <v>355</v>
      </c>
      <c r="D12" s="613" t="s">
        <v>55</v>
      </c>
      <c r="E12" s="15" t="s">
        <v>17</v>
      </c>
      <c r="F12" s="353" t="s">
        <v>1772</v>
      </c>
      <c r="G12" s="323" t="str">
        <f t="shared" si="0"/>
        <v>Rétiré dans les délais</v>
      </c>
      <c r="H12" s="657" t="s">
        <v>2123</v>
      </c>
      <c r="I12" s="658">
        <v>46071</v>
      </c>
      <c r="J12" s="657"/>
      <c r="K12" s="657"/>
      <c r="L12" s="657"/>
      <c r="M12" s="657"/>
    </row>
    <row r="13" spans="1:13" s="208" customFormat="1" ht="21" customHeight="1" x14ac:dyDescent="0.25">
      <c r="A13" s="516">
        <v>9</v>
      </c>
      <c r="B13" s="275">
        <v>4055000050</v>
      </c>
      <c r="C13" s="667" t="s">
        <v>355</v>
      </c>
      <c r="D13" s="613" t="s">
        <v>2100</v>
      </c>
      <c r="E13" s="15" t="s">
        <v>2107</v>
      </c>
      <c r="F13" s="353" t="s">
        <v>1772</v>
      </c>
      <c r="G13" s="323" t="str">
        <f t="shared" si="0"/>
        <v>Rétiré dans les délais</v>
      </c>
      <c r="H13" s="657" t="s">
        <v>2120</v>
      </c>
      <c r="I13" s="658">
        <v>46071</v>
      </c>
      <c r="J13" s="657"/>
      <c r="K13" s="657"/>
      <c r="L13" s="657"/>
      <c r="M13" s="657"/>
    </row>
    <row r="14" spans="1:13" s="208" customFormat="1" ht="21" customHeight="1" x14ac:dyDescent="0.25">
      <c r="A14" s="516">
        <v>10</v>
      </c>
      <c r="B14" s="275">
        <v>4055000120</v>
      </c>
      <c r="C14" s="667" t="s">
        <v>355</v>
      </c>
      <c r="D14" s="613" t="s">
        <v>2100</v>
      </c>
      <c r="E14" s="15" t="s">
        <v>2107</v>
      </c>
      <c r="F14" s="353" t="s">
        <v>1772</v>
      </c>
      <c r="G14" s="323" t="str">
        <f t="shared" si="0"/>
        <v>Rétiré dans les délais</v>
      </c>
      <c r="H14" s="657" t="s">
        <v>2121</v>
      </c>
      <c r="I14" s="658">
        <v>46071</v>
      </c>
      <c r="J14" s="657"/>
      <c r="K14" s="657"/>
      <c r="L14" s="657"/>
      <c r="M14" s="657"/>
    </row>
    <row r="15" spans="1:13" s="208" customFormat="1" ht="21" customHeight="1" x14ac:dyDescent="0.25">
      <c r="A15" s="516">
        <v>11</v>
      </c>
      <c r="B15" s="307">
        <v>4055025520</v>
      </c>
      <c r="C15" s="667" t="s">
        <v>355</v>
      </c>
      <c r="D15" s="613" t="s">
        <v>144</v>
      </c>
      <c r="E15" s="15" t="s">
        <v>17</v>
      </c>
      <c r="F15" s="353" t="s">
        <v>15</v>
      </c>
      <c r="G15" s="323" t="str">
        <f t="shared" si="0"/>
        <v>Rétiré tardivement-30000FCFAamende</v>
      </c>
      <c r="H15" s="657" t="s">
        <v>2163</v>
      </c>
      <c r="I15" s="658">
        <v>46085</v>
      </c>
      <c r="J15" s="657"/>
      <c r="K15" s="657"/>
      <c r="L15" s="657" t="s">
        <v>2162</v>
      </c>
      <c r="M15" s="657"/>
    </row>
    <row r="16" spans="1:13" s="208" customFormat="1" ht="21" customHeight="1" x14ac:dyDescent="0.25">
      <c r="A16" s="642">
        <v>12</v>
      </c>
      <c r="B16" s="275">
        <v>4055025530</v>
      </c>
      <c r="C16" s="714" t="s">
        <v>355</v>
      </c>
      <c r="D16" s="613" t="s">
        <v>144</v>
      </c>
      <c r="E16" s="15" t="s">
        <v>17</v>
      </c>
      <c r="F16" s="353" t="s">
        <v>15</v>
      </c>
      <c r="G16" s="323" t="str">
        <f t="shared" si="0"/>
        <v>Rétiré tardivement-30000FCFAamende</v>
      </c>
      <c r="H16" s="657" t="s">
        <v>2164</v>
      </c>
      <c r="I16" s="658">
        <v>46085</v>
      </c>
      <c r="J16" s="657"/>
      <c r="K16" s="657"/>
      <c r="L16" s="657" t="s">
        <v>2162</v>
      </c>
      <c r="M16" s="657"/>
    </row>
    <row r="17" spans="2:13" s="208" customFormat="1" ht="15" x14ac:dyDescent="0.25">
      <c r="B17" s="105"/>
      <c r="E17" s="105"/>
      <c r="I17"/>
      <c r="J17" s="654"/>
      <c r="K17"/>
      <c r="L17"/>
      <c r="M17"/>
    </row>
    <row r="23" spans="2:13" x14ac:dyDescent="0.25">
      <c r="H23" s="208">
        <v>0</v>
      </c>
    </row>
    <row r="25" spans="2:13" ht="15" x14ac:dyDescent="0.25">
      <c r="B25"/>
      <c r="C25"/>
    </row>
    <row r="26" spans="2:13" ht="15" x14ac:dyDescent="0.25">
      <c r="B26"/>
      <c r="C26"/>
    </row>
    <row r="27" spans="2:13" ht="15" x14ac:dyDescent="0.25">
      <c r="B27"/>
      <c r="C27"/>
    </row>
    <row r="28" spans="2:13" ht="15" x14ac:dyDescent="0.25">
      <c r="B28"/>
      <c r="C28"/>
    </row>
    <row r="29" spans="2:13" ht="15" x14ac:dyDescent="0.25">
      <c r="B29"/>
      <c r="C29"/>
    </row>
    <row r="30" spans="2:13" ht="15" x14ac:dyDescent="0.25">
      <c r="B30"/>
      <c r="C30"/>
    </row>
    <row r="31" spans="2:13" ht="15" x14ac:dyDescent="0.25">
      <c r="B31"/>
      <c r="C31"/>
    </row>
    <row r="32" spans="2:13" ht="15" x14ac:dyDescent="0.25">
      <c r="B32"/>
      <c r="C32"/>
    </row>
    <row r="33" spans="2:3" ht="15" x14ac:dyDescent="0.25">
      <c r="B33"/>
      <c r="C33"/>
    </row>
    <row r="34" spans="2:3" ht="15" x14ac:dyDescent="0.25">
      <c r="B34"/>
      <c r="C34"/>
    </row>
    <row r="35" spans="2:3" ht="15" x14ac:dyDescent="0.25">
      <c r="B35"/>
      <c r="C35"/>
    </row>
    <row r="36" spans="2:3" ht="15" x14ac:dyDescent="0.25">
      <c r="B36"/>
      <c r="C36"/>
    </row>
  </sheetData>
  <autoFilter ref="A4:M17" xr:uid="{682D34AD-08D1-44C3-B410-EE1FDFA313B1}">
    <sortState xmlns:xlrd2="http://schemas.microsoft.com/office/spreadsheetml/2017/richdata2" ref="A5:M17">
      <sortCondition ref="A4:A17"/>
    </sortState>
  </autoFilter>
  <mergeCells count="1">
    <mergeCell ref="G1:I1"/>
  </mergeCells>
  <conditionalFormatting sqref="B37:B1048576 B18:B24 B1:B4">
    <cfRule type="duplicateValues" dxfId="1514" priority="13"/>
    <cfRule type="duplicateValues" dxfId="1513" priority="14"/>
    <cfRule type="duplicateValues" dxfId="1512" priority="15"/>
  </conditionalFormatting>
  <conditionalFormatting sqref="B37:B1048576 B18:B24 J5:J8 B1:B16">
    <cfRule type="duplicateValues" dxfId="1511" priority="10"/>
  </conditionalFormatting>
  <conditionalFormatting sqref="J5:J8 B5:B16">
    <cfRule type="duplicateValues" dxfId="1510" priority="2283"/>
  </conditionalFormatting>
  <conditionalFormatting sqref="J5:L8 B5:D16 G5:G16">
    <cfRule type="containsText" dxfId="1509" priority="11" operator="containsText" text="En Attente d'un Retrait Tardif">
      <formula>NOT(ISERROR(SEARCH("En Attente d'un Retrait Tardif",B5)))</formula>
    </cfRule>
    <cfRule type="containsText" dxfId="1508" priority="12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D444-7C83-4F1B-B004-87BFD2797655}">
  <sheetPr>
    <tabColor theme="2"/>
  </sheetPr>
  <dimension ref="A1:M160"/>
  <sheetViews>
    <sheetView zoomScaleNormal="100" workbookViewId="0">
      <pane ySplit="4" topLeftCell="A5" activePane="bottomLeft" state="frozen"/>
      <selection pane="bottomLeft" activeCell="G17" sqref="G17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43.42578125" style="208" customWidth="1"/>
    <col min="5" max="5" width="27.710937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13" ht="19.5" thickBot="1" x14ac:dyDescent="0.35">
      <c r="A1" s="348" t="s">
        <v>2038</v>
      </c>
      <c r="B1" s="431"/>
      <c r="C1" s="431"/>
      <c r="D1" s="288"/>
      <c r="E1" s="631"/>
      <c r="F1" s="288"/>
      <c r="G1" s="729"/>
      <c r="H1" s="729"/>
      <c r="I1" s="729"/>
    </row>
    <row r="2" spans="1:13" ht="24" thickBot="1" x14ac:dyDescent="0.3">
      <c r="A2" s="618" t="s">
        <v>0</v>
      </c>
      <c r="B2" s="638"/>
      <c r="C2" s="24"/>
      <c r="D2" s="25"/>
      <c r="E2" s="358">
        <f ca="1">I2-G2</f>
        <v>30</v>
      </c>
      <c r="F2" s="25"/>
      <c r="G2" s="314">
        <v>46066</v>
      </c>
      <c r="H2" s="365">
        <f ca="1">I2-G2</f>
        <v>30</v>
      </c>
      <c r="I2" s="315">
        <f ca="1">TODAY()</f>
        <v>46096</v>
      </c>
      <c r="J2" s="655"/>
    </row>
    <row r="3" spans="1:13" ht="16.5" thickBot="1" x14ac:dyDescent="0.3">
      <c r="D3" s="633"/>
      <c r="E3" s="632"/>
      <c r="F3" s="633"/>
      <c r="G3" s="105"/>
      <c r="H3" s="105"/>
      <c r="I3" s="208"/>
    </row>
    <row r="4" spans="1:13" ht="19.5" customHeight="1" x14ac:dyDescent="0.25">
      <c r="A4" s="682" t="s">
        <v>1</v>
      </c>
      <c r="B4" s="683" t="s">
        <v>2</v>
      </c>
      <c r="C4" s="684" t="s">
        <v>3</v>
      </c>
      <c r="D4" s="684" t="s">
        <v>5</v>
      </c>
      <c r="E4" s="684" t="s">
        <v>1065</v>
      </c>
      <c r="F4" s="684" t="s">
        <v>1066</v>
      </c>
      <c r="G4" s="684" t="s">
        <v>1067</v>
      </c>
      <c r="H4" s="684" t="s">
        <v>167</v>
      </c>
      <c r="I4" s="685" t="s">
        <v>1068</v>
      </c>
      <c r="J4" s="656" t="s">
        <v>8</v>
      </c>
      <c r="K4" s="686" t="s">
        <v>9</v>
      </c>
      <c r="L4" s="684" t="s">
        <v>10</v>
      </c>
      <c r="M4" s="685" t="s">
        <v>11</v>
      </c>
    </row>
    <row r="5" spans="1:13" ht="21.75" customHeight="1" x14ac:dyDescent="0.25">
      <c r="A5" s="516">
        <v>7</v>
      </c>
      <c r="B5" s="339">
        <v>2318856550</v>
      </c>
      <c r="C5" s="366" t="s">
        <v>26</v>
      </c>
      <c r="D5" s="613" t="s">
        <v>2087</v>
      </c>
      <c r="E5" s="353" t="s">
        <v>17</v>
      </c>
      <c r="F5" s="353" t="s">
        <v>1772</v>
      </c>
      <c r="G5" s="323" t="str">
        <f t="shared" ref="G5:G25" si="0">IF(I5="",IF($E$2&lt;=15,"En attente de Retrait","En Attente d'un Retrait Tardif"),IF(I5-$G$2&lt;=15,"Rétiré dans les délais",IF(I5-$G$2&gt;15,"Rétiré tardivement-30000FCFAamende")))</f>
        <v>Rétiré dans les délais</v>
      </c>
      <c r="H5" s="657" t="s">
        <v>2142</v>
      </c>
      <c r="I5" s="658">
        <v>46076</v>
      </c>
      <c r="J5" s="275"/>
      <c r="K5" s="695"/>
      <c r="L5" s="613"/>
      <c r="M5" s="353"/>
    </row>
    <row r="6" spans="1:13" s="691" customFormat="1" ht="21.75" customHeight="1" x14ac:dyDescent="0.25">
      <c r="A6" s="516">
        <v>10</v>
      </c>
      <c r="B6" s="339">
        <v>4000737490</v>
      </c>
      <c r="C6" s="366" t="s">
        <v>26</v>
      </c>
      <c r="D6" s="613" t="s">
        <v>2088</v>
      </c>
      <c r="E6" s="353" t="s">
        <v>2114</v>
      </c>
      <c r="F6" s="353" t="s">
        <v>15</v>
      </c>
      <c r="G6" s="323" t="str">
        <f t="shared" ca="1" si="0"/>
        <v>En Attente d'un Retrait Tardif</v>
      </c>
      <c r="H6" s="657"/>
      <c r="I6" s="658"/>
      <c r="J6" s="716">
        <v>4360000</v>
      </c>
      <c r="K6" s="695"/>
      <c r="L6" s="15"/>
      <c r="M6" s="353"/>
    </row>
    <row r="7" spans="1:13" s="691" customFormat="1" ht="21.75" customHeight="1" x14ac:dyDescent="0.25">
      <c r="A7" s="516">
        <v>8</v>
      </c>
      <c r="B7" s="339">
        <v>4054926921</v>
      </c>
      <c r="C7" s="366" t="s">
        <v>26</v>
      </c>
      <c r="D7" s="613" t="s">
        <v>2088</v>
      </c>
      <c r="E7" s="353" t="s">
        <v>2112</v>
      </c>
      <c r="F7" s="353" t="s">
        <v>15</v>
      </c>
      <c r="G7" s="323" t="str">
        <f t="shared" ca="1" si="0"/>
        <v>En Attente d'un Retrait Tardif</v>
      </c>
      <c r="H7" s="657"/>
      <c r="I7" s="658"/>
      <c r="J7" s="275"/>
      <c r="K7" s="695"/>
      <c r="L7" s="353"/>
      <c r="M7" s="353"/>
    </row>
    <row r="8" spans="1:13" s="691" customFormat="1" ht="21.75" customHeight="1" x14ac:dyDescent="0.25">
      <c r="A8" s="516">
        <v>9</v>
      </c>
      <c r="B8" s="339">
        <v>4054926927</v>
      </c>
      <c r="C8" s="366" t="s">
        <v>26</v>
      </c>
      <c r="D8" s="613" t="s">
        <v>2088</v>
      </c>
      <c r="E8" s="353" t="s">
        <v>2113</v>
      </c>
      <c r="F8" s="353" t="s">
        <v>15</v>
      </c>
      <c r="G8" s="323" t="str">
        <f t="shared" ca="1" si="0"/>
        <v>En Attente d'un Retrait Tardif</v>
      </c>
      <c r="H8" s="657"/>
      <c r="I8" s="658"/>
      <c r="J8" s="716">
        <v>320000</v>
      </c>
      <c r="K8" s="695"/>
      <c r="L8" s="15"/>
      <c r="M8" s="353"/>
    </row>
    <row r="9" spans="1:13" ht="21.75" customHeight="1" x14ac:dyDescent="0.25">
      <c r="A9" s="516">
        <v>11</v>
      </c>
      <c r="B9" s="339">
        <v>4054935990</v>
      </c>
      <c r="C9" s="366" t="s">
        <v>26</v>
      </c>
      <c r="D9" s="613" t="s">
        <v>2089</v>
      </c>
      <c r="E9" s="353" t="s">
        <v>17</v>
      </c>
      <c r="F9" s="353" t="s">
        <v>1772</v>
      </c>
      <c r="G9" s="323" t="str">
        <f t="shared" si="0"/>
        <v>Rétiré tardivement-30000FCFAamende</v>
      </c>
      <c r="H9" s="657" t="s">
        <v>2158</v>
      </c>
      <c r="I9" s="658">
        <v>46084</v>
      </c>
      <c r="J9" s="275" t="s">
        <v>2159</v>
      </c>
      <c r="K9" s="695"/>
      <c r="L9" s="15"/>
      <c r="M9" s="353"/>
    </row>
    <row r="10" spans="1:13" s="691" customFormat="1" ht="21.75" customHeight="1" x14ac:dyDescent="0.25">
      <c r="A10" s="516">
        <v>6</v>
      </c>
      <c r="B10" s="505">
        <v>4054949410</v>
      </c>
      <c r="C10" s="710" t="s">
        <v>26</v>
      </c>
      <c r="D10" s="709" t="s">
        <v>2090</v>
      </c>
      <c r="E10" s="636"/>
      <c r="F10" s="636" t="s">
        <v>500</v>
      </c>
      <c r="G10" s="323" t="str">
        <f t="shared" ca="1" si="0"/>
        <v>En Attente d'un Retrait Tardif</v>
      </c>
      <c r="H10" s="711"/>
      <c r="I10" s="712"/>
      <c r="J10" s="707"/>
      <c r="K10" s="713"/>
      <c r="L10" s="587" t="s">
        <v>2146</v>
      </c>
      <c r="M10" s="353"/>
    </row>
    <row r="11" spans="1:13" ht="21.75" customHeight="1" x14ac:dyDescent="0.25">
      <c r="A11" s="516">
        <v>1</v>
      </c>
      <c r="B11" s="505">
        <v>4054986950</v>
      </c>
      <c r="C11" s="366" t="s">
        <v>24</v>
      </c>
      <c r="D11" s="613" t="s">
        <v>12</v>
      </c>
      <c r="E11" s="353" t="s">
        <v>17</v>
      </c>
      <c r="F11" s="353" t="s">
        <v>15</v>
      </c>
      <c r="G11" s="323" t="str">
        <f t="shared" si="0"/>
        <v>Rétiré dans les délais</v>
      </c>
      <c r="H11" s="657" t="s">
        <v>2131</v>
      </c>
      <c r="I11" s="658">
        <v>46073</v>
      </c>
      <c r="J11" s="657">
        <v>0</v>
      </c>
      <c r="K11" s="657"/>
      <c r="L11" s="703"/>
      <c r="M11" s="657"/>
    </row>
    <row r="12" spans="1:13" ht="21.75" customHeight="1" x14ac:dyDescent="0.25">
      <c r="A12" s="516">
        <v>13</v>
      </c>
      <c r="B12" s="339">
        <v>4054993510</v>
      </c>
      <c r="C12" s="710" t="s">
        <v>26</v>
      </c>
      <c r="D12" s="709" t="s">
        <v>2091</v>
      </c>
      <c r="E12" s="636" t="s">
        <v>17</v>
      </c>
      <c r="F12" s="636" t="s">
        <v>15</v>
      </c>
      <c r="G12" s="323" t="str">
        <f t="shared" si="0"/>
        <v>Rétiré dans les délais</v>
      </c>
      <c r="H12" s="711" t="s">
        <v>2154</v>
      </c>
      <c r="I12" s="712">
        <v>46078</v>
      </c>
      <c r="J12" s="711"/>
      <c r="K12" s="711"/>
      <c r="L12" s="587" t="s">
        <v>2096</v>
      </c>
      <c r="M12" s="681"/>
    </row>
    <row r="13" spans="1:13" ht="21.75" customHeight="1" x14ac:dyDescent="0.25">
      <c r="A13" s="516">
        <v>14</v>
      </c>
      <c r="B13" s="339">
        <v>4055000070</v>
      </c>
      <c r="C13" s="366" t="s">
        <v>26</v>
      </c>
      <c r="D13" s="613" t="s">
        <v>1760</v>
      </c>
      <c r="E13" s="353" t="s">
        <v>1980</v>
      </c>
      <c r="F13" s="353" t="s">
        <v>1772</v>
      </c>
      <c r="G13" s="323" t="str">
        <f t="shared" si="0"/>
        <v>Rétiré dans les délais</v>
      </c>
      <c r="H13" s="657" t="s">
        <v>2127</v>
      </c>
      <c r="I13" s="658">
        <v>46073</v>
      </c>
      <c r="J13" s="657"/>
      <c r="K13" s="657"/>
      <c r="L13" s="703"/>
      <c r="M13" s="681"/>
    </row>
    <row r="14" spans="1:13" ht="21.75" customHeight="1" x14ac:dyDescent="0.25">
      <c r="A14" s="516">
        <v>15</v>
      </c>
      <c r="B14" s="339">
        <v>4055003280</v>
      </c>
      <c r="C14" s="366" t="s">
        <v>26</v>
      </c>
      <c r="D14" s="613" t="s">
        <v>2091</v>
      </c>
      <c r="E14" s="353" t="s">
        <v>17</v>
      </c>
      <c r="F14" s="353" t="s">
        <v>15</v>
      </c>
      <c r="G14" s="323" t="str">
        <f t="shared" si="0"/>
        <v>Rétiré dans les délais</v>
      </c>
      <c r="H14" s="657" t="s">
        <v>2155</v>
      </c>
      <c r="I14" s="658">
        <v>46078</v>
      </c>
      <c r="J14" s="657"/>
      <c r="K14" s="657"/>
      <c r="L14" s="703"/>
      <c r="M14" s="681"/>
    </row>
    <row r="15" spans="1:13" ht="21.75" customHeight="1" x14ac:dyDescent="0.25">
      <c r="A15" s="516">
        <v>2</v>
      </c>
      <c r="B15" s="339">
        <v>4055004080</v>
      </c>
      <c r="C15" s="366" t="s">
        <v>24</v>
      </c>
      <c r="D15" s="613" t="s">
        <v>2092</v>
      </c>
      <c r="E15" s="353" t="s">
        <v>17</v>
      </c>
      <c r="F15" s="353" t="s">
        <v>15</v>
      </c>
      <c r="G15" s="323" t="str">
        <f t="shared" si="0"/>
        <v>Rétiré dans les délais</v>
      </c>
      <c r="H15" s="657" t="s">
        <v>2124</v>
      </c>
      <c r="I15" s="658">
        <v>46072</v>
      </c>
      <c r="J15" s="657"/>
      <c r="K15" s="657"/>
      <c r="L15" s="703"/>
      <c r="M15" s="681"/>
    </row>
    <row r="16" spans="1:13" ht="21.75" customHeight="1" x14ac:dyDescent="0.25">
      <c r="A16" s="516">
        <v>12</v>
      </c>
      <c r="B16" s="505">
        <v>4055004090</v>
      </c>
      <c r="C16" s="366" t="s">
        <v>458</v>
      </c>
      <c r="D16" s="613" t="s">
        <v>2092</v>
      </c>
      <c r="E16" s="353"/>
      <c r="F16" s="353" t="s">
        <v>500</v>
      </c>
      <c r="G16" s="323" t="str">
        <f t="shared" si="0"/>
        <v>Rétiré dans les délais</v>
      </c>
      <c r="H16" s="657" t="s">
        <v>2134</v>
      </c>
      <c r="I16" s="658">
        <v>46073</v>
      </c>
      <c r="J16" s="657"/>
      <c r="K16" s="657"/>
      <c r="L16" s="703"/>
      <c r="M16" s="681"/>
    </row>
    <row r="17" spans="1:13" ht="21.75" customHeight="1" x14ac:dyDescent="0.25">
      <c r="A17" s="516">
        <v>17</v>
      </c>
      <c r="B17" s="339">
        <v>4055008320</v>
      </c>
      <c r="C17" s="366" t="s">
        <v>26</v>
      </c>
      <c r="D17" s="613" t="s">
        <v>2093</v>
      </c>
      <c r="E17" s="353" t="s">
        <v>1980</v>
      </c>
      <c r="F17" s="353" t="s">
        <v>15</v>
      </c>
      <c r="G17" s="323" t="str">
        <f t="shared" si="0"/>
        <v>Rétiré dans les délais</v>
      </c>
      <c r="H17" s="657" t="s">
        <v>2129</v>
      </c>
      <c r="I17" s="658">
        <v>46073</v>
      </c>
      <c r="J17" s="657"/>
      <c r="K17" s="657"/>
      <c r="L17" s="703"/>
      <c r="M17" s="681"/>
    </row>
    <row r="18" spans="1:13" ht="21.75" customHeight="1" x14ac:dyDescent="0.25">
      <c r="A18" s="516">
        <v>5</v>
      </c>
      <c r="B18" s="339">
        <v>4055008350</v>
      </c>
      <c r="C18" s="366" t="s">
        <v>164</v>
      </c>
      <c r="D18" s="613" t="s">
        <v>2092</v>
      </c>
      <c r="E18" s="353" t="s">
        <v>17</v>
      </c>
      <c r="F18" s="353" t="s">
        <v>1772</v>
      </c>
      <c r="G18" s="323" t="str">
        <f t="shared" si="0"/>
        <v>Rétiré dans les délais</v>
      </c>
      <c r="H18" s="657" t="s">
        <v>2125</v>
      </c>
      <c r="I18" s="658">
        <v>46072</v>
      </c>
      <c r="J18" s="657">
        <v>0</v>
      </c>
      <c r="K18" s="657"/>
      <c r="L18" s="703"/>
      <c r="M18" s="681"/>
    </row>
    <row r="19" spans="1:13" ht="21.75" customHeight="1" x14ac:dyDescent="0.25">
      <c r="A19" s="516">
        <v>18</v>
      </c>
      <c r="B19" s="339">
        <v>4055008790</v>
      </c>
      <c r="C19" s="366" t="s">
        <v>26</v>
      </c>
      <c r="D19" s="613" t="s">
        <v>1760</v>
      </c>
      <c r="E19" s="353" t="s">
        <v>1980</v>
      </c>
      <c r="F19" s="353" t="s">
        <v>15</v>
      </c>
      <c r="G19" s="323" t="str">
        <f t="shared" si="0"/>
        <v>Rétiré dans les délais</v>
      </c>
      <c r="H19" s="657" t="s">
        <v>2126</v>
      </c>
      <c r="I19" s="658">
        <v>46073</v>
      </c>
      <c r="J19" s="657"/>
      <c r="K19" s="657"/>
      <c r="L19" s="703"/>
      <c r="M19" s="681"/>
    </row>
    <row r="20" spans="1:13" ht="22.5" customHeight="1" x14ac:dyDescent="0.25">
      <c r="A20" s="516">
        <v>16</v>
      </c>
      <c r="B20" s="505">
        <v>4055009050</v>
      </c>
      <c r="C20" s="366" t="s">
        <v>26</v>
      </c>
      <c r="D20" s="613" t="s">
        <v>2094</v>
      </c>
      <c r="E20" s="353"/>
      <c r="F20" s="353" t="s">
        <v>500</v>
      </c>
      <c r="G20" s="323" t="str">
        <f t="shared" ca="1" si="0"/>
        <v>En Attente d'un Retrait Tardif</v>
      </c>
      <c r="H20" s="657"/>
      <c r="I20" s="658"/>
      <c r="J20" s="657"/>
      <c r="K20" s="657"/>
      <c r="L20" s="703"/>
      <c r="M20" s="681"/>
    </row>
    <row r="21" spans="1:13" ht="22.5" customHeight="1" x14ac:dyDescent="0.25">
      <c r="A21" s="516">
        <v>3</v>
      </c>
      <c r="B21" s="339">
        <v>4055010820</v>
      </c>
      <c r="C21" s="366" t="s">
        <v>24</v>
      </c>
      <c r="D21" s="613" t="s">
        <v>12</v>
      </c>
      <c r="E21" s="353" t="s">
        <v>17</v>
      </c>
      <c r="F21" s="353" t="s">
        <v>15</v>
      </c>
      <c r="G21" s="323" t="str">
        <f t="shared" si="0"/>
        <v>Rétiré dans les délais</v>
      </c>
      <c r="H21" s="657" t="s">
        <v>2132</v>
      </c>
      <c r="I21" s="658">
        <v>46073</v>
      </c>
      <c r="J21" s="657"/>
      <c r="K21" s="657"/>
      <c r="L21" s="703"/>
      <c r="M21" s="681"/>
    </row>
    <row r="22" spans="1:13" ht="22.5" customHeight="1" x14ac:dyDescent="0.25">
      <c r="A22" s="516">
        <v>4</v>
      </c>
      <c r="B22" s="339">
        <v>4055011820</v>
      </c>
      <c r="C22" s="366" t="s">
        <v>24</v>
      </c>
      <c r="D22" s="613" t="s">
        <v>2092</v>
      </c>
      <c r="E22" s="353" t="s">
        <v>17</v>
      </c>
      <c r="F22" s="353" t="s">
        <v>15</v>
      </c>
      <c r="G22" s="323" t="str">
        <f t="shared" si="0"/>
        <v>Rétiré dans les délais</v>
      </c>
      <c r="H22" s="657" t="s">
        <v>2133</v>
      </c>
      <c r="I22" s="658">
        <v>46073</v>
      </c>
      <c r="J22" s="657"/>
      <c r="K22" s="657"/>
      <c r="L22" s="657"/>
      <c r="M22" s="681"/>
    </row>
    <row r="23" spans="1:13" ht="22.5" customHeight="1" x14ac:dyDescent="0.25">
      <c r="A23" s="516">
        <v>19</v>
      </c>
      <c r="B23" s="339">
        <v>4055013690</v>
      </c>
      <c r="C23" s="366" t="s">
        <v>26</v>
      </c>
      <c r="D23" s="613" t="s">
        <v>144</v>
      </c>
      <c r="E23" s="353" t="s">
        <v>17</v>
      </c>
      <c r="F23" s="353" t="s">
        <v>15</v>
      </c>
      <c r="G23" s="323" t="str">
        <f t="shared" si="0"/>
        <v>Rétiré dans les délais</v>
      </c>
      <c r="H23" s="657" t="s">
        <v>2156</v>
      </c>
      <c r="I23" s="658">
        <v>46080</v>
      </c>
      <c r="J23" s="657"/>
      <c r="K23" s="657"/>
      <c r="L23" s="657"/>
      <c r="M23" s="681"/>
    </row>
    <row r="24" spans="1:13" s="208" customFormat="1" ht="22.5" customHeight="1" x14ac:dyDescent="0.25">
      <c r="A24" s="516">
        <v>20</v>
      </c>
      <c r="B24" s="339">
        <v>4055018360</v>
      </c>
      <c r="C24" s="366" t="s">
        <v>26</v>
      </c>
      <c r="D24" s="613" t="s">
        <v>2095</v>
      </c>
      <c r="E24" s="353" t="s">
        <v>17</v>
      </c>
      <c r="F24" s="353" t="s">
        <v>1772</v>
      </c>
      <c r="G24" s="323" t="str">
        <f t="shared" si="0"/>
        <v>Rétiré dans les délais</v>
      </c>
      <c r="H24" s="657" t="s">
        <v>2119</v>
      </c>
      <c r="I24" s="658">
        <v>46071</v>
      </c>
      <c r="J24" s="657"/>
      <c r="K24" s="657"/>
      <c r="L24" s="657"/>
      <c r="M24" s="681"/>
    </row>
    <row r="25" spans="1:13" s="208" customFormat="1" ht="22.5" customHeight="1" x14ac:dyDescent="0.25">
      <c r="A25" s="516">
        <v>21</v>
      </c>
      <c r="B25" s="339">
        <v>4055025560</v>
      </c>
      <c r="C25" s="366" t="s">
        <v>26</v>
      </c>
      <c r="D25" s="613" t="s">
        <v>2089</v>
      </c>
      <c r="E25" s="353" t="s">
        <v>17</v>
      </c>
      <c r="F25" s="353" t="s">
        <v>15</v>
      </c>
      <c r="G25" s="323" t="str">
        <f t="shared" si="0"/>
        <v>Rétiré dans les délais</v>
      </c>
      <c r="H25" s="657" t="s">
        <v>2143</v>
      </c>
      <c r="I25" s="658">
        <v>46077</v>
      </c>
      <c r="J25" s="657"/>
      <c r="K25" s="657"/>
      <c r="L25" s="657"/>
      <c r="M25" s="681"/>
    </row>
    <row r="28" spans="1:13" ht="15" x14ac:dyDescent="0.25">
      <c r="B28" s="105"/>
    </row>
    <row r="29" spans="1:13" ht="15" x14ac:dyDescent="0.25">
      <c r="B29" s="105"/>
    </row>
    <row r="30" spans="1:13" ht="15" x14ac:dyDescent="0.25">
      <c r="B30" s="105"/>
    </row>
    <row r="31" spans="1:13" ht="15" x14ac:dyDescent="0.25">
      <c r="B31" s="105"/>
    </row>
    <row r="32" spans="1:13" ht="15" x14ac:dyDescent="0.25">
      <c r="A32" s="105"/>
      <c r="B32" s="105"/>
    </row>
    <row r="33" spans="1:2" ht="15" x14ac:dyDescent="0.25">
      <c r="A33" s="105"/>
      <c r="B33" s="105"/>
    </row>
    <row r="34" spans="1:2" ht="15" x14ac:dyDescent="0.25">
      <c r="A34" s="105"/>
      <c r="B34" s="105"/>
    </row>
    <row r="35" spans="1:2" ht="15" x14ac:dyDescent="0.25">
      <c r="A35" s="105"/>
      <c r="B35" s="105"/>
    </row>
    <row r="36" spans="1:2" ht="15" x14ac:dyDescent="0.25">
      <c r="A36" s="105"/>
      <c r="B36" s="105"/>
    </row>
    <row r="37" spans="1:2" ht="15" x14ac:dyDescent="0.25">
      <c r="A37" s="105"/>
      <c r="B37" s="105"/>
    </row>
    <row r="38" spans="1:2" ht="15" x14ac:dyDescent="0.25">
      <c r="A38" s="105"/>
      <c r="B38" s="105"/>
    </row>
    <row r="39" spans="1:2" ht="15" x14ac:dyDescent="0.25">
      <c r="A39" s="105"/>
      <c r="B39" s="105"/>
    </row>
    <row r="40" spans="1:2" ht="15" x14ac:dyDescent="0.25">
      <c r="A40" s="105"/>
      <c r="B40" s="105"/>
    </row>
    <row r="41" spans="1:2" ht="15" x14ac:dyDescent="0.25">
      <c r="A41" s="105"/>
      <c r="B41" s="105"/>
    </row>
    <row r="42" spans="1:2" ht="15" x14ac:dyDescent="0.25">
      <c r="A42" s="105"/>
      <c r="B42" s="105"/>
    </row>
    <row r="43" spans="1:2" x14ac:dyDescent="0.25">
      <c r="A43" s="105"/>
    </row>
    <row r="44" spans="1:2" x14ac:dyDescent="0.25">
      <c r="A44" s="105"/>
    </row>
    <row r="45" spans="1:2" x14ac:dyDescent="0.25">
      <c r="A45" s="105"/>
    </row>
    <row r="46" spans="1:2" x14ac:dyDescent="0.25">
      <c r="A46" s="105"/>
    </row>
    <row r="47" spans="1:2" x14ac:dyDescent="0.25">
      <c r="A47" s="105"/>
    </row>
    <row r="48" spans="1:2" x14ac:dyDescent="0.25">
      <c r="A48" s="105"/>
    </row>
    <row r="49" spans="1:2" x14ac:dyDescent="0.25">
      <c r="A49" s="105"/>
    </row>
    <row r="50" spans="1:2" x14ac:dyDescent="0.25">
      <c r="A50" s="105"/>
    </row>
    <row r="51" spans="1:2" x14ac:dyDescent="0.25">
      <c r="A51" s="105"/>
    </row>
    <row r="52" spans="1:2" x14ac:dyDescent="0.25">
      <c r="A52" s="105"/>
    </row>
    <row r="53" spans="1:2" ht="15" x14ac:dyDescent="0.25">
      <c r="A53" s="105"/>
      <c r="B53"/>
    </row>
    <row r="54" spans="1:2" ht="15" x14ac:dyDescent="0.25">
      <c r="B54"/>
    </row>
    <row r="55" spans="1:2" ht="15" x14ac:dyDescent="0.25">
      <c r="B55"/>
    </row>
    <row r="56" spans="1:2" ht="15" x14ac:dyDescent="0.25">
      <c r="B56"/>
    </row>
    <row r="57" spans="1:2" ht="15" x14ac:dyDescent="0.25">
      <c r="B57"/>
    </row>
    <row r="58" spans="1:2" ht="15" x14ac:dyDescent="0.25">
      <c r="B58"/>
    </row>
    <row r="59" spans="1:2" ht="15" x14ac:dyDescent="0.25">
      <c r="B59"/>
    </row>
    <row r="60" spans="1:2" ht="15" x14ac:dyDescent="0.25">
      <c r="B60"/>
    </row>
    <row r="61" spans="1:2" ht="15" x14ac:dyDescent="0.25">
      <c r="B61"/>
    </row>
    <row r="62" spans="1:2" ht="15" x14ac:dyDescent="0.25">
      <c r="B62"/>
    </row>
    <row r="63" spans="1:2" ht="15" x14ac:dyDescent="0.25">
      <c r="B63"/>
    </row>
    <row r="64" spans="1:2" ht="15" x14ac:dyDescent="0.25">
      <c r="B64"/>
    </row>
    <row r="65" spans="2:2" ht="15" x14ac:dyDescent="0.25">
      <c r="B65"/>
    </row>
    <row r="66" spans="2:2" ht="15" x14ac:dyDescent="0.25">
      <c r="B66"/>
    </row>
    <row r="67" spans="2:2" ht="15" x14ac:dyDescent="0.25">
      <c r="B67"/>
    </row>
    <row r="68" spans="2:2" ht="15" x14ac:dyDescent="0.25">
      <c r="B68"/>
    </row>
    <row r="69" spans="2:2" ht="15" x14ac:dyDescent="0.25">
      <c r="B69"/>
    </row>
    <row r="70" spans="2:2" ht="15" x14ac:dyDescent="0.25">
      <c r="B70"/>
    </row>
    <row r="71" spans="2:2" ht="15" x14ac:dyDescent="0.25">
      <c r="B71"/>
    </row>
    <row r="72" spans="2:2" ht="15" x14ac:dyDescent="0.25">
      <c r="B72"/>
    </row>
    <row r="73" spans="2:2" ht="15" x14ac:dyDescent="0.25">
      <c r="B73"/>
    </row>
    <row r="74" spans="2:2" ht="15" x14ac:dyDescent="0.25">
      <c r="B74"/>
    </row>
    <row r="75" spans="2:2" ht="15" x14ac:dyDescent="0.25">
      <c r="B75"/>
    </row>
    <row r="76" spans="2:2" ht="15" x14ac:dyDescent="0.25">
      <c r="B76"/>
    </row>
    <row r="77" spans="2:2" ht="15" x14ac:dyDescent="0.25">
      <c r="B77"/>
    </row>
    <row r="78" spans="2:2" ht="15" x14ac:dyDescent="0.25">
      <c r="B78"/>
    </row>
    <row r="79" spans="2:2" ht="15" x14ac:dyDescent="0.25">
      <c r="B79"/>
    </row>
    <row r="80" spans="2:2" ht="15" x14ac:dyDescent="0.25">
      <c r="B80"/>
    </row>
    <row r="81" spans="2:2" ht="15" x14ac:dyDescent="0.25">
      <c r="B81"/>
    </row>
    <row r="82" spans="2:2" ht="15" x14ac:dyDescent="0.25">
      <c r="B82"/>
    </row>
    <row r="83" spans="2:2" ht="15" x14ac:dyDescent="0.25">
      <c r="B83"/>
    </row>
    <row r="84" spans="2:2" ht="15" x14ac:dyDescent="0.25">
      <c r="B84"/>
    </row>
    <row r="85" spans="2:2" ht="15" x14ac:dyDescent="0.25">
      <c r="B85"/>
    </row>
    <row r="86" spans="2:2" ht="15" x14ac:dyDescent="0.25">
      <c r="B86"/>
    </row>
    <row r="87" spans="2:2" ht="15" x14ac:dyDescent="0.25">
      <c r="B87"/>
    </row>
    <row r="88" spans="2:2" ht="15" x14ac:dyDescent="0.25">
      <c r="B88"/>
    </row>
    <row r="89" spans="2:2" ht="15" x14ac:dyDescent="0.25">
      <c r="B89"/>
    </row>
    <row r="90" spans="2:2" ht="15" x14ac:dyDescent="0.25">
      <c r="B90"/>
    </row>
    <row r="91" spans="2:2" ht="15" x14ac:dyDescent="0.25">
      <c r="B91"/>
    </row>
    <row r="92" spans="2:2" ht="15" x14ac:dyDescent="0.25">
      <c r="B92"/>
    </row>
    <row r="93" spans="2:2" ht="15" x14ac:dyDescent="0.25">
      <c r="B93"/>
    </row>
    <row r="94" spans="2:2" ht="15" x14ac:dyDescent="0.25">
      <c r="B94"/>
    </row>
    <row r="95" spans="2:2" ht="15" x14ac:dyDescent="0.25">
      <c r="B95"/>
    </row>
    <row r="96" spans="2:2" ht="15" x14ac:dyDescent="0.25">
      <c r="B96"/>
    </row>
    <row r="97" spans="2:2" ht="15" x14ac:dyDescent="0.25">
      <c r="B97"/>
    </row>
    <row r="98" spans="2:2" ht="15" x14ac:dyDescent="0.25">
      <c r="B98"/>
    </row>
    <row r="99" spans="2:2" ht="15" x14ac:dyDescent="0.25">
      <c r="B99"/>
    </row>
    <row r="100" spans="2:2" ht="15" x14ac:dyDescent="0.25">
      <c r="B100"/>
    </row>
    <row r="101" spans="2:2" ht="15" x14ac:dyDescent="0.25">
      <c r="B101"/>
    </row>
    <row r="102" spans="2:2" ht="15" x14ac:dyDescent="0.25">
      <c r="B102"/>
    </row>
    <row r="103" spans="2:2" ht="15" x14ac:dyDescent="0.25">
      <c r="B103"/>
    </row>
    <row r="104" spans="2:2" ht="15" x14ac:dyDescent="0.25">
      <c r="B104"/>
    </row>
    <row r="105" spans="2:2" ht="15" x14ac:dyDescent="0.25">
      <c r="B105"/>
    </row>
    <row r="106" spans="2:2" ht="15" x14ac:dyDescent="0.25">
      <c r="B106"/>
    </row>
    <row r="107" spans="2:2" ht="15" x14ac:dyDescent="0.25">
      <c r="B107"/>
    </row>
    <row r="108" spans="2:2" ht="15" x14ac:dyDescent="0.25">
      <c r="B108"/>
    </row>
    <row r="109" spans="2:2" ht="15" x14ac:dyDescent="0.25">
      <c r="B109"/>
    </row>
    <row r="110" spans="2:2" ht="15" x14ac:dyDescent="0.25">
      <c r="B110"/>
    </row>
    <row r="111" spans="2:2" ht="15" x14ac:dyDescent="0.25">
      <c r="B111"/>
    </row>
    <row r="112" spans="2:2" ht="15" x14ac:dyDescent="0.25">
      <c r="B112"/>
    </row>
    <row r="113" spans="2:2" ht="15" x14ac:dyDescent="0.25">
      <c r="B113"/>
    </row>
    <row r="114" spans="2:2" ht="15" x14ac:dyDescent="0.25">
      <c r="B114"/>
    </row>
    <row r="115" spans="2:2" ht="15" x14ac:dyDescent="0.25">
      <c r="B115"/>
    </row>
    <row r="116" spans="2:2" ht="15" x14ac:dyDescent="0.25">
      <c r="B116"/>
    </row>
    <row r="117" spans="2:2" ht="15" x14ac:dyDescent="0.25">
      <c r="B117"/>
    </row>
    <row r="118" spans="2:2" ht="15" x14ac:dyDescent="0.25">
      <c r="B118"/>
    </row>
    <row r="119" spans="2:2" ht="15" x14ac:dyDescent="0.25">
      <c r="B119"/>
    </row>
    <row r="120" spans="2:2" ht="15" x14ac:dyDescent="0.25">
      <c r="B120"/>
    </row>
    <row r="121" spans="2:2" ht="15" x14ac:dyDescent="0.25">
      <c r="B121"/>
    </row>
    <row r="122" spans="2:2" ht="15" x14ac:dyDescent="0.25">
      <c r="B122"/>
    </row>
    <row r="123" spans="2:2" ht="15" x14ac:dyDescent="0.25">
      <c r="B123"/>
    </row>
    <row r="124" spans="2:2" ht="15" x14ac:dyDescent="0.25">
      <c r="B124"/>
    </row>
    <row r="125" spans="2:2" ht="15" x14ac:dyDescent="0.25">
      <c r="B125"/>
    </row>
    <row r="126" spans="2:2" ht="15" x14ac:dyDescent="0.25">
      <c r="B126"/>
    </row>
    <row r="127" spans="2:2" ht="15" x14ac:dyDescent="0.25">
      <c r="B127"/>
    </row>
    <row r="128" spans="2:2" ht="15" x14ac:dyDescent="0.25">
      <c r="B128"/>
    </row>
    <row r="129" spans="2:2" ht="15" x14ac:dyDescent="0.25">
      <c r="B129"/>
    </row>
    <row r="130" spans="2:2" ht="15" x14ac:dyDescent="0.25">
      <c r="B130"/>
    </row>
    <row r="131" spans="2:2" ht="15" x14ac:dyDescent="0.25">
      <c r="B131"/>
    </row>
    <row r="132" spans="2:2" ht="15" x14ac:dyDescent="0.25">
      <c r="B132"/>
    </row>
    <row r="133" spans="2:2" ht="15" x14ac:dyDescent="0.25">
      <c r="B133"/>
    </row>
    <row r="134" spans="2:2" ht="15" x14ac:dyDescent="0.25">
      <c r="B134"/>
    </row>
    <row r="135" spans="2:2" ht="15" x14ac:dyDescent="0.25">
      <c r="B135"/>
    </row>
    <row r="136" spans="2:2" ht="15" x14ac:dyDescent="0.25">
      <c r="B136"/>
    </row>
    <row r="137" spans="2:2" ht="15" x14ac:dyDescent="0.25">
      <c r="B137"/>
    </row>
    <row r="138" spans="2:2" ht="15" x14ac:dyDescent="0.25">
      <c r="B138"/>
    </row>
    <row r="139" spans="2:2" ht="15" x14ac:dyDescent="0.25">
      <c r="B139"/>
    </row>
    <row r="140" spans="2:2" ht="15" x14ac:dyDescent="0.25">
      <c r="B140"/>
    </row>
    <row r="141" spans="2:2" ht="15" x14ac:dyDescent="0.25">
      <c r="B141"/>
    </row>
    <row r="142" spans="2:2" ht="15" x14ac:dyDescent="0.25">
      <c r="B142"/>
    </row>
    <row r="143" spans="2:2" ht="15" x14ac:dyDescent="0.25">
      <c r="B143"/>
    </row>
    <row r="144" spans="2:2" ht="15" x14ac:dyDescent="0.25">
      <c r="B144"/>
    </row>
    <row r="145" spans="2:2" ht="15" x14ac:dyDescent="0.25">
      <c r="B145"/>
    </row>
    <row r="146" spans="2:2" ht="15" x14ac:dyDescent="0.25">
      <c r="B146"/>
    </row>
    <row r="147" spans="2:2" ht="15" x14ac:dyDescent="0.25">
      <c r="B147"/>
    </row>
    <row r="148" spans="2:2" ht="15" x14ac:dyDescent="0.25">
      <c r="B148"/>
    </row>
    <row r="149" spans="2:2" ht="15" x14ac:dyDescent="0.25">
      <c r="B149"/>
    </row>
    <row r="150" spans="2:2" ht="15" x14ac:dyDescent="0.25">
      <c r="B150"/>
    </row>
    <row r="151" spans="2:2" ht="15" x14ac:dyDescent="0.25">
      <c r="B151"/>
    </row>
    <row r="152" spans="2:2" ht="15" x14ac:dyDescent="0.25">
      <c r="B152"/>
    </row>
    <row r="153" spans="2:2" ht="15" x14ac:dyDescent="0.25">
      <c r="B153"/>
    </row>
    <row r="154" spans="2:2" ht="15" x14ac:dyDescent="0.25">
      <c r="B154"/>
    </row>
    <row r="155" spans="2:2" ht="15" x14ac:dyDescent="0.25">
      <c r="B155"/>
    </row>
    <row r="156" spans="2:2" ht="15" x14ac:dyDescent="0.25">
      <c r="B156"/>
    </row>
    <row r="157" spans="2:2" ht="15" x14ac:dyDescent="0.25">
      <c r="B157"/>
    </row>
    <row r="158" spans="2:2" ht="15" x14ac:dyDescent="0.25">
      <c r="B158"/>
    </row>
    <row r="159" spans="2:2" ht="15" x14ac:dyDescent="0.25">
      <c r="B159"/>
    </row>
    <row r="160" spans="2:2" ht="15" x14ac:dyDescent="0.25">
      <c r="B160"/>
    </row>
  </sheetData>
  <autoFilter ref="A4:M25" xr:uid="{682D34AD-08D1-44C3-B410-EE1FDFA313B1}">
    <sortState xmlns:xlrd2="http://schemas.microsoft.com/office/spreadsheetml/2017/richdata2" ref="A5:M25">
      <sortCondition ref="B4:B25"/>
    </sortState>
  </autoFilter>
  <mergeCells count="1">
    <mergeCell ref="G1:I1"/>
  </mergeCells>
  <conditionalFormatting sqref="B1:B27 B37:B52 B28:C36 B161:B1048576">
    <cfRule type="duplicateValues" dxfId="1507" priority="4"/>
    <cfRule type="duplicateValues" dxfId="1506" priority="5"/>
  </conditionalFormatting>
  <conditionalFormatting sqref="B1:B52 B161:B1048576">
    <cfRule type="duplicateValues" dxfId="1505" priority="1"/>
  </conditionalFormatting>
  <conditionalFormatting sqref="G5:G25">
    <cfRule type="containsText" dxfId="1504" priority="2" operator="containsText" text="En Attente d'un Retrait Tardif">
      <formula>NOT(ISERROR(SEARCH("En Attente d'un Retrait Tardif",G5)))</formula>
    </cfRule>
    <cfRule type="containsText" dxfId="1503" priority="3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C5DD-B907-43D5-A175-4B726156B2B1}">
  <sheetPr>
    <tabColor rgb="FFFFFF00"/>
  </sheetPr>
  <dimension ref="A1:M30"/>
  <sheetViews>
    <sheetView zoomScaleNormal="100" workbookViewId="0">
      <pane ySplit="4" topLeftCell="A5" activePane="bottomLeft" state="frozen"/>
      <selection pane="bottomLeft" activeCell="B16" sqref="B16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229" customWidth="1"/>
    <col min="4" max="4" width="40.42578125" style="208" customWidth="1"/>
    <col min="5" max="5" width="21.4257812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13" ht="19.5" thickBot="1" x14ac:dyDescent="0.35">
      <c r="A1" s="348" t="s">
        <v>2050</v>
      </c>
      <c r="B1" s="431"/>
      <c r="C1" s="696"/>
      <c r="D1" s="288"/>
      <c r="E1" s="631"/>
      <c r="F1" s="288"/>
      <c r="G1" s="729"/>
      <c r="H1" s="729"/>
      <c r="I1" s="729"/>
    </row>
    <row r="2" spans="1:13" ht="24" thickBot="1" x14ac:dyDescent="0.3">
      <c r="A2" s="618" t="s">
        <v>0</v>
      </c>
      <c r="B2" s="638"/>
      <c r="C2" s="618"/>
      <c r="D2" s="25"/>
      <c r="E2" s="358">
        <f ca="1">I2-G2</f>
        <v>37</v>
      </c>
      <c r="F2" s="25"/>
      <c r="G2" s="314">
        <v>46059</v>
      </c>
      <c r="H2" s="365">
        <f ca="1">I2-G2</f>
        <v>37</v>
      </c>
      <c r="I2" s="315">
        <f ca="1">TODAY()</f>
        <v>46096</v>
      </c>
      <c r="J2" s="655"/>
    </row>
    <row r="3" spans="1:13" ht="16.5" thickBot="1" x14ac:dyDescent="0.3">
      <c r="D3" s="633"/>
      <c r="E3" s="632"/>
      <c r="F3" s="633"/>
      <c r="G3" s="105"/>
      <c r="H3" s="105"/>
      <c r="I3" s="208"/>
    </row>
    <row r="4" spans="1:13" ht="19.5" customHeight="1" x14ac:dyDescent="0.25">
      <c r="A4" s="682" t="s">
        <v>1</v>
      </c>
      <c r="B4" s="683" t="s">
        <v>2</v>
      </c>
      <c r="C4" s="697" t="s">
        <v>3</v>
      </c>
      <c r="D4" s="684" t="s">
        <v>5</v>
      </c>
      <c r="E4" s="684" t="s">
        <v>1065</v>
      </c>
      <c r="F4" s="684" t="s">
        <v>1066</v>
      </c>
      <c r="G4" s="684" t="s">
        <v>1067</v>
      </c>
      <c r="H4" s="684" t="s">
        <v>167</v>
      </c>
      <c r="I4" s="685" t="s">
        <v>1068</v>
      </c>
      <c r="J4" s="656" t="s">
        <v>8</v>
      </c>
      <c r="K4" s="686" t="s">
        <v>9</v>
      </c>
      <c r="L4" s="684" t="s">
        <v>10</v>
      </c>
      <c r="M4" s="685" t="s">
        <v>11</v>
      </c>
    </row>
    <row r="5" spans="1:13" ht="21.75" customHeight="1" x14ac:dyDescent="0.25">
      <c r="A5" s="516">
        <v>1</v>
      </c>
      <c r="B5" s="275">
        <v>4054892150</v>
      </c>
      <c r="C5" s="698" t="s">
        <v>2051</v>
      </c>
      <c r="D5" s="613" t="s">
        <v>265</v>
      </c>
      <c r="E5" s="353"/>
      <c r="F5" s="353" t="s">
        <v>2062</v>
      </c>
      <c r="G5" s="323" t="str">
        <f t="shared" ref="G5:G22" si="0">IF(I5="",IF($E$2&lt;=15,"En attente de Retrait","En Attente d'un Retrait Tardif"),IF(I5-$G$2&lt;=15,"Rétiré dans les délais",IF(I5-$G$2&gt;15,"Rétiré tardivement-30000FCFAamende")))</f>
        <v>Rétiré dans les délais</v>
      </c>
      <c r="H5" s="657"/>
      <c r="I5" s="699">
        <v>46038</v>
      </c>
      <c r="J5" s="689" t="s">
        <v>2081</v>
      </c>
      <c r="K5" s="657"/>
      <c r="L5" s="657"/>
      <c r="M5" s="681"/>
    </row>
    <row r="6" spans="1:13" s="691" customFormat="1" ht="21.75" customHeight="1" x14ac:dyDescent="0.25">
      <c r="A6" s="516">
        <v>2</v>
      </c>
      <c r="B6" s="275">
        <v>4054936040</v>
      </c>
      <c r="C6" s="698" t="s">
        <v>2052</v>
      </c>
      <c r="D6" s="613" t="s">
        <v>18</v>
      </c>
      <c r="E6" s="353"/>
      <c r="F6" s="353" t="s">
        <v>2062</v>
      </c>
      <c r="G6" s="323" t="str">
        <f t="shared" si="0"/>
        <v>Rétiré dans les délais</v>
      </c>
      <c r="H6" s="657" t="s">
        <v>2065</v>
      </c>
      <c r="I6" s="699">
        <v>46038</v>
      </c>
      <c r="J6" s="701">
        <v>0</v>
      </c>
      <c r="K6" s="657"/>
      <c r="L6" s="657"/>
      <c r="M6" s="681"/>
    </row>
    <row r="7" spans="1:13" ht="21.75" customHeight="1" x14ac:dyDescent="0.25">
      <c r="A7" s="516">
        <v>3</v>
      </c>
      <c r="B7" s="275">
        <v>4054936021</v>
      </c>
      <c r="C7" s="698" t="s">
        <v>2052</v>
      </c>
      <c r="D7" s="613" t="s">
        <v>18</v>
      </c>
      <c r="E7" s="353"/>
      <c r="F7" s="353" t="s">
        <v>2062</v>
      </c>
      <c r="G7" s="323" t="str">
        <f t="shared" si="0"/>
        <v>Rétiré dans les délais</v>
      </c>
      <c r="H7" s="657" t="s">
        <v>2066</v>
      </c>
      <c r="I7" s="699">
        <v>46037</v>
      </c>
      <c r="J7" s="701">
        <v>0</v>
      </c>
      <c r="K7" s="657"/>
      <c r="L7" s="657"/>
      <c r="M7" s="681"/>
    </row>
    <row r="8" spans="1:13" s="691" customFormat="1" ht="21.75" customHeight="1" x14ac:dyDescent="0.25">
      <c r="A8" s="516">
        <v>4</v>
      </c>
      <c r="B8" s="275">
        <v>4054936010</v>
      </c>
      <c r="C8" s="698" t="s">
        <v>2052</v>
      </c>
      <c r="D8" s="613" t="s">
        <v>18</v>
      </c>
      <c r="E8" s="353"/>
      <c r="F8" s="353" t="s">
        <v>2062</v>
      </c>
      <c r="G8" s="323" t="str">
        <f t="shared" si="0"/>
        <v>Rétiré dans les délais</v>
      </c>
      <c r="H8" s="657" t="s">
        <v>2067</v>
      </c>
      <c r="I8" s="699">
        <v>46037</v>
      </c>
      <c r="J8" s="701">
        <v>0</v>
      </c>
      <c r="K8" s="657"/>
      <c r="L8" s="657"/>
      <c r="M8" s="681"/>
    </row>
    <row r="9" spans="1:13" ht="21.75" customHeight="1" x14ac:dyDescent="0.25">
      <c r="A9" s="516">
        <v>5</v>
      </c>
      <c r="B9" s="275">
        <v>4054949400</v>
      </c>
      <c r="C9" s="698" t="s">
        <v>2053</v>
      </c>
      <c r="D9" s="613" t="s">
        <v>2059</v>
      </c>
      <c r="E9" s="353"/>
      <c r="F9" s="353" t="s">
        <v>2063</v>
      </c>
      <c r="G9" s="323" t="str">
        <f t="shared" si="0"/>
        <v>Rétiré dans les délais</v>
      </c>
      <c r="H9" s="657" t="s">
        <v>2068</v>
      </c>
      <c r="I9" s="699">
        <v>46062</v>
      </c>
      <c r="J9" s="701">
        <v>0</v>
      </c>
      <c r="K9" s="657"/>
      <c r="L9" s="657"/>
      <c r="M9" s="657"/>
    </row>
    <row r="10" spans="1:13" ht="21.75" customHeight="1" x14ac:dyDescent="0.25">
      <c r="A10" s="516">
        <v>6</v>
      </c>
      <c r="B10" s="275">
        <v>4054949409</v>
      </c>
      <c r="C10" s="698" t="s">
        <v>2053</v>
      </c>
      <c r="D10" s="613" t="s">
        <v>2059</v>
      </c>
      <c r="E10" s="353"/>
      <c r="F10" s="353" t="s">
        <v>2063</v>
      </c>
      <c r="G10" s="323" t="str">
        <f t="shared" si="0"/>
        <v>Rétiré dans les délais</v>
      </c>
      <c r="H10" s="657" t="s">
        <v>2069</v>
      </c>
      <c r="I10" s="699">
        <v>46062</v>
      </c>
      <c r="J10" s="701"/>
      <c r="K10" s="657"/>
      <c r="L10" s="657"/>
      <c r="M10" s="657"/>
    </row>
    <row r="11" spans="1:13" ht="21.75" customHeight="1" x14ac:dyDescent="0.25">
      <c r="A11" s="516">
        <v>7</v>
      </c>
      <c r="B11" s="275">
        <v>4054923140</v>
      </c>
      <c r="C11" s="698" t="s">
        <v>2054</v>
      </c>
      <c r="D11" s="613" t="s">
        <v>2023</v>
      </c>
      <c r="E11" s="353"/>
      <c r="F11" s="353" t="s">
        <v>2064</v>
      </c>
      <c r="G11" s="323" t="str">
        <f t="shared" si="0"/>
        <v>Rétiré dans les délais</v>
      </c>
      <c r="H11" s="657" t="s">
        <v>2070</v>
      </c>
      <c r="I11" s="699">
        <v>46062</v>
      </c>
      <c r="J11" s="689" t="s">
        <v>2082</v>
      </c>
      <c r="K11" s="657"/>
      <c r="L11" s="657"/>
      <c r="M11" s="657"/>
    </row>
    <row r="12" spans="1:13" ht="21.75" customHeight="1" x14ac:dyDescent="0.25">
      <c r="A12" s="516">
        <v>8</v>
      </c>
      <c r="B12" s="275">
        <v>4054923150</v>
      </c>
      <c r="C12" s="698" t="s">
        <v>2055</v>
      </c>
      <c r="D12" s="613" t="s">
        <v>2023</v>
      </c>
      <c r="E12" s="353"/>
      <c r="F12" s="353" t="s">
        <v>2064</v>
      </c>
      <c r="G12" s="323" t="str">
        <f t="shared" si="0"/>
        <v>Rétiré dans les délais</v>
      </c>
      <c r="H12" s="657" t="s">
        <v>2071</v>
      </c>
      <c r="I12" s="699">
        <v>46062</v>
      </c>
      <c r="J12" s="689" t="s">
        <v>2083</v>
      </c>
      <c r="K12" s="657"/>
      <c r="L12" s="657"/>
      <c r="M12" s="681"/>
    </row>
    <row r="13" spans="1:13" ht="21.75" customHeight="1" x14ac:dyDescent="0.25">
      <c r="A13" s="516">
        <v>9</v>
      </c>
      <c r="B13" s="275">
        <v>4054923130</v>
      </c>
      <c r="C13" s="698" t="s">
        <v>2055</v>
      </c>
      <c r="D13" s="613" t="s">
        <v>2023</v>
      </c>
      <c r="E13" s="353"/>
      <c r="F13" s="353" t="s">
        <v>2064</v>
      </c>
      <c r="G13" s="323" t="str">
        <f t="shared" si="0"/>
        <v>Rétiré dans les délais</v>
      </c>
      <c r="H13" s="657" t="s">
        <v>2072</v>
      </c>
      <c r="I13" s="699">
        <v>46062</v>
      </c>
      <c r="J13" s="689" t="s">
        <v>2082</v>
      </c>
      <c r="K13" s="657"/>
      <c r="L13" s="657"/>
      <c r="M13" s="681"/>
    </row>
    <row r="14" spans="1:13" ht="21.75" customHeight="1" x14ac:dyDescent="0.25">
      <c r="A14" s="516">
        <v>10</v>
      </c>
      <c r="B14" s="275">
        <v>4054946600</v>
      </c>
      <c r="C14" s="698" t="s">
        <v>2056</v>
      </c>
      <c r="D14" s="613" t="s">
        <v>2060</v>
      </c>
      <c r="E14" s="353"/>
      <c r="F14" s="353" t="s">
        <v>2063</v>
      </c>
      <c r="G14" s="323" t="str">
        <f t="shared" si="0"/>
        <v>Rétiré dans les délais</v>
      </c>
      <c r="H14" s="657" t="s">
        <v>2073</v>
      </c>
      <c r="I14" s="699">
        <v>46037</v>
      </c>
      <c r="J14" s="701">
        <v>0</v>
      </c>
      <c r="K14" s="657"/>
      <c r="L14" s="657"/>
      <c r="M14" s="681"/>
    </row>
    <row r="15" spans="1:13" ht="21.75" customHeight="1" x14ac:dyDescent="0.25">
      <c r="A15" s="516">
        <v>11</v>
      </c>
      <c r="B15" s="275">
        <v>4054941940</v>
      </c>
      <c r="C15" s="698" t="s">
        <v>2043</v>
      </c>
      <c r="D15" s="613" t="s">
        <v>64</v>
      </c>
      <c r="E15" s="353"/>
      <c r="F15" s="353" t="s">
        <v>2063</v>
      </c>
      <c r="G15" s="323" t="str">
        <f t="shared" si="0"/>
        <v>Rétiré dans les délais</v>
      </c>
      <c r="H15" s="657"/>
      <c r="I15" s="699">
        <v>46037</v>
      </c>
      <c r="J15" s="701">
        <v>0</v>
      </c>
      <c r="K15" s="657"/>
      <c r="L15" s="657"/>
      <c r="M15" s="681"/>
    </row>
    <row r="16" spans="1:13" ht="21.75" customHeight="1" x14ac:dyDescent="0.25">
      <c r="A16" s="516">
        <v>12</v>
      </c>
      <c r="B16" s="275">
        <v>4054951590</v>
      </c>
      <c r="C16" s="698" t="s">
        <v>2057</v>
      </c>
      <c r="D16" s="613" t="s">
        <v>2061</v>
      </c>
      <c r="E16" s="353"/>
      <c r="F16" s="353" t="s">
        <v>2063</v>
      </c>
      <c r="G16" s="323" t="str">
        <f t="shared" si="0"/>
        <v>Rétiré dans les délais</v>
      </c>
      <c r="H16" s="657" t="s">
        <v>2074</v>
      </c>
      <c r="I16" s="699">
        <v>46038</v>
      </c>
      <c r="J16" s="701">
        <v>0</v>
      </c>
      <c r="K16" s="657"/>
      <c r="L16" s="657"/>
      <c r="M16" s="681"/>
    </row>
    <row r="17" spans="1:13" ht="21.75" customHeight="1" x14ac:dyDescent="0.25">
      <c r="A17" s="516">
        <v>13</v>
      </c>
      <c r="B17" s="275">
        <v>4054949060</v>
      </c>
      <c r="C17" s="698" t="s">
        <v>2058</v>
      </c>
      <c r="D17" s="613" t="s">
        <v>12</v>
      </c>
      <c r="E17" s="353"/>
      <c r="F17" s="353" t="s">
        <v>2062</v>
      </c>
      <c r="G17" s="323" t="str">
        <f t="shared" si="0"/>
        <v>Rétiré dans les délais</v>
      </c>
      <c r="H17" s="657" t="s">
        <v>2075</v>
      </c>
      <c r="I17" s="700">
        <v>46036</v>
      </c>
      <c r="J17" s="702">
        <v>0</v>
      </c>
      <c r="K17" s="657"/>
      <c r="L17" s="657"/>
      <c r="M17" s="681"/>
    </row>
    <row r="18" spans="1:13" ht="21.75" customHeight="1" x14ac:dyDescent="0.25">
      <c r="A18" s="516">
        <v>14</v>
      </c>
      <c r="B18" s="275">
        <v>4054946990</v>
      </c>
      <c r="C18" s="698" t="s">
        <v>2056</v>
      </c>
      <c r="D18" s="613" t="s">
        <v>12</v>
      </c>
      <c r="E18" s="353"/>
      <c r="F18" s="353" t="s">
        <v>2062</v>
      </c>
      <c r="G18" s="323" t="str">
        <f t="shared" si="0"/>
        <v>Rétiré dans les délais</v>
      </c>
      <c r="H18" s="657" t="s">
        <v>2076</v>
      </c>
      <c r="I18" s="700">
        <v>46037</v>
      </c>
      <c r="J18" s="702">
        <v>0</v>
      </c>
      <c r="K18" s="657"/>
      <c r="L18" s="657"/>
      <c r="M18" s="681"/>
    </row>
    <row r="19" spans="1:13" ht="21.75" customHeight="1" x14ac:dyDescent="0.25">
      <c r="A19" s="516">
        <v>15</v>
      </c>
      <c r="B19" s="275">
        <v>4054958890</v>
      </c>
      <c r="C19" s="698" t="s">
        <v>2058</v>
      </c>
      <c r="D19" s="613" t="s">
        <v>12</v>
      </c>
      <c r="E19" s="353"/>
      <c r="F19" s="353" t="s">
        <v>2063</v>
      </c>
      <c r="G19" s="323" t="str">
        <f t="shared" si="0"/>
        <v>Rétiré dans les délais</v>
      </c>
      <c r="H19" s="657" t="s">
        <v>2077</v>
      </c>
      <c r="I19" s="700">
        <v>46036</v>
      </c>
      <c r="J19" s="702">
        <v>0</v>
      </c>
      <c r="K19" s="657"/>
      <c r="L19" s="657"/>
      <c r="M19" s="681"/>
    </row>
    <row r="20" spans="1:13" ht="21.75" customHeight="1" x14ac:dyDescent="0.25">
      <c r="A20" s="516">
        <v>16</v>
      </c>
      <c r="B20" s="275">
        <v>4054958920</v>
      </c>
      <c r="C20" s="698" t="s">
        <v>2058</v>
      </c>
      <c r="D20" s="613" t="s">
        <v>12</v>
      </c>
      <c r="E20" s="353"/>
      <c r="F20" s="353" t="s">
        <v>2063</v>
      </c>
      <c r="G20" s="323" t="str">
        <f t="shared" si="0"/>
        <v>Rétiré dans les délais</v>
      </c>
      <c r="H20" s="657" t="s">
        <v>2078</v>
      </c>
      <c r="I20" s="700">
        <v>46036</v>
      </c>
      <c r="J20" s="702">
        <v>0</v>
      </c>
      <c r="K20" s="657"/>
      <c r="L20" s="657"/>
      <c r="M20" s="681"/>
    </row>
    <row r="21" spans="1:13" ht="21.75" customHeight="1" x14ac:dyDescent="0.25">
      <c r="A21" s="516">
        <v>17</v>
      </c>
      <c r="B21" s="275">
        <v>4054958900</v>
      </c>
      <c r="C21" s="698" t="s">
        <v>2058</v>
      </c>
      <c r="D21" s="613" t="s">
        <v>12</v>
      </c>
      <c r="E21" s="353"/>
      <c r="F21" s="353" t="s">
        <v>2063</v>
      </c>
      <c r="G21" s="323" t="str">
        <f t="shared" si="0"/>
        <v>Rétiré dans les délais</v>
      </c>
      <c r="H21" s="657" t="s">
        <v>2079</v>
      </c>
      <c r="I21" s="700">
        <v>46036</v>
      </c>
      <c r="J21" s="702">
        <v>0</v>
      </c>
      <c r="K21" s="657"/>
      <c r="L21" s="657"/>
      <c r="M21" s="681"/>
    </row>
    <row r="22" spans="1:13" ht="21.75" customHeight="1" x14ac:dyDescent="0.25">
      <c r="A22" s="516">
        <v>18</v>
      </c>
      <c r="B22" s="275">
        <v>4054946971</v>
      </c>
      <c r="C22" s="698" t="s">
        <v>2058</v>
      </c>
      <c r="D22" s="613" t="s">
        <v>12</v>
      </c>
      <c r="E22" s="353"/>
      <c r="F22" s="353" t="s">
        <v>2063</v>
      </c>
      <c r="G22" s="323" t="str">
        <f t="shared" si="0"/>
        <v>Rétiré dans les délais</v>
      </c>
      <c r="H22" s="657" t="s">
        <v>2080</v>
      </c>
      <c r="I22" s="700">
        <v>46036</v>
      </c>
      <c r="J22" s="702">
        <v>0</v>
      </c>
      <c r="K22" s="657"/>
      <c r="L22" s="657"/>
      <c r="M22" s="681"/>
    </row>
    <row r="25" spans="1:13" s="208" customFormat="1" ht="15" x14ac:dyDescent="0.25">
      <c r="B25"/>
      <c r="C25"/>
      <c r="E25" s="105"/>
      <c r="I25"/>
      <c r="J25" s="654"/>
      <c r="K25"/>
      <c r="L25"/>
      <c r="M25"/>
    </row>
    <row r="26" spans="1:13" s="208" customFormat="1" ht="15" x14ac:dyDescent="0.25">
      <c r="C26"/>
      <c r="E26" s="105"/>
      <c r="I26"/>
      <c r="J26" s="654"/>
      <c r="K26"/>
      <c r="L26"/>
      <c r="M26"/>
    </row>
    <row r="27" spans="1:13" s="208" customFormat="1" ht="15" x14ac:dyDescent="0.25">
      <c r="C27"/>
      <c r="E27" s="105"/>
      <c r="I27"/>
      <c r="J27" s="654"/>
      <c r="K27"/>
      <c r="L27"/>
      <c r="M27"/>
    </row>
    <row r="28" spans="1:13" s="208" customFormat="1" ht="15" x14ac:dyDescent="0.25">
      <c r="B28"/>
      <c r="C28"/>
      <c r="E28" s="105"/>
      <c r="I28"/>
      <c r="J28" s="654"/>
      <c r="K28"/>
      <c r="L28"/>
      <c r="M28"/>
    </row>
    <row r="29" spans="1:13" s="208" customFormat="1" ht="15" x14ac:dyDescent="0.25">
      <c r="C29"/>
      <c r="E29" s="105"/>
      <c r="I29"/>
      <c r="J29" s="654"/>
      <c r="K29"/>
      <c r="L29"/>
      <c r="M29"/>
    </row>
    <row r="30" spans="1:13" s="208" customFormat="1" ht="15" x14ac:dyDescent="0.25">
      <c r="C30"/>
      <c r="E30" s="105"/>
      <c r="I30"/>
      <c r="J30" s="654"/>
      <c r="K30"/>
      <c r="L30"/>
      <c r="M30"/>
    </row>
  </sheetData>
  <autoFilter ref="A4:M22" xr:uid="{682D34AD-08D1-44C3-B410-EE1FDFA313B1}">
    <sortState xmlns:xlrd2="http://schemas.microsoft.com/office/spreadsheetml/2017/richdata2" ref="A5:M22">
      <sortCondition ref="D4:D22"/>
    </sortState>
  </autoFilter>
  <mergeCells count="1">
    <mergeCell ref="G1:I1"/>
  </mergeCells>
  <conditionalFormatting sqref="B5:B22">
    <cfRule type="duplicateValues" dxfId="1502" priority="2268"/>
  </conditionalFormatting>
  <conditionalFormatting sqref="B31:B1048576 B1:B24">
    <cfRule type="duplicateValues" dxfId="1501" priority="1"/>
  </conditionalFormatting>
  <conditionalFormatting sqref="B31:B1048576 B23:B24 B1:B4">
    <cfRule type="duplicateValues" dxfId="1500" priority="4"/>
    <cfRule type="duplicateValues" dxfId="1499" priority="5"/>
    <cfRule type="duplicateValues" dxfId="1498" priority="6"/>
  </conditionalFormatting>
  <conditionalFormatting sqref="B5:D22 G5:G22">
    <cfRule type="containsText" dxfId="1497" priority="2" operator="containsText" text="En Attente d'un Retrait Tardif">
      <formula>NOT(ISERROR(SEARCH("En Attente d'un Retrait Tardif",B5)))</formula>
    </cfRule>
    <cfRule type="containsText" dxfId="1496" priority="3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8047-B592-4524-A675-48056E14392A}">
  <sheetPr>
    <tabColor rgb="FFFFFF00"/>
  </sheetPr>
  <dimension ref="A1:M16"/>
  <sheetViews>
    <sheetView zoomScaleNormal="100" workbookViewId="0">
      <pane ySplit="4" topLeftCell="A5" activePane="bottomLeft" state="frozen"/>
      <selection pane="bottomLeft" activeCell="H12" sqref="H12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13" ht="19.5" thickBot="1" x14ac:dyDescent="0.35">
      <c r="A1" s="348" t="s">
        <v>2040</v>
      </c>
      <c r="B1" s="431"/>
      <c r="C1" s="431"/>
      <c r="D1" s="288"/>
      <c r="E1" s="631"/>
      <c r="F1" s="288"/>
      <c r="G1" s="729"/>
      <c r="H1" s="729"/>
      <c r="I1" s="729"/>
    </row>
    <row r="2" spans="1:13" ht="24" thickBot="1" x14ac:dyDescent="0.3">
      <c r="A2" s="618" t="s">
        <v>0</v>
      </c>
      <c r="B2" s="638"/>
      <c r="C2" s="24"/>
      <c r="D2" s="25"/>
      <c r="E2" s="358">
        <f ca="1">I2-G2</f>
        <v>53</v>
      </c>
      <c r="F2" s="25"/>
      <c r="G2" s="314">
        <v>46043</v>
      </c>
      <c r="H2" s="365">
        <f ca="1">I2-G2</f>
        <v>53</v>
      </c>
      <c r="I2" s="315">
        <f ca="1">TODAY()</f>
        <v>46096</v>
      </c>
      <c r="J2" s="655"/>
    </row>
    <row r="3" spans="1:13" ht="16.5" thickBot="1" x14ac:dyDescent="0.3">
      <c r="D3" s="633"/>
      <c r="E3" s="632"/>
      <c r="F3" s="633"/>
      <c r="G3" s="105"/>
      <c r="H3" s="105"/>
      <c r="I3" s="208"/>
    </row>
    <row r="4" spans="1:13" ht="19.5" customHeight="1" x14ac:dyDescent="0.25">
      <c r="A4" s="682" t="s">
        <v>1</v>
      </c>
      <c r="B4" s="683" t="s">
        <v>2</v>
      </c>
      <c r="C4" s="684" t="s">
        <v>3</v>
      </c>
      <c r="D4" s="684" t="s">
        <v>5</v>
      </c>
      <c r="E4" s="684" t="s">
        <v>1065</v>
      </c>
      <c r="F4" s="684" t="s">
        <v>1066</v>
      </c>
      <c r="G4" s="684" t="s">
        <v>1067</v>
      </c>
      <c r="H4" s="684" t="s">
        <v>167</v>
      </c>
      <c r="I4" s="685" t="s">
        <v>1068</v>
      </c>
      <c r="J4" s="656" t="s">
        <v>8</v>
      </c>
      <c r="K4" s="686" t="s">
        <v>9</v>
      </c>
      <c r="L4" s="684" t="s">
        <v>10</v>
      </c>
      <c r="M4" s="685" t="s">
        <v>11</v>
      </c>
    </row>
    <row r="5" spans="1:13" ht="22.5" customHeight="1" x14ac:dyDescent="0.25">
      <c r="A5" s="516">
        <v>1</v>
      </c>
      <c r="B5" s="275">
        <v>4054986920</v>
      </c>
      <c r="C5" s="667" t="s">
        <v>2041</v>
      </c>
      <c r="D5" s="613" t="s">
        <v>12</v>
      </c>
      <c r="E5" s="353"/>
      <c r="F5" s="353"/>
      <c r="G5" s="323" t="str">
        <f t="shared" ref="G5:G11" si="0">IF(I5="",IF($E$2&lt;=15,"En attente de Retrait","En Attente d'un Retrait Tardif"),IF(I5-$G$2&lt;=15,"Rétiré dans les délais",IF(I5-$G$2&gt;15,"Rétiré tardivement-30000FCFAamende")))</f>
        <v>Rétiré dans les délais</v>
      </c>
      <c r="H5" s="657" t="s">
        <v>2046</v>
      </c>
      <c r="I5" s="658">
        <v>46049</v>
      </c>
      <c r="J5" s="657"/>
      <c r="K5" s="657"/>
      <c r="L5" s="657"/>
      <c r="M5" s="681"/>
    </row>
    <row r="6" spans="1:13" ht="22.5" customHeight="1" x14ac:dyDescent="0.25">
      <c r="A6" s="516">
        <v>2</v>
      </c>
      <c r="B6" s="275">
        <v>4054986930</v>
      </c>
      <c r="C6" s="667" t="s">
        <v>2042</v>
      </c>
      <c r="D6" s="613" t="s">
        <v>12</v>
      </c>
      <c r="E6" s="353"/>
      <c r="F6" s="353"/>
      <c r="G6" s="323" t="str">
        <f t="shared" si="0"/>
        <v>Rétiré dans les délais</v>
      </c>
      <c r="H6" s="657" t="s">
        <v>2047</v>
      </c>
      <c r="I6" s="658">
        <v>46049</v>
      </c>
      <c r="J6" s="657"/>
      <c r="K6" s="657"/>
      <c r="L6" s="657"/>
      <c r="M6" s="681"/>
    </row>
    <row r="7" spans="1:13" ht="22.5" customHeight="1" x14ac:dyDescent="0.25">
      <c r="A7" s="516">
        <v>3</v>
      </c>
      <c r="B7" s="275">
        <v>4054969970</v>
      </c>
      <c r="C7" s="667" t="s">
        <v>2039</v>
      </c>
      <c r="D7" s="613" t="s">
        <v>1933</v>
      </c>
      <c r="E7" s="353"/>
      <c r="F7" s="353"/>
      <c r="G7" s="323" t="str">
        <f t="shared" si="0"/>
        <v>Rétiré dans les délais</v>
      </c>
      <c r="H7" s="657" t="s">
        <v>2048</v>
      </c>
      <c r="I7" s="658">
        <v>46049</v>
      </c>
      <c r="J7" s="657"/>
      <c r="K7" s="657"/>
      <c r="L7" s="657"/>
      <c r="M7" s="681"/>
    </row>
    <row r="8" spans="1:13" ht="22.5" customHeight="1" x14ac:dyDescent="0.25">
      <c r="A8" s="516">
        <v>4</v>
      </c>
      <c r="B8" s="275">
        <v>4054972070</v>
      </c>
      <c r="C8" s="667" t="s">
        <v>2043</v>
      </c>
      <c r="D8" s="613" t="s">
        <v>2045</v>
      </c>
      <c r="E8" s="353"/>
      <c r="F8" s="353"/>
      <c r="G8" s="323" t="str">
        <f t="shared" ca="1" si="0"/>
        <v>En Attente d'un Retrait Tardif</v>
      </c>
      <c r="H8" s="657"/>
      <c r="I8" s="658"/>
      <c r="J8" s="657"/>
      <c r="K8" s="657"/>
      <c r="L8" s="657"/>
      <c r="M8" s="681"/>
    </row>
    <row r="9" spans="1:13" ht="22.5" customHeight="1" x14ac:dyDescent="0.25">
      <c r="A9" s="516">
        <v>5</v>
      </c>
      <c r="B9" s="275">
        <v>4054982340</v>
      </c>
      <c r="C9" s="667" t="s">
        <v>2020</v>
      </c>
      <c r="D9" s="613" t="s">
        <v>1955</v>
      </c>
      <c r="E9" s="353"/>
      <c r="F9" s="353"/>
      <c r="G9" s="323" t="str">
        <f t="shared" ca="1" si="0"/>
        <v>En Attente d'un Retrait Tardif</v>
      </c>
      <c r="H9" s="657"/>
      <c r="I9" s="658"/>
      <c r="J9" s="657"/>
      <c r="K9" s="657"/>
      <c r="L9" s="657"/>
      <c r="M9" s="681"/>
    </row>
    <row r="10" spans="1:13" ht="22.5" customHeight="1" x14ac:dyDescent="0.25">
      <c r="A10" s="516">
        <v>6</v>
      </c>
      <c r="B10" s="275">
        <v>2318328860</v>
      </c>
      <c r="C10" s="667" t="s">
        <v>2044</v>
      </c>
      <c r="D10" s="613" t="s">
        <v>1796</v>
      </c>
      <c r="E10" s="353"/>
      <c r="F10" s="353"/>
      <c r="G10" s="323" t="str">
        <f t="shared" si="0"/>
        <v>Rétiré dans les délais</v>
      </c>
      <c r="H10" s="657" t="s">
        <v>2049</v>
      </c>
      <c r="I10" s="658">
        <v>46048</v>
      </c>
      <c r="J10" s="657"/>
      <c r="K10" s="657"/>
      <c r="L10" s="657"/>
      <c r="M10" s="681"/>
    </row>
    <row r="11" spans="1:13" s="208" customFormat="1" x14ac:dyDescent="0.25">
      <c r="A11" s="516">
        <v>7</v>
      </c>
      <c r="B11" s="275">
        <v>4054991970</v>
      </c>
      <c r="C11" s="667"/>
      <c r="D11" s="613" t="s">
        <v>12</v>
      </c>
      <c r="E11" s="353"/>
      <c r="F11" s="353"/>
      <c r="G11" s="323" t="str">
        <f t="shared" si="0"/>
        <v>Rétiré tardivement-30000FCFAamende</v>
      </c>
      <c r="H11" s="657" t="s">
        <v>2106</v>
      </c>
      <c r="I11" s="658">
        <v>46070</v>
      </c>
      <c r="J11" s="657"/>
      <c r="K11" s="657"/>
      <c r="L11" s="657" t="s">
        <v>2098</v>
      </c>
      <c r="M11" s="681"/>
    </row>
    <row r="12" spans="1:13" s="208" customFormat="1" ht="15" x14ac:dyDescent="0.25">
      <c r="E12" s="105"/>
      <c r="I12"/>
      <c r="J12" s="654"/>
      <c r="K12"/>
      <c r="L12"/>
      <c r="M12"/>
    </row>
    <row r="13" spans="1:13" s="208" customFormat="1" ht="15" x14ac:dyDescent="0.25">
      <c r="E13" s="105"/>
      <c r="I13"/>
      <c r="J13" s="654"/>
      <c r="K13"/>
      <c r="L13"/>
      <c r="M13"/>
    </row>
    <row r="14" spans="1:13" s="208" customFormat="1" ht="15" x14ac:dyDescent="0.25">
      <c r="B14"/>
      <c r="E14" s="105"/>
      <c r="I14"/>
      <c r="J14" s="654"/>
      <c r="K14"/>
      <c r="L14"/>
      <c r="M14"/>
    </row>
    <row r="15" spans="1:13" s="208" customFormat="1" ht="15" x14ac:dyDescent="0.25">
      <c r="E15" s="105"/>
      <c r="I15"/>
      <c r="J15" s="654"/>
      <c r="K15"/>
      <c r="L15"/>
      <c r="M15"/>
    </row>
    <row r="16" spans="1:13" s="208" customFormat="1" ht="15" x14ac:dyDescent="0.25">
      <c r="E16" s="105"/>
      <c r="I16"/>
      <c r="J16" s="654"/>
      <c r="K16"/>
      <c r="L16"/>
      <c r="M16"/>
    </row>
  </sheetData>
  <autoFilter ref="A4:M8" xr:uid="{682D34AD-08D1-44C3-B410-EE1FDFA313B1}">
    <sortState xmlns:xlrd2="http://schemas.microsoft.com/office/spreadsheetml/2017/richdata2" ref="A5:M8">
      <sortCondition ref="D4:D8"/>
    </sortState>
  </autoFilter>
  <mergeCells count="1">
    <mergeCell ref="G1:I1"/>
  </mergeCells>
  <conditionalFormatting sqref="B5:B11">
    <cfRule type="duplicateValues" dxfId="1495" priority="7"/>
  </conditionalFormatting>
  <conditionalFormatting sqref="B17:B1048576 B1:B4">
    <cfRule type="duplicateValues" dxfId="1494" priority="4"/>
    <cfRule type="duplicateValues" dxfId="1493" priority="5"/>
    <cfRule type="duplicateValues" dxfId="1492" priority="6"/>
  </conditionalFormatting>
  <conditionalFormatting sqref="B17:B1048576 B1:B11">
    <cfRule type="duplicateValues" dxfId="1491" priority="1"/>
  </conditionalFormatting>
  <conditionalFormatting sqref="B5:D11 G5:G11">
    <cfRule type="containsText" dxfId="1490" priority="2" operator="containsText" text="En Attente d'un Retrait Tardif">
      <formula>NOT(ISERROR(SEARCH("En Attente d'un Retrait Tardif",B5)))</formula>
    </cfRule>
    <cfRule type="containsText" dxfId="1489" priority="3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9FA2-3FA9-4889-B932-83175E6C7FDD}">
  <sheetPr>
    <tabColor rgb="FFFFFF00"/>
  </sheetPr>
  <dimension ref="A1:M28"/>
  <sheetViews>
    <sheetView zoomScaleNormal="100" workbookViewId="0">
      <pane ySplit="4" topLeftCell="A5" activePane="bottomLeft" state="frozen"/>
      <selection pane="bottomLeft" activeCell="H12" sqref="H12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13" ht="19.5" thickBot="1" x14ac:dyDescent="0.35">
      <c r="A1" s="348" t="s">
        <v>2033</v>
      </c>
      <c r="B1" s="431"/>
      <c r="C1" s="431"/>
      <c r="D1" s="288"/>
      <c r="E1" s="631"/>
      <c r="F1" s="288"/>
      <c r="G1" s="729"/>
      <c r="H1" s="729"/>
      <c r="I1" s="729"/>
    </row>
    <row r="2" spans="1:13" ht="24" thickBot="1" x14ac:dyDescent="0.3">
      <c r="A2" s="618" t="s">
        <v>0</v>
      </c>
      <c r="B2" s="638"/>
      <c r="C2" s="24"/>
      <c r="D2" s="25"/>
      <c r="E2" s="358">
        <f ca="1">I2-G2</f>
        <v>36</v>
      </c>
      <c r="F2" s="25"/>
      <c r="G2" s="314">
        <v>46060</v>
      </c>
      <c r="H2" s="365">
        <f ca="1">I2-G2</f>
        <v>36</v>
      </c>
      <c r="I2" s="315">
        <f ca="1">TODAY()</f>
        <v>46096</v>
      </c>
      <c r="J2" s="655"/>
    </row>
    <row r="3" spans="1:13" ht="16.5" thickBot="1" x14ac:dyDescent="0.3">
      <c r="D3" s="633"/>
      <c r="E3" s="632"/>
      <c r="F3" s="633"/>
      <c r="G3" s="105"/>
      <c r="H3" s="105"/>
      <c r="I3" s="208"/>
    </row>
    <row r="4" spans="1:13" ht="19.5" customHeight="1" x14ac:dyDescent="0.25">
      <c r="A4" s="682" t="s">
        <v>1</v>
      </c>
      <c r="B4" s="683" t="s">
        <v>2</v>
      </c>
      <c r="C4" s="684" t="s">
        <v>3</v>
      </c>
      <c r="D4" s="684" t="s">
        <v>5</v>
      </c>
      <c r="E4" s="684" t="s">
        <v>1065</v>
      </c>
      <c r="F4" s="684" t="s">
        <v>1066</v>
      </c>
      <c r="G4" s="684" t="s">
        <v>1067</v>
      </c>
      <c r="H4" s="684" t="s">
        <v>167</v>
      </c>
      <c r="I4" s="685" t="s">
        <v>1068</v>
      </c>
      <c r="J4" s="656" t="s">
        <v>8</v>
      </c>
      <c r="K4" s="686" t="s">
        <v>9</v>
      </c>
      <c r="L4" s="684" t="s">
        <v>10</v>
      </c>
      <c r="M4" s="685" t="s">
        <v>11</v>
      </c>
    </row>
    <row r="5" spans="1:13" ht="22.5" customHeight="1" x14ac:dyDescent="0.25">
      <c r="A5" s="516">
        <v>1</v>
      </c>
      <c r="B5" s="275">
        <v>2165609320</v>
      </c>
      <c r="C5" s="366" t="s">
        <v>2034</v>
      </c>
      <c r="D5" s="613" t="s">
        <v>1838</v>
      </c>
      <c r="E5" s="353" t="s">
        <v>17</v>
      </c>
      <c r="F5" s="353" t="s">
        <v>45</v>
      </c>
      <c r="G5" s="323" t="str">
        <f t="shared" ref="G5:G8" ca="1" si="0">IF(I5="",IF($E$2&lt;=15,"En attente de Retrait","En Attente d'un Retrait Tardif"),IF(I5-$G$2&lt;=15,"Rétiré dans les délais",IF(I5-$G$2&gt;15,"Rétiré tardivement-30000FCFAamende")))</f>
        <v>En Attente d'un Retrait Tardif</v>
      </c>
      <c r="H5" s="657"/>
      <c r="I5" s="658"/>
      <c r="J5" s="657"/>
      <c r="K5" s="657"/>
      <c r="L5" s="657"/>
      <c r="M5" s="681"/>
    </row>
    <row r="6" spans="1:13" ht="22.5" customHeight="1" x14ac:dyDescent="0.25">
      <c r="A6" s="516">
        <v>2</v>
      </c>
      <c r="B6" s="275">
        <v>2165608840</v>
      </c>
      <c r="C6" s="366" t="s">
        <v>2035</v>
      </c>
      <c r="D6" s="613" t="s">
        <v>1838</v>
      </c>
      <c r="E6" s="353" t="s">
        <v>17</v>
      </c>
      <c r="F6" s="353" t="s">
        <v>45</v>
      </c>
      <c r="G6" s="323" t="str">
        <f t="shared" ca="1" si="0"/>
        <v>En Attente d'un Retrait Tardif</v>
      </c>
      <c r="H6" s="657"/>
      <c r="I6" s="658"/>
      <c r="J6" s="657"/>
      <c r="K6" s="657"/>
      <c r="L6" s="657"/>
      <c r="M6" s="681"/>
    </row>
    <row r="7" spans="1:13" ht="22.5" customHeight="1" x14ac:dyDescent="0.25">
      <c r="A7" s="516">
        <v>3</v>
      </c>
      <c r="B7" s="275">
        <v>4055006080</v>
      </c>
      <c r="C7" s="366" t="s">
        <v>2036</v>
      </c>
      <c r="D7" s="613" t="s">
        <v>2037</v>
      </c>
      <c r="E7" s="353" t="s">
        <v>17</v>
      </c>
      <c r="F7" s="353" t="s">
        <v>13</v>
      </c>
      <c r="G7" s="323" t="str">
        <f t="shared" si="0"/>
        <v>Rétiré dans les délais</v>
      </c>
      <c r="H7" s="657" t="s">
        <v>2101</v>
      </c>
      <c r="I7" s="658">
        <v>46069</v>
      </c>
      <c r="J7" s="657"/>
      <c r="K7" s="657"/>
      <c r="L7" s="657"/>
      <c r="M7" s="681"/>
    </row>
    <row r="8" spans="1:13" ht="22.5" customHeight="1" x14ac:dyDescent="0.25">
      <c r="A8" s="516">
        <v>4</v>
      </c>
      <c r="B8" s="275">
        <v>4054992210</v>
      </c>
      <c r="C8" s="366" t="s">
        <v>2115</v>
      </c>
      <c r="D8" s="613" t="s">
        <v>2116</v>
      </c>
      <c r="E8" s="353" t="s">
        <v>2117</v>
      </c>
      <c r="F8" s="353" t="s">
        <v>1772</v>
      </c>
      <c r="G8" s="323" t="str">
        <f t="shared" si="0"/>
        <v>Rétiré dans les délais</v>
      </c>
      <c r="H8" s="657" t="s">
        <v>2099</v>
      </c>
      <c r="I8" s="658">
        <v>46070</v>
      </c>
      <c r="J8" s="657"/>
      <c r="K8" s="657"/>
      <c r="L8" s="657"/>
      <c r="M8" s="681"/>
    </row>
    <row r="10" spans="1:13" s="208" customFormat="1" ht="15" x14ac:dyDescent="0.25">
      <c r="B10"/>
      <c r="E10" s="105"/>
      <c r="I10"/>
      <c r="J10" s="654"/>
      <c r="K10"/>
      <c r="L10"/>
      <c r="M10"/>
    </row>
    <row r="11" spans="1:13" s="208" customFormat="1" ht="15" x14ac:dyDescent="0.25">
      <c r="E11" s="105"/>
      <c r="I11"/>
      <c r="J11" s="654"/>
      <c r="K11"/>
      <c r="L11"/>
      <c r="M11"/>
    </row>
    <row r="12" spans="1:13" s="208" customFormat="1" ht="15" x14ac:dyDescent="0.25">
      <c r="E12" s="105"/>
      <c r="I12"/>
      <c r="J12" s="654"/>
      <c r="K12"/>
      <c r="L12"/>
      <c r="M12"/>
    </row>
    <row r="13" spans="1:13" s="208" customFormat="1" ht="15" x14ac:dyDescent="0.25">
      <c r="B13"/>
      <c r="E13" s="105"/>
      <c r="I13"/>
      <c r="J13" s="654"/>
      <c r="K13"/>
      <c r="L13"/>
      <c r="M13"/>
    </row>
    <row r="14" spans="1:13" s="208" customFormat="1" ht="15" x14ac:dyDescent="0.25">
      <c r="K14"/>
      <c r="L14"/>
      <c r="M14"/>
    </row>
    <row r="15" spans="1:13" s="208" customFormat="1" ht="15" x14ac:dyDescent="0.25">
      <c r="K15"/>
      <c r="L15"/>
      <c r="M15"/>
    </row>
    <row r="16" spans="1:13" x14ac:dyDescent="0.25">
      <c r="E16" s="208"/>
      <c r="I16" s="208"/>
      <c r="J16" s="208"/>
    </row>
    <row r="17" spans="5:10" x14ac:dyDescent="0.25">
      <c r="E17" s="208"/>
      <c r="I17" s="208"/>
      <c r="J17" s="208"/>
    </row>
    <row r="18" spans="5:10" x14ac:dyDescent="0.25">
      <c r="E18" s="208"/>
      <c r="I18" s="208"/>
      <c r="J18" s="208"/>
    </row>
    <row r="19" spans="5:10" x14ac:dyDescent="0.25">
      <c r="E19" s="208"/>
      <c r="I19" s="208"/>
      <c r="J19" s="208"/>
    </row>
    <row r="20" spans="5:10" x14ac:dyDescent="0.25">
      <c r="E20" s="208"/>
      <c r="I20" s="208"/>
      <c r="J20" s="208"/>
    </row>
    <row r="21" spans="5:10" x14ac:dyDescent="0.25">
      <c r="E21" s="208"/>
      <c r="I21" s="208"/>
      <c r="J21" s="208"/>
    </row>
    <row r="22" spans="5:10" x14ac:dyDescent="0.25">
      <c r="E22" s="208"/>
      <c r="I22" s="208"/>
      <c r="J22" s="208"/>
    </row>
    <row r="23" spans="5:10" x14ac:dyDescent="0.25">
      <c r="E23" s="208"/>
      <c r="I23" s="208"/>
      <c r="J23" s="208"/>
    </row>
    <row r="24" spans="5:10" x14ac:dyDescent="0.25">
      <c r="E24" s="208"/>
      <c r="I24" s="208"/>
      <c r="J24" s="208"/>
    </row>
    <row r="25" spans="5:10" x14ac:dyDescent="0.25">
      <c r="E25" s="208"/>
      <c r="I25" s="208"/>
      <c r="J25" s="208"/>
    </row>
    <row r="26" spans="5:10" x14ac:dyDescent="0.25">
      <c r="E26" s="208"/>
      <c r="I26" s="208"/>
      <c r="J26" s="208"/>
    </row>
    <row r="27" spans="5:10" x14ac:dyDescent="0.25">
      <c r="E27" s="208"/>
      <c r="I27" s="208"/>
      <c r="J27" s="208"/>
    </row>
    <row r="28" spans="5:10" x14ac:dyDescent="0.25">
      <c r="E28" s="208"/>
      <c r="I28" s="208"/>
      <c r="J28" s="208"/>
    </row>
  </sheetData>
  <autoFilter ref="A4:M7" xr:uid="{682D34AD-08D1-44C3-B410-EE1FDFA313B1}">
    <sortState xmlns:xlrd2="http://schemas.microsoft.com/office/spreadsheetml/2017/richdata2" ref="A5:M7">
      <sortCondition ref="D4:D7"/>
    </sortState>
  </autoFilter>
  <mergeCells count="1">
    <mergeCell ref="G1:I1"/>
  </mergeCells>
  <conditionalFormatting sqref="B5:B8">
    <cfRule type="duplicateValues" dxfId="1488" priority="2331"/>
  </conditionalFormatting>
  <conditionalFormatting sqref="B16:B1048576 B1:B9">
    <cfRule type="duplicateValues" dxfId="1487" priority="1"/>
  </conditionalFormatting>
  <conditionalFormatting sqref="B16:B1048576 B9 B1:B4">
    <cfRule type="duplicateValues" dxfId="1486" priority="4"/>
    <cfRule type="duplicateValues" dxfId="1485" priority="5"/>
    <cfRule type="duplicateValues" dxfId="1484" priority="6"/>
  </conditionalFormatting>
  <conditionalFormatting sqref="B5:D8 G5:G8">
    <cfRule type="containsText" dxfId="1483" priority="2" operator="containsText" text="En Attente d'un Retrait Tardif">
      <formula>NOT(ISERROR(SEARCH("En Attente d'un Retrait Tardif",B5)))</formula>
    </cfRule>
    <cfRule type="containsText" dxfId="1482" priority="3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6E78-662F-4555-A75D-51F7C7D47FDE}">
  <sheetPr>
    <tabColor rgb="FFFFFF00"/>
  </sheetPr>
  <dimension ref="A1:BN31"/>
  <sheetViews>
    <sheetView zoomScaleNormal="100" workbookViewId="0">
      <pane ySplit="4" topLeftCell="A5" activePane="bottomLeft" state="frozen"/>
      <selection pane="bottomLeft" activeCell="D19" sqref="D19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66" ht="19.5" thickBot="1" x14ac:dyDescent="0.35">
      <c r="A1" s="348" t="s">
        <v>2019</v>
      </c>
      <c r="B1" s="431"/>
      <c r="C1" s="431"/>
      <c r="D1" s="288"/>
      <c r="E1" s="631"/>
      <c r="F1" s="288"/>
      <c r="G1" s="729"/>
      <c r="H1" s="729"/>
      <c r="I1" s="729"/>
    </row>
    <row r="2" spans="1:66" ht="24" thickBot="1" x14ac:dyDescent="0.3">
      <c r="A2" s="618" t="s">
        <v>0</v>
      </c>
      <c r="B2" s="638"/>
      <c r="C2" s="24"/>
      <c r="D2" s="25"/>
      <c r="E2" s="358">
        <f ca="1">I2-G2</f>
        <v>37</v>
      </c>
      <c r="F2" s="25"/>
      <c r="G2" s="314">
        <v>46059</v>
      </c>
      <c r="H2" s="365">
        <f ca="1">I2-G2</f>
        <v>37</v>
      </c>
      <c r="I2" s="315">
        <f ca="1">TODAY()</f>
        <v>46096</v>
      </c>
      <c r="J2" s="655"/>
    </row>
    <row r="3" spans="1:66" x14ac:dyDescent="0.25">
      <c r="D3" s="633"/>
      <c r="E3" s="632"/>
      <c r="F3" s="633"/>
      <c r="G3" s="105"/>
      <c r="H3" s="105"/>
      <c r="I3" s="208"/>
    </row>
    <row r="4" spans="1:66" ht="19.5" customHeight="1" x14ac:dyDescent="0.25">
      <c r="A4" s="501" t="s">
        <v>1</v>
      </c>
      <c r="B4" s="704" t="s">
        <v>2</v>
      </c>
      <c r="C4" s="501" t="s">
        <v>3</v>
      </c>
      <c r="D4" s="501" t="s">
        <v>5</v>
      </c>
      <c r="E4" s="501" t="s">
        <v>1065</v>
      </c>
      <c r="F4" s="501" t="s">
        <v>1066</v>
      </c>
      <c r="G4" s="501" t="s">
        <v>1067</v>
      </c>
      <c r="H4" s="501" t="s">
        <v>167</v>
      </c>
      <c r="I4" s="501" t="s">
        <v>1068</v>
      </c>
      <c r="J4" s="705" t="s">
        <v>8</v>
      </c>
      <c r="K4" s="501" t="s">
        <v>9</v>
      </c>
      <c r="L4" s="501" t="s">
        <v>10</v>
      </c>
      <c r="M4" s="501" t="s">
        <v>11</v>
      </c>
    </row>
    <row r="5" spans="1:66" ht="20.25" customHeight="1" x14ac:dyDescent="0.25">
      <c r="A5" s="516">
        <v>1</v>
      </c>
      <c r="B5" s="275">
        <v>4054936230</v>
      </c>
      <c r="C5" s="706" t="s">
        <v>26</v>
      </c>
      <c r="D5" s="353" t="s">
        <v>1956</v>
      </c>
      <c r="E5" s="353" t="s">
        <v>17</v>
      </c>
      <c r="F5" s="323" t="s">
        <v>1772</v>
      </c>
      <c r="G5" s="275" t="str">
        <f t="shared" ref="G5:G25" si="0">IF(I5="",IF($E$2&lt;=15,"En attente de Retrait","En Attente d'un Retrait Tardif"),IF(I5-$G$2&lt;=15,"Rétiré dans les délais",IF(I5-$G$2&gt;15,"Rétiré tardivement-30000FCFAamende")))</f>
        <v>Rétiré dans les délais</v>
      </c>
      <c r="H5" s="658" t="s">
        <v>2001</v>
      </c>
      <c r="I5" s="658">
        <v>46027</v>
      </c>
      <c r="J5" s="657"/>
      <c r="K5" s="657"/>
      <c r="L5" s="657"/>
      <c r="M5" s="275"/>
    </row>
    <row r="6" spans="1:66" s="691" customFormat="1" ht="20.25" customHeight="1" x14ac:dyDescent="0.25">
      <c r="A6" s="516">
        <v>2</v>
      </c>
      <c r="B6" s="275">
        <v>2316660270</v>
      </c>
      <c r="C6" s="706" t="s">
        <v>24</v>
      </c>
      <c r="D6" s="353" t="s">
        <v>1796</v>
      </c>
      <c r="E6" s="353" t="s">
        <v>17</v>
      </c>
      <c r="F6" s="323" t="s">
        <v>1772</v>
      </c>
      <c r="G6" s="275" t="str">
        <f t="shared" si="0"/>
        <v>Rétiré dans les délais</v>
      </c>
      <c r="H6" s="658" t="s">
        <v>2004</v>
      </c>
      <c r="I6" s="658">
        <v>46027</v>
      </c>
      <c r="J6" s="657"/>
      <c r="K6" s="657"/>
      <c r="L6" s="657"/>
      <c r="M6" s="275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66" ht="20.25" customHeight="1" x14ac:dyDescent="0.25">
      <c r="A7" s="516">
        <v>3</v>
      </c>
      <c r="B7" s="275">
        <v>2315160110</v>
      </c>
      <c r="C7" s="706" t="s">
        <v>24</v>
      </c>
      <c r="D7" s="353" t="s">
        <v>1796</v>
      </c>
      <c r="E7" s="353" t="s">
        <v>17</v>
      </c>
      <c r="F7" s="323" t="s">
        <v>1757</v>
      </c>
      <c r="G7" s="275" t="str">
        <f t="shared" si="0"/>
        <v>Rétiré dans les délais</v>
      </c>
      <c r="H7" s="658" t="s">
        <v>2003</v>
      </c>
      <c r="I7" s="658">
        <v>46027</v>
      </c>
      <c r="J7" s="657"/>
      <c r="K7" s="657"/>
      <c r="L7" s="657"/>
      <c r="M7" s="275"/>
    </row>
    <row r="8" spans="1:66" s="691" customFormat="1" ht="20.25" customHeight="1" x14ac:dyDescent="0.25">
      <c r="A8" s="516">
        <v>4</v>
      </c>
      <c r="B8" s="275">
        <v>2316660470</v>
      </c>
      <c r="C8" s="706" t="s">
        <v>26</v>
      </c>
      <c r="D8" s="353" t="s">
        <v>1796</v>
      </c>
      <c r="E8" s="353" t="s">
        <v>17</v>
      </c>
      <c r="F8" s="323" t="s">
        <v>1772</v>
      </c>
      <c r="G8" s="275" t="str">
        <f t="shared" si="0"/>
        <v>Rétiré dans les délais</v>
      </c>
      <c r="H8" s="658" t="s">
        <v>2002</v>
      </c>
      <c r="I8" s="658">
        <v>46027</v>
      </c>
      <c r="J8" s="657"/>
      <c r="K8" s="657"/>
      <c r="L8" s="657"/>
      <c r="M8" s="275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spans="1:66" ht="20.25" customHeight="1" x14ac:dyDescent="0.25">
      <c r="A9" s="516">
        <v>5</v>
      </c>
      <c r="B9" s="275">
        <v>4054946960</v>
      </c>
      <c r="C9" s="698" t="s">
        <v>24</v>
      </c>
      <c r="D9" s="613" t="s">
        <v>12</v>
      </c>
      <c r="E9" s="353" t="s">
        <v>17</v>
      </c>
      <c r="F9" s="353" t="s">
        <v>1772</v>
      </c>
      <c r="G9" s="275" t="str">
        <f t="shared" si="0"/>
        <v>Rétiré dans les délais</v>
      </c>
      <c r="H9" s="657" t="s">
        <v>1992</v>
      </c>
      <c r="I9" s="658">
        <v>46022</v>
      </c>
      <c r="J9" s="657">
        <v>0</v>
      </c>
      <c r="K9" s="657"/>
      <c r="L9" s="657"/>
      <c r="M9" s="657"/>
    </row>
    <row r="10" spans="1:66" ht="20.25" customHeight="1" x14ac:dyDescent="0.25">
      <c r="A10" s="516">
        <v>6</v>
      </c>
      <c r="B10" s="275">
        <v>4054946970</v>
      </c>
      <c r="C10" s="698" t="s">
        <v>24</v>
      </c>
      <c r="D10" s="613" t="s">
        <v>12</v>
      </c>
      <c r="E10" s="353" t="s">
        <v>17</v>
      </c>
      <c r="F10" s="353" t="s">
        <v>1772</v>
      </c>
      <c r="G10" s="275" t="str">
        <f t="shared" si="0"/>
        <v>Rétiré dans les délais</v>
      </c>
      <c r="H10" s="657" t="s">
        <v>1991</v>
      </c>
      <c r="I10" s="658">
        <v>46022</v>
      </c>
      <c r="J10" s="657">
        <v>0</v>
      </c>
      <c r="K10" s="657"/>
      <c r="L10" s="657"/>
      <c r="M10" s="657"/>
    </row>
    <row r="11" spans="1:66" ht="20.25" customHeight="1" x14ac:dyDescent="0.25">
      <c r="A11" s="516">
        <v>7</v>
      </c>
      <c r="B11" s="275">
        <v>4054932820</v>
      </c>
      <c r="C11" s="698" t="s">
        <v>24</v>
      </c>
      <c r="D11" s="613" t="s">
        <v>12</v>
      </c>
      <c r="E11" s="353" t="s">
        <v>17</v>
      </c>
      <c r="F11" s="353" t="s">
        <v>1772</v>
      </c>
      <c r="G11" s="275" t="str">
        <f t="shared" si="0"/>
        <v>Rétiré dans les délais</v>
      </c>
      <c r="H11" s="657" t="s">
        <v>1990</v>
      </c>
      <c r="I11" s="658">
        <v>46022</v>
      </c>
      <c r="J11" s="657">
        <v>0</v>
      </c>
      <c r="K11" s="657"/>
      <c r="L11" s="657"/>
      <c r="M11" s="657"/>
    </row>
    <row r="12" spans="1:66" ht="20.25" customHeight="1" x14ac:dyDescent="0.25">
      <c r="A12" s="516">
        <v>8</v>
      </c>
      <c r="B12" s="275">
        <v>4054932850</v>
      </c>
      <c r="C12" s="698" t="s">
        <v>26</v>
      </c>
      <c r="D12" s="613" t="s">
        <v>12</v>
      </c>
      <c r="E12" s="353" t="s">
        <v>17</v>
      </c>
      <c r="F12" s="353" t="s">
        <v>1772</v>
      </c>
      <c r="G12" s="275" t="str">
        <f t="shared" si="0"/>
        <v>Rétiré dans les délais</v>
      </c>
      <c r="H12" s="657" t="s">
        <v>1989</v>
      </c>
      <c r="I12" s="658">
        <v>46022</v>
      </c>
      <c r="J12" s="657">
        <v>0</v>
      </c>
      <c r="K12" s="657"/>
      <c r="L12" s="657"/>
      <c r="M12" s="657"/>
    </row>
    <row r="13" spans="1:66" ht="20.25" customHeight="1" x14ac:dyDescent="0.25">
      <c r="A13" s="516">
        <v>11</v>
      </c>
      <c r="B13" s="275">
        <v>4054913680</v>
      </c>
      <c r="C13" s="698" t="s">
        <v>2021</v>
      </c>
      <c r="D13" s="613" t="s">
        <v>2023</v>
      </c>
      <c r="E13" s="353" t="s">
        <v>2028</v>
      </c>
      <c r="F13" s="353" t="s">
        <v>1772</v>
      </c>
      <c r="G13" s="275" t="str">
        <f ca="1">IF(I13="",IF($E$2&lt;=15,"En attente de Retrait","En Attente d'un Retrait Tardif"),IF(I13-$G$2&lt;=15,"Rétiré dans les délais",IF(I13-$G$2&gt;15,"Rétiré tardivement-30000FCFAamende")))</f>
        <v>En Attente d'un Retrait Tardif</v>
      </c>
      <c r="H13" s="657"/>
      <c r="I13" s="658"/>
      <c r="J13" s="657"/>
      <c r="K13" s="657"/>
      <c r="L13" s="657"/>
      <c r="M13" s="657"/>
    </row>
    <row r="14" spans="1:66" ht="20.25" customHeight="1" x14ac:dyDescent="0.25">
      <c r="A14" s="516">
        <v>9</v>
      </c>
      <c r="B14" s="339">
        <v>4055001540</v>
      </c>
      <c r="C14" s="698" t="s">
        <v>2020</v>
      </c>
      <c r="D14" s="613" t="s">
        <v>1100</v>
      </c>
      <c r="E14" s="353" t="s">
        <v>17</v>
      </c>
      <c r="F14" s="353" t="s">
        <v>1772</v>
      </c>
      <c r="G14" s="275" t="str">
        <f t="shared" si="0"/>
        <v>Rétiré dans les délais</v>
      </c>
      <c r="H14" s="657" t="s">
        <v>2105</v>
      </c>
      <c r="I14" s="658">
        <v>46070</v>
      </c>
      <c r="J14" s="657"/>
      <c r="K14" s="657"/>
      <c r="L14" s="657" t="s">
        <v>2097</v>
      </c>
      <c r="M14" s="657"/>
    </row>
    <row r="15" spans="1:66" ht="20.25" customHeight="1" x14ac:dyDescent="0.25">
      <c r="A15" s="516">
        <v>10</v>
      </c>
      <c r="B15" s="339">
        <v>4055001530</v>
      </c>
      <c r="C15" s="698" t="s">
        <v>2020</v>
      </c>
      <c r="D15" s="613" t="s">
        <v>1100</v>
      </c>
      <c r="E15" s="353" t="s">
        <v>17</v>
      </c>
      <c r="F15" s="353" t="s">
        <v>1772</v>
      </c>
      <c r="G15" s="275" t="str">
        <f t="shared" si="0"/>
        <v>Rétiré dans les délais</v>
      </c>
      <c r="H15" s="657" t="s">
        <v>2104</v>
      </c>
      <c r="I15" s="658">
        <v>46070</v>
      </c>
      <c r="J15" s="657"/>
      <c r="K15" s="657"/>
      <c r="L15" s="657" t="s">
        <v>2097</v>
      </c>
      <c r="M15" s="657"/>
    </row>
    <row r="16" spans="1:66" ht="20.25" customHeight="1" x14ac:dyDescent="0.25">
      <c r="A16" s="516">
        <v>12</v>
      </c>
      <c r="B16" s="339">
        <v>4054913640</v>
      </c>
      <c r="C16" s="698" t="s">
        <v>2021</v>
      </c>
      <c r="D16" s="613" t="s">
        <v>2023</v>
      </c>
      <c r="E16" s="353" t="s">
        <v>2028</v>
      </c>
      <c r="F16" s="353" t="s">
        <v>1772</v>
      </c>
      <c r="G16" s="275" t="str">
        <f t="shared" si="0"/>
        <v>Rétiré tardivement-30000FCFAamende</v>
      </c>
      <c r="H16" s="657" t="s">
        <v>2148</v>
      </c>
      <c r="I16" s="658">
        <v>46077</v>
      </c>
      <c r="J16" s="657">
        <v>1600000</v>
      </c>
      <c r="K16" s="657"/>
      <c r="L16" s="657"/>
      <c r="M16" s="657"/>
    </row>
    <row r="17" spans="1:13" ht="20.25" customHeight="1" x14ac:dyDescent="0.25">
      <c r="A17" s="516">
        <v>13</v>
      </c>
      <c r="B17" s="339">
        <v>2165424270</v>
      </c>
      <c r="C17" s="698" t="s">
        <v>448</v>
      </c>
      <c r="D17" s="613" t="s">
        <v>1959</v>
      </c>
      <c r="E17" s="353"/>
      <c r="F17" s="353" t="s">
        <v>1772</v>
      </c>
      <c r="G17" s="275" t="str">
        <f t="shared" si="0"/>
        <v>Rétiré dans les délais</v>
      </c>
      <c r="H17" s="657" t="s">
        <v>2029</v>
      </c>
      <c r="I17" s="658">
        <v>46064</v>
      </c>
      <c r="J17" s="657"/>
      <c r="K17" s="657"/>
      <c r="L17" s="657"/>
      <c r="M17" s="657"/>
    </row>
    <row r="18" spans="1:13" ht="20.25" customHeight="1" x14ac:dyDescent="0.25">
      <c r="A18" s="516">
        <v>14</v>
      </c>
      <c r="B18" s="339">
        <v>4054991760</v>
      </c>
      <c r="C18" s="698" t="s">
        <v>2022</v>
      </c>
      <c r="D18" s="613" t="s">
        <v>265</v>
      </c>
      <c r="E18" s="353"/>
      <c r="F18" s="353" t="s">
        <v>1772</v>
      </c>
      <c r="G18" s="275" t="str">
        <f t="shared" si="0"/>
        <v>Rétiré dans les délais</v>
      </c>
      <c r="H18" s="657" t="s">
        <v>2118</v>
      </c>
      <c r="I18" s="658">
        <v>46071</v>
      </c>
      <c r="J18" s="657"/>
      <c r="K18" s="657"/>
      <c r="L18" s="657"/>
      <c r="M18" s="657"/>
    </row>
    <row r="19" spans="1:13" ht="20.25" customHeight="1" x14ac:dyDescent="0.25">
      <c r="A19" s="516">
        <v>15</v>
      </c>
      <c r="B19" s="339">
        <v>4054991120</v>
      </c>
      <c r="C19" s="698" t="s">
        <v>448</v>
      </c>
      <c r="D19" s="613" t="s">
        <v>2024</v>
      </c>
      <c r="E19" s="353"/>
      <c r="F19" s="353" t="s">
        <v>1772</v>
      </c>
      <c r="G19" s="275" t="str">
        <f t="shared" si="0"/>
        <v>Rétiré dans les délais</v>
      </c>
      <c r="H19" s="657" t="s">
        <v>2031</v>
      </c>
      <c r="I19" s="658">
        <v>46064</v>
      </c>
      <c r="J19" s="657"/>
      <c r="K19" s="657"/>
      <c r="L19" s="657"/>
      <c r="M19" s="657"/>
    </row>
    <row r="20" spans="1:13" ht="20.25" customHeight="1" x14ac:dyDescent="0.25">
      <c r="A20" s="516">
        <v>16</v>
      </c>
      <c r="B20" s="339">
        <v>4054991160</v>
      </c>
      <c r="C20" s="698" t="s">
        <v>448</v>
      </c>
      <c r="D20" s="613" t="s">
        <v>2024</v>
      </c>
      <c r="E20" s="353"/>
      <c r="F20" s="353" t="s">
        <v>1772</v>
      </c>
      <c r="G20" s="275" t="str">
        <f t="shared" si="0"/>
        <v>Rétiré dans les délais</v>
      </c>
      <c r="H20" s="657" t="s">
        <v>2030</v>
      </c>
      <c r="I20" s="658">
        <v>46064</v>
      </c>
      <c r="J20" s="657"/>
      <c r="K20" s="657"/>
      <c r="L20" s="657"/>
      <c r="M20" s="657"/>
    </row>
    <row r="21" spans="1:13" ht="20.25" customHeight="1" x14ac:dyDescent="0.25">
      <c r="A21" s="516">
        <v>17</v>
      </c>
      <c r="B21" s="339">
        <v>4055000110</v>
      </c>
      <c r="C21" s="698" t="s">
        <v>2020</v>
      </c>
      <c r="D21" s="613" t="s">
        <v>2025</v>
      </c>
      <c r="E21" s="353" t="s">
        <v>2028</v>
      </c>
      <c r="F21" s="353" t="s">
        <v>1772</v>
      </c>
      <c r="G21" s="275" t="str">
        <f t="shared" si="0"/>
        <v>Rétiré tardivement-30000FCFAamende</v>
      </c>
      <c r="H21" s="657" t="s">
        <v>2147</v>
      </c>
      <c r="I21" s="658">
        <v>46077</v>
      </c>
      <c r="J21" s="657"/>
      <c r="K21" s="657"/>
      <c r="L21" s="657"/>
      <c r="M21" s="657"/>
    </row>
    <row r="22" spans="1:13" ht="20.25" customHeight="1" x14ac:dyDescent="0.25">
      <c r="A22" s="516">
        <v>18</v>
      </c>
      <c r="B22" s="339">
        <v>2318847800</v>
      </c>
      <c r="C22" s="698" t="s">
        <v>1796</v>
      </c>
      <c r="D22" s="613" t="s">
        <v>2026</v>
      </c>
      <c r="E22" s="353"/>
      <c r="F22" s="353" t="s">
        <v>1772</v>
      </c>
      <c r="G22" s="275" t="str">
        <f t="shared" si="0"/>
        <v>Rétiré dans les délais</v>
      </c>
      <c r="H22" s="657" t="s">
        <v>2032</v>
      </c>
      <c r="I22" s="658">
        <v>46064</v>
      </c>
      <c r="J22" s="657"/>
      <c r="K22" s="657"/>
      <c r="L22" s="657"/>
      <c r="M22" s="657"/>
    </row>
    <row r="23" spans="1:13" ht="20.25" customHeight="1" x14ac:dyDescent="0.25">
      <c r="A23" s="516">
        <v>19</v>
      </c>
      <c r="B23" s="339">
        <v>4054926922</v>
      </c>
      <c r="C23" s="698" t="s">
        <v>2020</v>
      </c>
      <c r="D23" s="613" t="s">
        <v>2027</v>
      </c>
      <c r="E23" s="353"/>
      <c r="F23" s="353" t="s">
        <v>1772</v>
      </c>
      <c r="G23" s="275" t="str">
        <f t="shared" ca="1" si="0"/>
        <v>En Attente d'un Retrait Tardif</v>
      </c>
      <c r="H23" s="657"/>
      <c r="I23" s="658"/>
      <c r="J23" s="657">
        <v>2800000</v>
      </c>
      <c r="K23" s="657"/>
      <c r="L23" s="657"/>
      <c r="M23" s="657"/>
    </row>
    <row r="24" spans="1:13" ht="20.25" customHeight="1" x14ac:dyDescent="0.25">
      <c r="A24" s="516">
        <v>20</v>
      </c>
      <c r="B24" s="339">
        <v>4054926928</v>
      </c>
      <c r="C24" s="698" t="s">
        <v>2020</v>
      </c>
      <c r="D24" s="613" t="s">
        <v>2027</v>
      </c>
      <c r="E24" s="353"/>
      <c r="F24" s="353" t="s">
        <v>1772</v>
      </c>
      <c r="G24" s="275" t="str">
        <f t="shared" ca="1" si="0"/>
        <v>En Attente d'un Retrait Tardif</v>
      </c>
      <c r="H24" s="657"/>
      <c r="I24" s="658"/>
      <c r="J24" s="657">
        <v>2240000</v>
      </c>
      <c r="K24" s="657"/>
      <c r="L24" s="657"/>
      <c r="M24" s="657"/>
    </row>
    <row r="25" spans="1:13" ht="20.25" customHeight="1" x14ac:dyDescent="0.25">
      <c r="A25" s="516">
        <v>21</v>
      </c>
      <c r="B25" s="339">
        <v>4054926929</v>
      </c>
      <c r="C25" s="698" t="s">
        <v>2020</v>
      </c>
      <c r="D25" s="613" t="s">
        <v>2027</v>
      </c>
      <c r="E25" s="353"/>
      <c r="F25" s="353" t="s">
        <v>1772</v>
      </c>
      <c r="G25" s="275" t="str">
        <f t="shared" ca="1" si="0"/>
        <v>En Attente d'un Retrait Tardif</v>
      </c>
      <c r="H25" s="657"/>
      <c r="I25" s="658"/>
      <c r="J25" s="657">
        <v>560000</v>
      </c>
      <c r="K25" s="657"/>
      <c r="L25" s="657"/>
      <c r="M25" s="657"/>
    </row>
    <row r="26" spans="1:13" s="208" customFormat="1" ht="15" x14ac:dyDescent="0.25">
      <c r="B26"/>
      <c r="E26" s="105"/>
      <c r="I26"/>
      <c r="J26" s="654"/>
      <c r="K26"/>
      <c r="L26"/>
      <c r="M26"/>
    </row>
    <row r="27" spans="1:13" s="208" customFormat="1" ht="15" x14ac:dyDescent="0.25">
      <c r="E27" s="105"/>
      <c r="I27"/>
      <c r="J27" s="654"/>
      <c r="K27"/>
      <c r="L27"/>
      <c r="M27"/>
    </row>
    <row r="28" spans="1:13" s="208" customFormat="1" ht="15" x14ac:dyDescent="0.25">
      <c r="E28" s="105"/>
      <c r="I28"/>
      <c r="J28" s="654"/>
      <c r="K28"/>
      <c r="L28"/>
      <c r="M28"/>
    </row>
    <row r="29" spans="1:13" s="208" customFormat="1" ht="15" x14ac:dyDescent="0.25">
      <c r="B29"/>
      <c r="E29" s="105"/>
      <c r="I29"/>
      <c r="J29" s="654"/>
      <c r="K29"/>
      <c r="L29"/>
      <c r="M29"/>
    </row>
    <row r="30" spans="1:13" s="208" customFormat="1" ht="15" x14ac:dyDescent="0.25">
      <c r="E30" s="105"/>
      <c r="I30"/>
      <c r="J30" s="654"/>
      <c r="K30"/>
      <c r="L30"/>
      <c r="M30"/>
    </row>
    <row r="31" spans="1:13" s="208" customFormat="1" ht="15" x14ac:dyDescent="0.25">
      <c r="E31" s="105"/>
      <c r="I31"/>
      <c r="J31" s="654"/>
      <c r="K31"/>
      <c r="L31"/>
      <c r="M31"/>
    </row>
  </sheetData>
  <autoFilter ref="A4:M23" xr:uid="{682D34AD-08D1-44C3-B410-EE1FDFA313B1}">
    <sortState xmlns:xlrd2="http://schemas.microsoft.com/office/spreadsheetml/2017/richdata2" ref="A5:M23">
      <sortCondition ref="D4:D23"/>
    </sortState>
  </autoFilter>
  <mergeCells count="1">
    <mergeCell ref="G1:I1"/>
  </mergeCells>
  <conditionalFormatting sqref="B5:B25">
    <cfRule type="duplicateValues" dxfId="1481" priority="2229"/>
  </conditionalFormatting>
  <conditionalFormatting sqref="B32:B1048576 B1:B4">
    <cfRule type="duplicateValues" dxfId="1480" priority="6"/>
    <cfRule type="duplicateValues" dxfId="1479" priority="7"/>
    <cfRule type="duplicateValues" dxfId="1478" priority="8"/>
  </conditionalFormatting>
  <conditionalFormatting sqref="B32:B1048576 B1:B25">
    <cfRule type="duplicateValues" dxfId="1477" priority="3"/>
  </conditionalFormatting>
  <conditionalFormatting sqref="B5:C8 B9:D25 M5:M8 F5:F8 G5:G25">
    <cfRule type="containsText" dxfId="1476" priority="4" operator="containsText" text="En Attente d'un Retrait Tardif">
      <formula>NOT(ISERROR(SEARCH("En Attente d'un Retrait Tardif",B5)))</formula>
    </cfRule>
  </conditionalFormatting>
  <conditionalFormatting sqref="B5:C8 F5:F8 M5:M8 G5:G25 B9:D25">
    <cfRule type="containsText" dxfId="1475" priority="5" operator="containsText" text="Rétiré dans les délais">
      <formula>NOT(ISERROR(SEARCH("Rétiré dans les délais",B5)))</formula>
    </cfRule>
  </conditionalFormatting>
  <conditionalFormatting sqref="M5:M8">
    <cfRule type="duplicateValues" dxfId="1474" priority="1"/>
    <cfRule type="duplicateValues" dxfId="1473" priority="2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34AD-08D1-44C3-B410-EE1FDFA313B1}">
  <sheetPr>
    <tabColor theme="2"/>
  </sheetPr>
  <dimension ref="A1:M40"/>
  <sheetViews>
    <sheetView tabSelected="1" zoomScaleNormal="100" workbookViewId="0">
      <pane ySplit="4" topLeftCell="A5" activePane="bottomLeft" state="frozen"/>
      <selection pane="bottomLeft" activeCell="B9" sqref="B9"/>
    </sheetView>
  </sheetViews>
  <sheetFormatPr baseColWidth="10" defaultRowHeight="15.75" x14ac:dyDescent="0.25"/>
  <cols>
    <col min="1" max="1" width="8.285156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13" ht="19.5" thickBot="1" x14ac:dyDescent="0.35">
      <c r="A1" s="348" t="s">
        <v>1957</v>
      </c>
      <c r="B1" s="431"/>
      <c r="C1" s="431"/>
      <c r="D1" s="288"/>
      <c r="E1" s="631"/>
      <c r="F1" s="288"/>
      <c r="G1" s="729"/>
      <c r="H1" s="729"/>
      <c r="I1" s="729"/>
    </row>
    <row r="2" spans="1:13" ht="24" thickBot="1" x14ac:dyDescent="0.3">
      <c r="A2" s="618" t="s">
        <v>0</v>
      </c>
      <c r="B2" s="638"/>
      <c r="C2" s="24"/>
      <c r="D2" s="25"/>
      <c r="E2" s="358">
        <f ca="1">I2-G2</f>
        <v>77</v>
      </c>
      <c r="F2" s="25"/>
      <c r="G2" s="314">
        <v>46019</v>
      </c>
      <c r="H2" s="365">
        <f ca="1">I2-G2</f>
        <v>77</v>
      </c>
      <c r="I2" s="315">
        <f ca="1">TODAY()</f>
        <v>46096</v>
      </c>
      <c r="J2" s="655"/>
    </row>
    <row r="3" spans="1:13" ht="16.5" thickBot="1" x14ac:dyDescent="0.3">
      <c r="D3" s="633"/>
      <c r="E3" s="632"/>
      <c r="F3" s="633"/>
      <c r="G3" s="105"/>
      <c r="H3" s="105"/>
      <c r="I3" s="208"/>
    </row>
    <row r="4" spans="1:13" ht="19.5" customHeight="1" x14ac:dyDescent="0.25">
      <c r="A4" s="682" t="s">
        <v>1</v>
      </c>
      <c r="B4" s="683" t="s">
        <v>2</v>
      </c>
      <c r="C4" s="684" t="s">
        <v>3</v>
      </c>
      <c r="D4" s="684" t="s">
        <v>5</v>
      </c>
      <c r="E4" s="684" t="s">
        <v>1065</v>
      </c>
      <c r="F4" s="684" t="s">
        <v>1066</v>
      </c>
      <c r="G4" s="684" t="s">
        <v>1067</v>
      </c>
      <c r="H4" s="684" t="s">
        <v>167</v>
      </c>
      <c r="I4" s="685" t="s">
        <v>1068</v>
      </c>
      <c r="J4" s="656" t="s">
        <v>8</v>
      </c>
      <c r="K4" s="686" t="s">
        <v>9</v>
      </c>
      <c r="L4" s="684" t="s">
        <v>10</v>
      </c>
      <c r="M4" s="685" t="s">
        <v>11</v>
      </c>
    </row>
    <row r="5" spans="1:13" ht="21.75" customHeight="1" x14ac:dyDescent="0.25">
      <c r="A5" s="516">
        <v>26</v>
      </c>
      <c r="B5" s="692">
        <v>4054936230</v>
      </c>
      <c r="C5" s="366" t="s">
        <v>26</v>
      </c>
      <c r="D5" s="613" t="s">
        <v>1956</v>
      </c>
      <c r="E5" s="353" t="s">
        <v>17</v>
      </c>
      <c r="F5" s="353" t="s">
        <v>1772</v>
      </c>
      <c r="G5" s="323" t="str">
        <f t="shared" ref="G5:G30" si="0">IF(I5="",IF($E$2&lt;=15,"En attente de Retrait","En Attente d'un Retrait Tardif"),IF(I5-$G$2&lt;=15,"Rétiré dans les délais",IF(I5-$G$2&gt;15,"Rétiré tardivement-30000FCFAamende")))</f>
        <v>Rétiré dans les délais</v>
      </c>
      <c r="H5" s="657" t="s">
        <v>2001</v>
      </c>
      <c r="I5" s="658">
        <v>46027</v>
      </c>
      <c r="J5" s="657"/>
      <c r="K5" s="657"/>
      <c r="L5" s="657"/>
      <c r="M5" s="657"/>
    </row>
    <row r="6" spans="1:13" s="691" customFormat="1" ht="21.75" customHeight="1" x14ac:dyDescent="0.25">
      <c r="A6" s="339">
        <v>23</v>
      </c>
      <c r="B6" s="339">
        <v>2316660270</v>
      </c>
      <c r="C6" s="687" t="s">
        <v>24</v>
      </c>
      <c r="D6" s="688" t="s">
        <v>1796</v>
      </c>
      <c r="E6" s="645" t="s">
        <v>17</v>
      </c>
      <c r="F6" s="693" t="s">
        <v>1772</v>
      </c>
      <c r="G6" s="584" t="str">
        <f t="shared" si="0"/>
        <v>Rétiré dans les délais</v>
      </c>
      <c r="H6" s="689" t="s">
        <v>2004</v>
      </c>
      <c r="I6" s="690">
        <v>46027</v>
      </c>
      <c r="J6" s="689"/>
      <c r="K6" s="689"/>
      <c r="L6" s="689"/>
      <c r="M6" s="689"/>
    </row>
    <row r="7" spans="1:13" ht="21.75" customHeight="1" x14ac:dyDescent="0.25">
      <c r="A7" s="516">
        <v>24</v>
      </c>
      <c r="B7" s="692">
        <v>2315160110</v>
      </c>
      <c r="C7" s="366" t="s">
        <v>24</v>
      </c>
      <c r="D7" s="613" t="s">
        <v>1796</v>
      </c>
      <c r="E7" s="353" t="s">
        <v>17</v>
      </c>
      <c r="F7" s="353" t="s">
        <v>1757</v>
      </c>
      <c r="G7" s="323" t="str">
        <f t="shared" si="0"/>
        <v>Rétiré dans les délais</v>
      </c>
      <c r="H7" s="657" t="s">
        <v>2003</v>
      </c>
      <c r="I7" s="658">
        <v>46027</v>
      </c>
      <c r="J7" s="657"/>
      <c r="K7" s="657"/>
      <c r="L7" s="657"/>
      <c r="M7" s="657"/>
    </row>
    <row r="8" spans="1:13" s="691" customFormat="1" ht="21.75" customHeight="1" x14ac:dyDescent="0.25">
      <c r="A8" s="339">
        <v>25</v>
      </c>
      <c r="B8" s="339">
        <v>2316660470</v>
      </c>
      <c r="C8" s="687" t="s">
        <v>26</v>
      </c>
      <c r="D8" s="688" t="s">
        <v>1796</v>
      </c>
      <c r="E8" s="645" t="s">
        <v>17</v>
      </c>
      <c r="F8" s="693" t="s">
        <v>1772</v>
      </c>
      <c r="G8" s="584" t="str">
        <f t="shared" si="0"/>
        <v>Rétiré dans les délais</v>
      </c>
      <c r="H8" s="689" t="s">
        <v>2002</v>
      </c>
      <c r="I8" s="690">
        <v>46027</v>
      </c>
      <c r="J8" s="689"/>
      <c r="K8" s="689"/>
      <c r="L8" s="689"/>
      <c r="M8" s="689"/>
    </row>
    <row r="9" spans="1:13" ht="21.75" customHeight="1" x14ac:dyDescent="0.25">
      <c r="A9" s="516">
        <v>19</v>
      </c>
      <c r="B9" s="275">
        <v>4054946960</v>
      </c>
      <c r="C9" s="366" t="s">
        <v>24</v>
      </c>
      <c r="D9" s="613" t="s">
        <v>12</v>
      </c>
      <c r="E9" s="353" t="s">
        <v>17</v>
      </c>
      <c r="F9" s="353" t="s">
        <v>1772</v>
      </c>
      <c r="G9" s="323" t="str">
        <f t="shared" si="0"/>
        <v>Rétiré dans les délais</v>
      </c>
      <c r="H9" s="657" t="s">
        <v>1992</v>
      </c>
      <c r="I9" s="658">
        <v>46022</v>
      </c>
      <c r="J9" s="657">
        <v>0</v>
      </c>
      <c r="K9" s="657"/>
      <c r="L9" s="657"/>
      <c r="M9" s="657"/>
    </row>
    <row r="10" spans="1:13" ht="21.75" customHeight="1" x14ac:dyDescent="0.25">
      <c r="A10" s="516">
        <v>20</v>
      </c>
      <c r="B10" s="275">
        <v>4054946970</v>
      </c>
      <c r="C10" s="366" t="s">
        <v>24</v>
      </c>
      <c r="D10" s="613" t="s">
        <v>12</v>
      </c>
      <c r="E10" s="353" t="s">
        <v>17</v>
      </c>
      <c r="F10" s="353" t="s">
        <v>1772</v>
      </c>
      <c r="G10" s="323" t="str">
        <f t="shared" si="0"/>
        <v>Rétiré dans les délais</v>
      </c>
      <c r="H10" s="657" t="s">
        <v>1991</v>
      </c>
      <c r="I10" s="658">
        <v>46022</v>
      </c>
      <c r="J10" s="657">
        <v>0</v>
      </c>
      <c r="K10" s="657"/>
      <c r="L10" s="657"/>
      <c r="M10" s="657"/>
    </row>
    <row r="11" spans="1:13" ht="21.75" customHeight="1" x14ac:dyDescent="0.25">
      <c r="A11" s="516">
        <v>21</v>
      </c>
      <c r="B11" s="275">
        <v>4054932820</v>
      </c>
      <c r="C11" s="366" t="s">
        <v>24</v>
      </c>
      <c r="D11" s="613" t="s">
        <v>12</v>
      </c>
      <c r="E11" s="353" t="s">
        <v>17</v>
      </c>
      <c r="F11" s="353" t="s">
        <v>1772</v>
      </c>
      <c r="G11" s="323" t="str">
        <f t="shared" si="0"/>
        <v>Rétiré dans les délais</v>
      </c>
      <c r="H11" s="657" t="s">
        <v>1990</v>
      </c>
      <c r="I11" s="658">
        <v>46022</v>
      </c>
      <c r="J11" s="657">
        <v>0</v>
      </c>
      <c r="K11" s="657"/>
      <c r="L11" s="657"/>
      <c r="M11" s="657"/>
    </row>
    <row r="12" spans="1:13" ht="21.75" customHeight="1" x14ac:dyDescent="0.25">
      <c r="A12" s="516">
        <v>22</v>
      </c>
      <c r="B12" s="275">
        <v>4054932850</v>
      </c>
      <c r="C12" s="366" t="s">
        <v>26</v>
      </c>
      <c r="D12" s="613" t="s">
        <v>12</v>
      </c>
      <c r="E12" s="353" t="s">
        <v>17</v>
      </c>
      <c r="F12" s="353" t="s">
        <v>1772</v>
      </c>
      <c r="G12" s="323" t="str">
        <f t="shared" si="0"/>
        <v>Rétiré dans les délais</v>
      </c>
      <c r="H12" s="657" t="s">
        <v>1989</v>
      </c>
      <c r="I12" s="658">
        <v>46022</v>
      </c>
      <c r="J12" s="657">
        <v>0</v>
      </c>
      <c r="K12" s="657"/>
      <c r="L12" s="657"/>
      <c r="M12" s="681"/>
    </row>
    <row r="13" spans="1:13" ht="21.75" customHeight="1" x14ac:dyDescent="0.25">
      <c r="A13" s="516">
        <v>16</v>
      </c>
      <c r="B13" s="275">
        <v>4054935960</v>
      </c>
      <c r="C13" s="366" t="s">
        <v>24</v>
      </c>
      <c r="D13" s="613" t="s">
        <v>18</v>
      </c>
      <c r="E13" s="353" t="s">
        <v>17</v>
      </c>
      <c r="F13" s="353" t="s">
        <v>1772</v>
      </c>
      <c r="G13" s="323" t="str">
        <f t="shared" si="0"/>
        <v>Rétiré dans les délais</v>
      </c>
      <c r="H13" s="657" t="s">
        <v>1996</v>
      </c>
      <c r="I13" s="658">
        <v>46024</v>
      </c>
      <c r="J13" s="657">
        <v>0</v>
      </c>
      <c r="K13" s="657"/>
      <c r="L13" s="657"/>
      <c r="M13" s="681"/>
    </row>
    <row r="14" spans="1:13" ht="21.75" customHeight="1" x14ac:dyDescent="0.25">
      <c r="A14" s="516">
        <v>17</v>
      </c>
      <c r="B14" s="275">
        <v>4054935950</v>
      </c>
      <c r="C14" s="366" t="s">
        <v>24</v>
      </c>
      <c r="D14" s="613" t="s">
        <v>18</v>
      </c>
      <c r="E14" s="353" t="s">
        <v>17</v>
      </c>
      <c r="F14" s="353" t="s">
        <v>1772</v>
      </c>
      <c r="G14" s="323" t="str">
        <f t="shared" si="0"/>
        <v>Rétiré dans les délais</v>
      </c>
      <c r="H14" s="657" t="s">
        <v>1999</v>
      </c>
      <c r="I14" s="658">
        <v>46024</v>
      </c>
      <c r="J14" s="657">
        <v>0</v>
      </c>
      <c r="K14" s="657"/>
      <c r="L14" s="657"/>
      <c r="M14" s="681"/>
    </row>
    <row r="15" spans="1:13" ht="21.75" customHeight="1" x14ac:dyDescent="0.25">
      <c r="A15" s="516">
        <v>18</v>
      </c>
      <c r="B15" s="275">
        <v>4054935920</v>
      </c>
      <c r="C15" s="366" t="s">
        <v>24</v>
      </c>
      <c r="D15" s="613" t="s">
        <v>18</v>
      </c>
      <c r="E15" s="353" t="s">
        <v>17</v>
      </c>
      <c r="F15" s="353" t="s">
        <v>1772</v>
      </c>
      <c r="G15" s="323" t="str">
        <f t="shared" si="0"/>
        <v>Rétiré dans les délais</v>
      </c>
      <c r="H15" s="657" t="s">
        <v>1998</v>
      </c>
      <c r="I15" s="658">
        <v>46024</v>
      </c>
      <c r="J15" s="657">
        <v>0</v>
      </c>
      <c r="K15" s="657"/>
      <c r="L15" s="657"/>
      <c r="M15" s="681"/>
    </row>
    <row r="16" spans="1:13" ht="21.75" customHeight="1" x14ac:dyDescent="0.25">
      <c r="A16" s="516">
        <v>14</v>
      </c>
      <c r="B16" s="275">
        <v>4054935930</v>
      </c>
      <c r="C16" s="366" t="s">
        <v>26</v>
      </c>
      <c r="D16" s="613" t="s">
        <v>18</v>
      </c>
      <c r="E16" s="353" t="s">
        <v>17</v>
      </c>
      <c r="F16" s="353" t="s">
        <v>1772</v>
      </c>
      <c r="G16" s="323" t="str">
        <f t="shared" si="0"/>
        <v>Rétiré dans les délais</v>
      </c>
      <c r="H16" s="657" t="s">
        <v>1997</v>
      </c>
      <c r="I16" s="658">
        <v>46024</v>
      </c>
      <c r="J16" s="657">
        <v>0</v>
      </c>
      <c r="K16" s="657"/>
      <c r="L16" s="657"/>
      <c r="M16" s="681"/>
    </row>
    <row r="17" spans="1:13" ht="21.75" customHeight="1" x14ac:dyDescent="0.25">
      <c r="A17" s="516">
        <v>15</v>
      </c>
      <c r="B17" s="275">
        <v>4054936020</v>
      </c>
      <c r="C17" s="366" t="s">
        <v>26</v>
      </c>
      <c r="D17" s="613" t="s">
        <v>18</v>
      </c>
      <c r="E17" s="353" t="s">
        <v>17</v>
      </c>
      <c r="F17" s="353" t="s">
        <v>1772</v>
      </c>
      <c r="G17" s="323" t="str">
        <f t="shared" si="0"/>
        <v>Rétiré dans les délais</v>
      </c>
      <c r="H17" s="657" t="s">
        <v>2000</v>
      </c>
      <c r="I17" s="658">
        <v>46024</v>
      </c>
      <c r="J17" s="657">
        <v>0</v>
      </c>
      <c r="K17" s="657"/>
      <c r="L17" s="657"/>
      <c r="M17" s="681"/>
    </row>
    <row r="18" spans="1:13" ht="21.75" customHeight="1" x14ac:dyDescent="0.25">
      <c r="A18" s="516">
        <v>11</v>
      </c>
      <c r="B18" s="275">
        <v>4054887670</v>
      </c>
      <c r="C18" s="366" t="s">
        <v>24</v>
      </c>
      <c r="D18" s="613" t="s">
        <v>1795</v>
      </c>
      <c r="E18" s="353" t="s">
        <v>17</v>
      </c>
      <c r="F18" s="353" t="s">
        <v>1772</v>
      </c>
      <c r="G18" s="323" t="str">
        <f t="shared" si="0"/>
        <v>Rétiré dans les délais</v>
      </c>
      <c r="H18" s="657" t="s">
        <v>1986</v>
      </c>
      <c r="I18" s="658">
        <v>46021</v>
      </c>
      <c r="J18" s="657">
        <v>0</v>
      </c>
      <c r="K18" s="657"/>
      <c r="L18" s="657"/>
      <c r="M18" s="681"/>
    </row>
    <row r="19" spans="1:13" ht="21.75" customHeight="1" x14ac:dyDescent="0.25">
      <c r="A19" s="516">
        <v>12</v>
      </c>
      <c r="B19" s="275">
        <v>4054887580</v>
      </c>
      <c r="C19" s="366" t="s">
        <v>24</v>
      </c>
      <c r="D19" s="613" t="s">
        <v>1795</v>
      </c>
      <c r="E19" s="353" t="s">
        <v>17</v>
      </c>
      <c r="F19" s="353" t="s">
        <v>1772</v>
      </c>
      <c r="G19" s="323" t="str">
        <f t="shared" si="0"/>
        <v>Rétiré dans les délais</v>
      </c>
      <c r="H19" s="657" t="s">
        <v>1988</v>
      </c>
      <c r="I19" s="658">
        <v>46021</v>
      </c>
      <c r="J19" s="657">
        <v>0</v>
      </c>
      <c r="K19" s="657"/>
      <c r="L19" s="657"/>
      <c r="M19" s="681"/>
    </row>
    <row r="20" spans="1:13" ht="21.75" customHeight="1" x14ac:dyDescent="0.25">
      <c r="A20" s="516">
        <v>13</v>
      </c>
      <c r="B20" s="275">
        <v>4054871570</v>
      </c>
      <c r="C20" s="366" t="s">
        <v>26</v>
      </c>
      <c r="D20" s="613" t="s">
        <v>1795</v>
      </c>
      <c r="E20" s="353" t="s">
        <v>17</v>
      </c>
      <c r="F20" s="353" t="s">
        <v>1772</v>
      </c>
      <c r="G20" s="323" t="str">
        <f t="shared" si="0"/>
        <v>Rétiré dans les délais</v>
      </c>
      <c r="H20" s="657" t="s">
        <v>1987</v>
      </c>
      <c r="I20" s="658">
        <v>46021</v>
      </c>
      <c r="J20" s="657">
        <v>0</v>
      </c>
      <c r="K20" s="657"/>
      <c r="L20" s="657"/>
      <c r="M20" s="681"/>
    </row>
    <row r="21" spans="1:13" ht="21.75" customHeight="1" x14ac:dyDescent="0.25">
      <c r="A21" s="516">
        <v>10</v>
      </c>
      <c r="B21" s="692">
        <v>4054935880</v>
      </c>
      <c r="C21" s="366" t="s">
        <v>26</v>
      </c>
      <c r="D21" s="613" t="s">
        <v>1955</v>
      </c>
      <c r="E21" s="353" t="s">
        <v>17</v>
      </c>
      <c r="F21" s="353" t="s">
        <v>1757</v>
      </c>
      <c r="G21" s="323" t="str">
        <f t="shared" ca="1" si="0"/>
        <v>En Attente d'un Retrait Tardif</v>
      </c>
      <c r="H21" s="657"/>
      <c r="I21" s="658"/>
      <c r="J21" s="657"/>
      <c r="K21" s="657"/>
      <c r="L21" s="657"/>
      <c r="M21" s="681"/>
    </row>
    <row r="22" spans="1:13" ht="21.75" customHeight="1" x14ac:dyDescent="0.25">
      <c r="A22" s="516">
        <v>1</v>
      </c>
      <c r="B22" s="692">
        <v>4054932760</v>
      </c>
      <c r="C22" s="366" t="s">
        <v>26</v>
      </c>
      <c r="D22" s="613" t="s">
        <v>1931</v>
      </c>
      <c r="E22" s="353" t="s">
        <v>1980</v>
      </c>
      <c r="F22" s="353" t="s">
        <v>1772</v>
      </c>
      <c r="G22" s="323" t="str">
        <f t="shared" si="0"/>
        <v>Rétiré dans les délais</v>
      </c>
      <c r="H22" s="657" t="s">
        <v>2015</v>
      </c>
      <c r="I22" s="658">
        <v>46029</v>
      </c>
      <c r="J22" s="657">
        <v>0</v>
      </c>
      <c r="K22" s="657"/>
      <c r="L22" s="657"/>
      <c r="M22" s="681"/>
    </row>
    <row r="23" spans="1:13" ht="21.75" customHeight="1" x14ac:dyDescent="0.25">
      <c r="A23" s="516">
        <v>2</v>
      </c>
      <c r="B23" s="692">
        <v>4054932750</v>
      </c>
      <c r="C23" s="366" t="s">
        <v>26</v>
      </c>
      <c r="D23" s="613" t="s">
        <v>1931</v>
      </c>
      <c r="E23" s="353" t="s">
        <v>1980</v>
      </c>
      <c r="F23" s="353" t="s">
        <v>1772</v>
      </c>
      <c r="G23" s="323" t="str">
        <f t="shared" si="0"/>
        <v>Rétiré dans les délais</v>
      </c>
      <c r="H23" s="657" t="s">
        <v>2010</v>
      </c>
      <c r="I23" s="658">
        <v>46029</v>
      </c>
      <c r="J23" s="657"/>
      <c r="K23" s="657"/>
      <c r="L23" s="657"/>
      <c r="M23" s="681"/>
    </row>
    <row r="24" spans="1:13" ht="21.75" customHeight="1" x14ac:dyDescent="0.25">
      <c r="A24" s="516">
        <v>3</v>
      </c>
      <c r="B24" s="692">
        <v>4054935550</v>
      </c>
      <c r="C24" s="366" t="s">
        <v>26</v>
      </c>
      <c r="D24" s="613" t="s">
        <v>1931</v>
      </c>
      <c r="E24" s="353" t="s">
        <v>1980</v>
      </c>
      <c r="F24" s="353" t="s">
        <v>1772</v>
      </c>
      <c r="G24" s="323" t="str">
        <f t="shared" si="0"/>
        <v>Rétiré dans les délais</v>
      </c>
      <c r="H24" s="657" t="s">
        <v>2016</v>
      </c>
      <c r="I24" s="658">
        <v>46029</v>
      </c>
      <c r="J24" s="657"/>
      <c r="K24" s="657"/>
      <c r="L24" s="657"/>
      <c r="M24" s="681"/>
    </row>
    <row r="25" spans="1:13" ht="21.75" customHeight="1" x14ac:dyDescent="0.25">
      <c r="A25" s="516">
        <v>4</v>
      </c>
      <c r="B25" s="692">
        <v>4054937610</v>
      </c>
      <c r="C25" s="366" t="s">
        <v>26</v>
      </c>
      <c r="D25" s="613" t="s">
        <v>1931</v>
      </c>
      <c r="E25" s="353" t="s">
        <v>1980</v>
      </c>
      <c r="F25" s="353" t="s">
        <v>1772</v>
      </c>
      <c r="G25" s="323" t="str">
        <f t="shared" si="0"/>
        <v>Rétiré dans les délais</v>
      </c>
      <c r="H25" s="657" t="s">
        <v>2014</v>
      </c>
      <c r="I25" s="658">
        <v>46029</v>
      </c>
      <c r="J25" s="657"/>
      <c r="K25" s="657"/>
      <c r="L25" s="657"/>
      <c r="M25" s="681"/>
    </row>
    <row r="26" spans="1:13" ht="21.75" customHeight="1" x14ac:dyDescent="0.25">
      <c r="A26" s="516">
        <v>5</v>
      </c>
      <c r="B26" s="692">
        <v>4054935570</v>
      </c>
      <c r="C26" s="366" t="s">
        <v>26</v>
      </c>
      <c r="D26" s="613" t="s">
        <v>1931</v>
      </c>
      <c r="E26" s="353" t="s">
        <v>1980</v>
      </c>
      <c r="F26" s="353" t="s">
        <v>1772</v>
      </c>
      <c r="G26" s="323" t="str">
        <f t="shared" si="0"/>
        <v>Rétiré dans les délais</v>
      </c>
      <c r="H26" s="657" t="s">
        <v>2017</v>
      </c>
      <c r="I26" s="658">
        <v>46029</v>
      </c>
      <c r="J26" s="657"/>
      <c r="K26" s="657"/>
      <c r="L26" s="657"/>
      <c r="M26" s="681"/>
    </row>
    <row r="27" spans="1:13" ht="21.75" customHeight="1" x14ac:dyDescent="0.25">
      <c r="A27" s="516">
        <v>6</v>
      </c>
      <c r="B27" s="692">
        <v>4054925730</v>
      </c>
      <c r="C27" s="366" t="s">
        <v>26</v>
      </c>
      <c r="D27" s="613" t="s">
        <v>1931</v>
      </c>
      <c r="E27" s="353" t="s">
        <v>1980</v>
      </c>
      <c r="F27" s="353" t="s">
        <v>1772</v>
      </c>
      <c r="G27" s="323" t="str">
        <f t="shared" si="0"/>
        <v>Rétiré dans les délais</v>
      </c>
      <c r="H27" s="657" t="s">
        <v>2012</v>
      </c>
      <c r="I27" s="658">
        <v>46029</v>
      </c>
      <c r="J27" s="657"/>
      <c r="K27" s="657"/>
      <c r="L27" s="657"/>
      <c r="M27" s="681"/>
    </row>
    <row r="28" spans="1:13" ht="21.75" customHeight="1" x14ac:dyDescent="0.25">
      <c r="A28" s="516">
        <v>7</v>
      </c>
      <c r="B28" s="692">
        <v>4054925760</v>
      </c>
      <c r="C28" s="366" t="s">
        <v>26</v>
      </c>
      <c r="D28" s="613" t="s">
        <v>1931</v>
      </c>
      <c r="E28" s="353" t="s">
        <v>1980</v>
      </c>
      <c r="F28" s="353" t="s">
        <v>1772</v>
      </c>
      <c r="G28" s="323" t="str">
        <f t="shared" si="0"/>
        <v>Rétiré dans les délais</v>
      </c>
      <c r="H28" s="657" t="s">
        <v>2018</v>
      </c>
      <c r="I28" s="658">
        <v>46029</v>
      </c>
      <c r="J28" s="657"/>
      <c r="K28" s="657"/>
      <c r="L28" s="657"/>
      <c r="M28" s="681"/>
    </row>
    <row r="29" spans="1:13" ht="21.75" customHeight="1" x14ac:dyDescent="0.25">
      <c r="A29" s="516">
        <v>8</v>
      </c>
      <c r="B29" s="692">
        <v>4054947230</v>
      </c>
      <c r="C29" s="366" t="s">
        <v>26</v>
      </c>
      <c r="D29" s="613" t="s">
        <v>1931</v>
      </c>
      <c r="E29" s="353" t="s">
        <v>1980</v>
      </c>
      <c r="F29" s="353" t="s">
        <v>1772</v>
      </c>
      <c r="G29" s="323" t="str">
        <f t="shared" si="0"/>
        <v>Rétiré dans les délais</v>
      </c>
      <c r="H29" s="657" t="s">
        <v>2013</v>
      </c>
      <c r="I29" s="658">
        <v>46029</v>
      </c>
      <c r="J29" s="657"/>
      <c r="K29" s="657"/>
      <c r="L29" s="657"/>
      <c r="M29" s="681"/>
    </row>
    <row r="30" spans="1:13" ht="21.75" customHeight="1" x14ac:dyDescent="0.25">
      <c r="A30" s="516">
        <v>9</v>
      </c>
      <c r="B30" s="692">
        <v>4054947220</v>
      </c>
      <c r="C30" s="366" t="s">
        <v>26</v>
      </c>
      <c r="D30" s="613" t="s">
        <v>1931</v>
      </c>
      <c r="E30" s="353" t="s">
        <v>1980</v>
      </c>
      <c r="F30" s="353" t="s">
        <v>1772</v>
      </c>
      <c r="G30" s="323" t="str">
        <f t="shared" si="0"/>
        <v>Rétiré dans les délais</v>
      </c>
      <c r="H30" s="657" t="s">
        <v>2011</v>
      </c>
      <c r="I30" s="658">
        <v>46029</v>
      </c>
      <c r="J30" s="657"/>
      <c r="K30" s="657"/>
      <c r="L30" s="657"/>
      <c r="M30" s="681"/>
    </row>
    <row r="35" spans="1:3" ht="15" x14ac:dyDescent="0.25">
      <c r="A35" s="208"/>
      <c r="B35"/>
      <c r="C35" s="208"/>
    </row>
    <row r="36" spans="1:3" ht="15" x14ac:dyDescent="0.25">
      <c r="A36" s="208"/>
      <c r="B36" s="208"/>
      <c r="C36" s="208"/>
    </row>
    <row r="37" spans="1:3" ht="15" x14ac:dyDescent="0.25">
      <c r="A37" s="208"/>
      <c r="B37" s="208"/>
      <c r="C37" s="208"/>
    </row>
    <row r="38" spans="1:3" ht="15" x14ac:dyDescent="0.25">
      <c r="A38" s="208"/>
      <c r="B38"/>
      <c r="C38" s="208"/>
    </row>
    <row r="39" spans="1:3" ht="15" x14ac:dyDescent="0.25">
      <c r="A39" s="208"/>
      <c r="B39" s="208"/>
      <c r="C39" s="208"/>
    </row>
    <row r="40" spans="1:3" ht="15" x14ac:dyDescent="0.25">
      <c r="A40" s="208"/>
      <c r="B40" s="208"/>
      <c r="C40" s="208"/>
    </row>
  </sheetData>
  <autoFilter ref="A4:M30" xr:uid="{682D34AD-08D1-44C3-B410-EE1FDFA313B1}">
    <sortState xmlns:xlrd2="http://schemas.microsoft.com/office/spreadsheetml/2017/richdata2" ref="A5:M30">
      <sortCondition ref="D4:D30"/>
    </sortState>
  </autoFilter>
  <mergeCells count="1">
    <mergeCell ref="G1:I1"/>
  </mergeCells>
  <conditionalFormatting sqref="B5:B30">
    <cfRule type="duplicateValues" dxfId="1472" priority="2226"/>
  </conditionalFormatting>
  <conditionalFormatting sqref="B41:B1048576 B1:B34">
    <cfRule type="duplicateValues" dxfId="1471" priority="1"/>
  </conditionalFormatting>
  <conditionalFormatting sqref="B41:B1048576 B31:B34 B1:B4">
    <cfRule type="duplicateValues" dxfId="1470" priority="2195"/>
    <cfRule type="duplicateValues" dxfId="1469" priority="2202"/>
    <cfRule type="duplicateValues" dxfId="1468" priority="2203"/>
  </conditionalFormatting>
  <conditionalFormatting sqref="B5:D30 G5:G30">
    <cfRule type="containsText" dxfId="1467" priority="4" operator="containsText" text="En Attente d'un Retrait Tardif">
      <formula>NOT(ISERROR(SEARCH("En Attente d'un Retrait Tardif",B5)))</formula>
    </cfRule>
    <cfRule type="containsText" dxfId="1466" priority="5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11AE-D32E-4F23-B0E4-B1F448350DC5}">
  <sheetPr>
    <tabColor theme="2"/>
  </sheetPr>
  <dimension ref="A1:BE29"/>
  <sheetViews>
    <sheetView zoomScaleNormal="100" workbookViewId="0">
      <pane ySplit="4" topLeftCell="A5" activePane="bottomLeft" state="frozen"/>
      <selection pane="bottomLeft" activeCell="J7" sqref="J7"/>
    </sheetView>
  </sheetViews>
  <sheetFormatPr baseColWidth="10" defaultRowHeight="15.75" x14ac:dyDescent="0.25"/>
  <cols>
    <col min="1" max="1" width="7.42578125" customWidth="1"/>
    <col min="2" max="2" width="17.28515625" style="282" customWidth="1"/>
    <col min="3" max="3" width="16.42578125" style="105" customWidth="1"/>
    <col min="4" max="4" width="42.28515625" style="208" customWidth="1"/>
    <col min="5" max="5" width="12.42578125" style="105" bestFit="1" customWidth="1"/>
    <col min="6" max="6" width="13.28515625" style="208" bestFit="1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3" width="11.7109375" customWidth="1"/>
  </cols>
  <sheetData>
    <row r="1" spans="1:57" ht="19.5" thickBot="1" x14ac:dyDescent="0.35">
      <c r="A1" s="348" t="s">
        <v>1929</v>
      </c>
      <c r="B1" s="431"/>
      <c r="C1" s="431"/>
      <c r="D1" s="288"/>
      <c r="E1" s="631"/>
      <c r="F1" s="288"/>
      <c r="G1" s="729"/>
      <c r="H1" s="729"/>
      <c r="I1" s="729"/>
    </row>
    <row r="2" spans="1:57" ht="24" thickBot="1" x14ac:dyDescent="0.3">
      <c r="A2" s="618" t="s">
        <v>0</v>
      </c>
      <c r="B2" s="638"/>
      <c r="C2" s="24"/>
      <c r="D2" s="25"/>
      <c r="E2" s="358">
        <f ca="1">I2-G2</f>
        <v>83</v>
      </c>
      <c r="F2" s="25"/>
      <c r="G2" s="314">
        <v>46013</v>
      </c>
      <c r="H2" s="365">
        <f ca="1">I2-G2</f>
        <v>83</v>
      </c>
      <c r="I2" s="315">
        <f ca="1">TODAY()</f>
        <v>46096</v>
      </c>
      <c r="J2" s="655"/>
    </row>
    <row r="3" spans="1:57" ht="16.5" thickBot="1" x14ac:dyDescent="0.3">
      <c r="D3" s="633"/>
      <c r="E3" s="632"/>
      <c r="F3" s="633"/>
      <c r="G3" s="105"/>
      <c r="H3" s="105"/>
      <c r="I3" s="208"/>
    </row>
    <row r="4" spans="1:57" ht="19.5" customHeight="1" x14ac:dyDescent="0.25">
      <c r="A4" s="610" t="s">
        <v>1</v>
      </c>
      <c r="B4" s="639" t="s">
        <v>2</v>
      </c>
      <c r="C4" s="610" t="s">
        <v>3</v>
      </c>
      <c r="D4" s="610" t="s">
        <v>5</v>
      </c>
      <c r="E4" s="610" t="s">
        <v>1065</v>
      </c>
      <c r="F4" s="610" t="s">
        <v>1066</v>
      </c>
      <c r="G4" s="610" t="s">
        <v>1067</v>
      </c>
      <c r="H4" s="610" t="s">
        <v>167</v>
      </c>
      <c r="I4" s="647" t="s">
        <v>1068</v>
      </c>
      <c r="J4" s="656" t="s">
        <v>8</v>
      </c>
      <c r="K4" s="649" t="s">
        <v>9</v>
      </c>
      <c r="L4" s="610" t="s">
        <v>10</v>
      </c>
      <c r="M4" s="610" t="s">
        <v>11</v>
      </c>
    </row>
    <row r="5" spans="1:57" s="437" customFormat="1" ht="20.25" customHeight="1" x14ac:dyDescent="0.25">
      <c r="A5" s="362">
        <v>1</v>
      </c>
      <c r="B5" s="353">
        <v>2164042780</v>
      </c>
      <c r="C5" s="670" t="s">
        <v>26</v>
      </c>
      <c r="D5" s="671" t="s">
        <v>1959</v>
      </c>
      <c r="E5" s="545" t="s">
        <v>17</v>
      </c>
      <c r="F5" s="545" t="s">
        <v>1772</v>
      </c>
      <c r="G5" s="670" t="str">
        <f t="shared" ref="G5:G29" si="0">IF(I5="",IF($E$2&lt;=15,"En attente de Retrait","En Attente d'un Retrait Tardif"),IF(I5-$G$2&lt;=15,"Rétiré dans les délais",IF(I5-$G$2&gt;15,"Rétiré tardivement-30000FCFAamende")))</f>
        <v>Rétiré dans les délais</v>
      </c>
      <c r="H5" s="672" t="s">
        <v>1973</v>
      </c>
      <c r="I5" s="673">
        <v>46017</v>
      </c>
      <c r="J5" s="674">
        <v>0</v>
      </c>
      <c r="K5" s="674"/>
      <c r="L5" s="674"/>
      <c r="M5" s="674"/>
      <c r="N5" s="675"/>
      <c r="O5" s="675"/>
      <c r="P5" s="675"/>
      <c r="Q5" s="675"/>
      <c r="R5" s="675"/>
      <c r="S5" s="675"/>
      <c r="T5" s="675"/>
      <c r="U5" s="675"/>
      <c r="V5" s="675"/>
      <c r="W5" s="675"/>
      <c r="X5" s="675"/>
      <c r="Y5" s="675"/>
      <c r="Z5" s="675"/>
      <c r="AA5" s="675"/>
      <c r="AB5" s="675"/>
      <c r="AC5" s="675"/>
      <c r="AD5" s="675"/>
      <c r="AE5" s="675"/>
      <c r="AF5" s="675"/>
      <c r="AG5" s="675"/>
      <c r="AH5" s="675"/>
      <c r="AI5" s="675"/>
      <c r="AJ5" s="675"/>
      <c r="AK5" s="675"/>
      <c r="AL5" s="675"/>
      <c r="AM5" s="675"/>
      <c r="AN5" s="675"/>
      <c r="AO5" s="675"/>
      <c r="AP5" s="675"/>
      <c r="AQ5" s="675"/>
      <c r="AR5" s="675"/>
      <c r="AS5" s="675"/>
      <c r="AT5" s="675"/>
      <c r="AU5" s="675"/>
      <c r="AV5" s="675"/>
      <c r="AW5" s="675"/>
      <c r="AX5" s="675"/>
      <c r="AY5" s="675"/>
      <c r="AZ5" s="675"/>
      <c r="BA5" s="675"/>
      <c r="BB5" s="675"/>
      <c r="BC5" s="675"/>
      <c r="BD5" s="675"/>
      <c r="BE5" s="675"/>
    </row>
    <row r="6" spans="1:57" s="676" customFormat="1" ht="20.25" customHeight="1" x14ac:dyDescent="0.25">
      <c r="A6" s="362">
        <v>2</v>
      </c>
      <c r="B6" s="353">
        <v>2164042810</v>
      </c>
      <c r="C6" s="670" t="s">
        <v>26</v>
      </c>
      <c r="D6" s="671" t="s">
        <v>1959</v>
      </c>
      <c r="E6" s="545" t="s">
        <v>17</v>
      </c>
      <c r="F6" s="545" t="s">
        <v>15</v>
      </c>
      <c r="G6" s="670" t="str">
        <f t="shared" si="0"/>
        <v>Rétiré dans les délais</v>
      </c>
      <c r="H6" s="672" t="s">
        <v>1972</v>
      </c>
      <c r="I6" s="673">
        <v>46017</v>
      </c>
      <c r="J6" s="674">
        <v>0</v>
      </c>
      <c r="K6" s="674"/>
      <c r="L6" s="674"/>
      <c r="M6" s="674"/>
      <c r="N6" s="675"/>
      <c r="O6" s="675"/>
      <c r="P6" s="675"/>
      <c r="Q6" s="675"/>
      <c r="R6" s="675"/>
      <c r="S6" s="675"/>
      <c r="T6" s="675"/>
      <c r="U6" s="675"/>
      <c r="V6" s="675"/>
      <c r="W6" s="675"/>
      <c r="X6" s="675"/>
      <c r="Y6" s="675"/>
      <c r="Z6" s="675"/>
      <c r="AA6" s="675"/>
      <c r="AB6" s="675"/>
      <c r="AC6" s="675"/>
      <c r="AD6" s="675"/>
      <c r="AE6" s="675"/>
      <c r="AF6" s="675"/>
      <c r="AG6" s="675"/>
      <c r="AH6" s="675"/>
      <c r="AI6" s="675"/>
      <c r="AJ6" s="675"/>
      <c r="AK6" s="675"/>
      <c r="AL6" s="675"/>
      <c r="AM6" s="675"/>
      <c r="AN6" s="675"/>
      <c r="AO6" s="675"/>
      <c r="AP6" s="675"/>
      <c r="AQ6" s="675"/>
      <c r="AR6" s="675"/>
      <c r="AS6" s="675"/>
      <c r="AT6" s="675"/>
      <c r="AU6" s="675"/>
      <c r="AV6" s="675"/>
      <c r="AW6" s="675"/>
      <c r="AX6" s="675"/>
      <c r="AY6" s="675"/>
      <c r="AZ6" s="675"/>
      <c r="BA6" s="675"/>
      <c r="BB6" s="675"/>
      <c r="BC6" s="675"/>
      <c r="BD6" s="675"/>
      <c r="BE6" s="675"/>
    </row>
    <row r="7" spans="1:57" s="676" customFormat="1" ht="20.25" customHeight="1" x14ac:dyDescent="0.25">
      <c r="A7" s="362">
        <v>3</v>
      </c>
      <c r="B7" s="353">
        <v>4054883530</v>
      </c>
      <c r="C7" s="670" t="s">
        <v>26</v>
      </c>
      <c r="D7" s="671" t="s">
        <v>1100</v>
      </c>
      <c r="E7" s="545" t="s">
        <v>17</v>
      </c>
      <c r="F7" s="545" t="s">
        <v>1772</v>
      </c>
      <c r="G7" s="670" t="str">
        <f t="shared" si="0"/>
        <v>Rétiré tardivement-30000FCFAamende</v>
      </c>
      <c r="H7" s="672" t="s">
        <v>2008</v>
      </c>
      <c r="I7" s="673">
        <v>46029</v>
      </c>
      <c r="J7" s="674">
        <v>160000</v>
      </c>
      <c r="K7" s="674"/>
      <c r="L7" s="674"/>
      <c r="M7" s="674"/>
      <c r="N7" s="675"/>
      <c r="O7" s="675"/>
      <c r="P7" s="675"/>
      <c r="Q7" s="675"/>
      <c r="R7" s="675"/>
      <c r="S7" s="675"/>
      <c r="T7" s="675"/>
      <c r="U7" s="675"/>
      <c r="V7" s="675"/>
      <c r="W7" s="675"/>
      <c r="X7" s="675"/>
      <c r="Y7" s="675"/>
      <c r="Z7" s="675"/>
      <c r="AA7" s="675"/>
      <c r="AB7" s="675"/>
      <c r="AC7" s="675"/>
      <c r="AD7" s="675"/>
      <c r="AE7" s="675"/>
      <c r="AF7" s="675"/>
      <c r="AG7" s="675"/>
      <c r="AH7" s="675"/>
      <c r="AI7" s="675"/>
      <c r="AJ7" s="675"/>
      <c r="AK7" s="675"/>
      <c r="AL7" s="675"/>
      <c r="AM7" s="675"/>
      <c r="AN7" s="675"/>
      <c r="AO7" s="675"/>
      <c r="AP7" s="675"/>
      <c r="AQ7" s="675"/>
      <c r="AR7" s="675"/>
      <c r="AS7" s="675"/>
      <c r="AT7" s="675"/>
      <c r="AU7" s="675"/>
      <c r="AV7" s="675"/>
      <c r="AW7" s="675"/>
      <c r="AX7" s="675"/>
      <c r="AY7" s="675"/>
      <c r="AZ7" s="675"/>
      <c r="BA7" s="675"/>
      <c r="BB7" s="675"/>
      <c r="BC7" s="675"/>
      <c r="BD7" s="675"/>
      <c r="BE7" s="675"/>
    </row>
    <row r="8" spans="1:57" s="676" customFormat="1" ht="20.25" customHeight="1" x14ac:dyDescent="0.25">
      <c r="A8" s="362">
        <v>4</v>
      </c>
      <c r="B8" s="353">
        <v>4054883520</v>
      </c>
      <c r="C8" s="670" t="s">
        <v>26</v>
      </c>
      <c r="D8" s="671" t="s">
        <v>1960</v>
      </c>
      <c r="E8" s="545" t="s">
        <v>17</v>
      </c>
      <c r="F8" s="545" t="s">
        <v>1772</v>
      </c>
      <c r="G8" s="670" t="str">
        <f t="shared" si="0"/>
        <v>Rétiré tardivement-30000FCFAamende</v>
      </c>
      <c r="H8" s="672" t="s">
        <v>2009</v>
      </c>
      <c r="I8" s="673">
        <v>46029</v>
      </c>
      <c r="J8" s="674">
        <v>0</v>
      </c>
      <c r="K8" s="674"/>
      <c r="L8" s="674"/>
      <c r="M8" s="674"/>
      <c r="N8" s="675"/>
      <c r="O8" s="675"/>
      <c r="P8" s="675"/>
      <c r="Q8" s="675"/>
      <c r="R8" s="675"/>
      <c r="S8" s="675"/>
      <c r="T8" s="675"/>
      <c r="U8" s="675"/>
      <c r="V8" s="675"/>
      <c r="W8" s="675"/>
      <c r="X8" s="675"/>
      <c r="Y8" s="675"/>
      <c r="Z8" s="675"/>
      <c r="AA8" s="675"/>
      <c r="AB8" s="675"/>
      <c r="AC8" s="675"/>
      <c r="AD8" s="675"/>
      <c r="AE8" s="675"/>
      <c r="AF8" s="675"/>
      <c r="AG8" s="675"/>
      <c r="AH8" s="675"/>
      <c r="AI8" s="675"/>
      <c r="AJ8" s="675"/>
      <c r="AK8" s="675"/>
      <c r="AL8" s="675"/>
      <c r="AM8" s="675"/>
      <c r="AN8" s="675"/>
      <c r="AO8" s="675"/>
      <c r="AP8" s="675"/>
      <c r="AQ8" s="675"/>
      <c r="AR8" s="675"/>
      <c r="AS8" s="675"/>
      <c r="AT8" s="675"/>
      <c r="AU8" s="675"/>
      <c r="AV8" s="675"/>
      <c r="AW8" s="675"/>
      <c r="AX8" s="675"/>
      <c r="AY8" s="675"/>
      <c r="AZ8" s="675"/>
      <c r="BA8" s="675"/>
      <c r="BB8" s="675"/>
      <c r="BC8" s="675"/>
      <c r="BD8" s="675"/>
      <c r="BE8" s="675"/>
    </row>
    <row r="9" spans="1:57" s="676" customFormat="1" ht="20.25" customHeight="1" x14ac:dyDescent="0.25">
      <c r="A9" s="362">
        <v>5</v>
      </c>
      <c r="B9" s="353">
        <v>4054896700</v>
      </c>
      <c r="C9" s="670" t="s">
        <v>24</v>
      </c>
      <c r="D9" s="671" t="s">
        <v>570</v>
      </c>
      <c r="E9" s="545" t="s">
        <v>17</v>
      </c>
      <c r="F9" s="545" t="s">
        <v>1772</v>
      </c>
      <c r="G9" s="670" t="str">
        <f t="shared" si="0"/>
        <v>Rétiré dans les délais</v>
      </c>
      <c r="H9" s="672" t="s">
        <v>1974</v>
      </c>
      <c r="I9" s="673">
        <v>46017</v>
      </c>
      <c r="J9" s="674">
        <v>0</v>
      </c>
      <c r="K9" s="674"/>
      <c r="L9" s="674"/>
      <c r="M9" s="674" t="s">
        <v>1909</v>
      </c>
      <c r="N9" s="675"/>
      <c r="O9" s="675"/>
      <c r="P9" s="675"/>
      <c r="Q9" s="675"/>
      <c r="R9" s="675"/>
      <c r="S9" s="675"/>
      <c r="T9" s="675"/>
      <c r="U9" s="675"/>
      <c r="V9" s="675"/>
      <c r="W9" s="675"/>
      <c r="X9" s="675"/>
      <c r="Y9" s="675"/>
      <c r="Z9" s="675"/>
      <c r="AA9" s="675"/>
      <c r="AB9" s="675"/>
      <c r="AC9" s="675"/>
      <c r="AD9" s="675"/>
      <c r="AE9" s="675"/>
      <c r="AF9" s="675"/>
      <c r="AG9" s="675"/>
      <c r="AH9" s="675"/>
      <c r="AI9" s="675"/>
      <c r="AJ9" s="675"/>
      <c r="AK9" s="675"/>
      <c r="AL9" s="675"/>
      <c r="AM9" s="675"/>
      <c r="AN9" s="675"/>
      <c r="AO9" s="675"/>
      <c r="AP9" s="675"/>
      <c r="AQ9" s="675"/>
      <c r="AR9" s="675"/>
      <c r="AS9" s="675"/>
      <c r="AT9" s="675"/>
      <c r="AU9" s="675"/>
      <c r="AV9" s="675"/>
      <c r="AW9" s="675"/>
      <c r="AX9" s="675"/>
      <c r="AY9" s="675"/>
      <c r="AZ9" s="675"/>
      <c r="BA9" s="675"/>
      <c r="BB9" s="675"/>
      <c r="BC9" s="675"/>
      <c r="BD9" s="675"/>
      <c r="BE9" s="675"/>
    </row>
    <row r="10" spans="1:57" s="676" customFormat="1" ht="20.25" customHeight="1" x14ac:dyDescent="0.25">
      <c r="A10" s="362">
        <v>6</v>
      </c>
      <c r="B10" s="353">
        <v>4054896710</v>
      </c>
      <c r="C10" s="670" t="s">
        <v>24</v>
      </c>
      <c r="D10" s="671" t="s">
        <v>1956</v>
      </c>
      <c r="E10" s="545" t="s">
        <v>17</v>
      </c>
      <c r="F10" s="545" t="s">
        <v>1772</v>
      </c>
      <c r="G10" s="670" t="str">
        <f t="shared" si="0"/>
        <v>Rétiré dans les délais</v>
      </c>
      <c r="H10" s="672" t="s">
        <v>1975</v>
      </c>
      <c r="I10" s="673">
        <v>46017</v>
      </c>
      <c r="J10" s="674">
        <v>0</v>
      </c>
      <c r="K10" s="674"/>
      <c r="L10" s="674"/>
      <c r="M10" s="674"/>
      <c r="N10" s="675"/>
      <c r="O10" s="675"/>
      <c r="P10" s="675"/>
      <c r="Q10" s="675"/>
      <c r="R10" s="675"/>
      <c r="S10" s="675"/>
      <c r="T10" s="675"/>
      <c r="U10" s="675"/>
      <c r="V10" s="675"/>
      <c r="W10" s="675"/>
      <c r="X10" s="675"/>
      <c r="Y10" s="675"/>
      <c r="Z10" s="675"/>
      <c r="AA10" s="675"/>
      <c r="AB10" s="675"/>
      <c r="AC10" s="675"/>
      <c r="AD10" s="675"/>
      <c r="AE10" s="675"/>
      <c r="AF10" s="675"/>
      <c r="AG10" s="675"/>
      <c r="AH10" s="675"/>
      <c r="AI10" s="675"/>
      <c r="AJ10" s="675"/>
      <c r="AK10" s="675"/>
      <c r="AL10" s="675"/>
      <c r="AM10" s="675"/>
      <c r="AN10" s="675"/>
      <c r="AO10" s="675"/>
      <c r="AP10" s="675"/>
      <c r="AQ10" s="675"/>
      <c r="AR10" s="675"/>
      <c r="AS10" s="675"/>
      <c r="AT10" s="675"/>
      <c r="AU10" s="675"/>
      <c r="AV10" s="675"/>
      <c r="AW10" s="675"/>
      <c r="AX10" s="675"/>
      <c r="AY10" s="675"/>
      <c r="AZ10" s="675"/>
      <c r="BA10" s="675"/>
      <c r="BB10" s="675"/>
      <c r="BC10" s="675"/>
      <c r="BD10" s="675"/>
      <c r="BE10" s="675"/>
    </row>
    <row r="11" spans="1:57" s="676" customFormat="1" ht="20.25" customHeight="1" x14ac:dyDescent="0.25">
      <c r="A11" s="362">
        <v>7</v>
      </c>
      <c r="B11" s="353">
        <v>4054880960</v>
      </c>
      <c r="C11" s="670" t="s">
        <v>26</v>
      </c>
      <c r="D11" s="671" t="s">
        <v>14</v>
      </c>
      <c r="E11" s="545" t="s">
        <v>17</v>
      </c>
      <c r="F11" s="545" t="s">
        <v>1772</v>
      </c>
      <c r="G11" s="670" t="str">
        <f t="shared" si="0"/>
        <v>Rétiré dans les délais</v>
      </c>
      <c r="H11" s="672" t="s">
        <v>1971</v>
      </c>
      <c r="I11" s="673">
        <v>46017</v>
      </c>
      <c r="J11" s="674">
        <v>0</v>
      </c>
      <c r="K11" s="674"/>
      <c r="L11" s="674"/>
      <c r="M11" s="674"/>
      <c r="N11" s="675"/>
      <c r="O11" s="675"/>
      <c r="P11" s="675"/>
      <c r="Q11" s="675"/>
      <c r="R11" s="675"/>
      <c r="S11" s="675"/>
      <c r="T11" s="675"/>
      <c r="U11" s="675"/>
      <c r="V11" s="675"/>
      <c r="W11" s="675"/>
      <c r="X11" s="675"/>
      <c r="Y11" s="675"/>
      <c r="Z11" s="675"/>
      <c r="AA11" s="675"/>
      <c r="AB11" s="675"/>
      <c r="AC11" s="675"/>
      <c r="AD11" s="675"/>
      <c r="AE11" s="675"/>
      <c r="AF11" s="675"/>
      <c r="AG11" s="675"/>
      <c r="AH11" s="675"/>
      <c r="AI11" s="675"/>
      <c r="AJ11" s="675"/>
      <c r="AK11" s="675"/>
      <c r="AL11" s="675"/>
      <c r="AM11" s="675"/>
      <c r="AN11" s="675"/>
      <c r="AO11" s="675"/>
      <c r="AP11" s="675"/>
      <c r="AQ11" s="675"/>
      <c r="AR11" s="675"/>
      <c r="AS11" s="675"/>
      <c r="AT11" s="675"/>
      <c r="AU11" s="675"/>
      <c r="AV11" s="675"/>
      <c r="AW11" s="675"/>
      <c r="AX11" s="675"/>
      <c r="AY11" s="675"/>
      <c r="AZ11" s="675"/>
      <c r="BA11" s="675"/>
      <c r="BB11" s="675"/>
      <c r="BC11" s="675"/>
      <c r="BD11" s="675"/>
      <c r="BE11" s="675"/>
    </row>
    <row r="12" spans="1:57" s="676" customFormat="1" ht="20.25" customHeight="1" x14ac:dyDescent="0.25">
      <c r="A12" s="362">
        <v>8</v>
      </c>
      <c r="B12" s="353">
        <v>2316145250</v>
      </c>
      <c r="C12" s="670" t="s">
        <v>26</v>
      </c>
      <c r="D12" s="671" t="s">
        <v>1796</v>
      </c>
      <c r="E12" s="545" t="s">
        <v>17</v>
      </c>
      <c r="F12" s="545" t="s">
        <v>1772</v>
      </c>
      <c r="G12" s="670" t="str">
        <f t="shared" si="0"/>
        <v>Rétiré dans les délais</v>
      </c>
      <c r="H12" s="672" t="s">
        <v>1966</v>
      </c>
      <c r="I12" s="673">
        <v>46015</v>
      </c>
      <c r="J12" s="674">
        <v>0</v>
      </c>
      <c r="K12" s="674"/>
      <c r="L12" s="674"/>
      <c r="M12" s="674"/>
      <c r="N12" s="675"/>
      <c r="O12" s="675"/>
      <c r="P12" s="675"/>
      <c r="Q12" s="675"/>
      <c r="R12" s="675"/>
      <c r="S12" s="675"/>
      <c r="T12" s="675"/>
      <c r="U12" s="675"/>
      <c r="V12" s="675"/>
      <c r="W12" s="675"/>
      <c r="X12" s="675"/>
      <c r="Y12" s="675"/>
      <c r="Z12" s="675"/>
      <c r="AA12" s="675"/>
      <c r="AB12" s="675"/>
      <c r="AC12" s="675"/>
      <c r="AD12" s="675"/>
      <c r="AE12" s="675"/>
      <c r="AF12" s="675"/>
      <c r="AG12" s="675"/>
      <c r="AH12" s="675"/>
      <c r="AI12" s="675"/>
      <c r="AJ12" s="675"/>
      <c r="AK12" s="675"/>
      <c r="AL12" s="675"/>
      <c r="AM12" s="675"/>
      <c r="AN12" s="675"/>
      <c r="AO12" s="675"/>
      <c r="AP12" s="675"/>
      <c r="AQ12" s="675"/>
      <c r="AR12" s="675"/>
      <c r="AS12" s="675"/>
      <c r="AT12" s="675"/>
      <c r="AU12" s="675"/>
      <c r="AV12" s="675"/>
      <c r="AW12" s="675"/>
      <c r="AX12" s="675"/>
      <c r="AY12" s="675"/>
      <c r="AZ12" s="675"/>
      <c r="BA12" s="675"/>
      <c r="BB12" s="675"/>
      <c r="BC12" s="675"/>
      <c r="BD12" s="675"/>
      <c r="BE12" s="675"/>
    </row>
    <row r="13" spans="1:57" s="676" customFormat="1" ht="20.25" customHeight="1" x14ac:dyDescent="0.25">
      <c r="A13" s="362">
        <v>12</v>
      </c>
      <c r="B13" s="353">
        <v>4054902500</v>
      </c>
      <c r="C13" s="670" t="s">
        <v>24</v>
      </c>
      <c r="D13" s="671" t="s">
        <v>12</v>
      </c>
      <c r="E13" s="545" t="s">
        <v>17</v>
      </c>
      <c r="F13" s="545" t="s">
        <v>1772</v>
      </c>
      <c r="G13" s="670" t="str">
        <f t="shared" si="0"/>
        <v>Rétiré dans les délais</v>
      </c>
      <c r="H13" s="672" t="s">
        <v>1952</v>
      </c>
      <c r="I13" s="673">
        <v>46015</v>
      </c>
      <c r="J13" s="674">
        <v>0</v>
      </c>
      <c r="K13" s="674"/>
      <c r="L13" s="674"/>
      <c r="M13" s="674"/>
      <c r="N13" s="675"/>
      <c r="O13" s="675"/>
      <c r="P13" s="675"/>
      <c r="Q13" s="675"/>
      <c r="R13" s="675"/>
      <c r="S13" s="675"/>
      <c r="T13" s="675"/>
      <c r="U13" s="675"/>
      <c r="V13" s="675"/>
      <c r="W13" s="675"/>
      <c r="X13" s="675"/>
      <c r="Y13" s="675"/>
      <c r="Z13" s="675"/>
      <c r="AA13" s="675"/>
      <c r="AB13" s="675"/>
      <c r="AC13" s="675"/>
      <c r="AD13" s="675"/>
      <c r="AE13" s="675"/>
      <c r="AF13" s="675"/>
      <c r="AG13" s="675"/>
      <c r="AH13" s="675"/>
      <c r="AI13" s="675"/>
      <c r="AJ13" s="675"/>
      <c r="AK13" s="675"/>
      <c r="AL13" s="675"/>
      <c r="AM13" s="675"/>
      <c r="AN13" s="675"/>
      <c r="AO13" s="675"/>
      <c r="AP13" s="675"/>
      <c r="AQ13" s="675"/>
      <c r="AR13" s="675"/>
      <c r="AS13" s="675"/>
      <c r="AT13" s="675"/>
      <c r="AU13" s="675"/>
      <c r="AV13" s="675"/>
      <c r="AW13" s="675"/>
      <c r="AX13" s="675"/>
      <c r="AY13" s="675"/>
      <c r="AZ13" s="675"/>
      <c r="BA13" s="675"/>
      <c r="BB13" s="675"/>
      <c r="BC13" s="675"/>
      <c r="BD13" s="675"/>
      <c r="BE13" s="675"/>
    </row>
    <row r="14" spans="1:57" s="675" customFormat="1" ht="20.25" customHeight="1" x14ac:dyDescent="0.25">
      <c r="A14" s="362">
        <v>10</v>
      </c>
      <c r="B14" s="353">
        <v>4054902510</v>
      </c>
      <c r="C14" s="670" t="s">
        <v>24</v>
      </c>
      <c r="D14" s="671" t="s">
        <v>12</v>
      </c>
      <c r="E14" s="545" t="s">
        <v>17</v>
      </c>
      <c r="F14" s="545" t="s">
        <v>1772</v>
      </c>
      <c r="G14" s="670" t="str">
        <f t="shared" si="0"/>
        <v>Rétiré dans les délais</v>
      </c>
      <c r="H14" s="672" t="s">
        <v>1967</v>
      </c>
      <c r="I14" s="673">
        <v>46015</v>
      </c>
      <c r="J14" s="674">
        <v>0</v>
      </c>
      <c r="K14" s="674"/>
      <c r="L14" s="674"/>
      <c r="M14" s="674"/>
    </row>
    <row r="15" spans="1:57" s="675" customFormat="1" ht="20.25" customHeight="1" x14ac:dyDescent="0.25">
      <c r="A15" s="362">
        <v>13</v>
      </c>
      <c r="B15" s="353">
        <v>4054917280</v>
      </c>
      <c r="C15" s="670" t="s">
        <v>24</v>
      </c>
      <c r="D15" s="671" t="s">
        <v>12</v>
      </c>
      <c r="E15" s="545" t="s">
        <v>17</v>
      </c>
      <c r="F15" s="545" t="s">
        <v>1772</v>
      </c>
      <c r="G15" s="670" t="str">
        <f t="shared" si="0"/>
        <v>Rétiré dans les délais</v>
      </c>
      <c r="H15" s="672" t="s">
        <v>1969</v>
      </c>
      <c r="I15" s="673">
        <v>46015</v>
      </c>
      <c r="J15" s="674">
        <v>0</v>
      </c>
      <c r="K15" s="674"/>
      <c r="L15" s="674"/>
      <c r="M15" s="674"/>
    </row>
    <row r="16" spans="1:57" s="675" customFormat="1" ht="20.25" customHeight="1" x14ac:dyDescent="0.25">
      <c r="A16" s="362">
        <v>11</v>
      </c>
      <c r="B16" s="353">
        <v>4054918660</v>
      </c>
      <c r="C16" s="670" t="s">
        <v>24</v>
      </c>
      <c r="D16" s="671" t="s">
        <v>12</v>
      </c>
      <c r="E16" s="545" t="s">
        <v>17</v>
      </c>
      <c r="F16" s="545" t="s">
        <v>1772</v>
      </c>
      <c r="G16" s="670" t="str">
        <f t="shared" si="0"/>
        <v>Rétiré dans les délais</v>
      </c>
      <c r="H16" s="672" t="s">
        <v>1970</v>
      </c>
      <c r="I16" s="673">
        <v>46015</v>
      </c>
      <c r="J16" s="674">
        <v>0</v>
      </c>
      <c r="K16" s="674"/>
      <c r="L16" s="674"/>
      <c r="M16" s="674"/>
    </row>
    <row r="17" spans="1:13" s="675" customFormat="1" ht="20.25" customHeight="1" x14ac:dyDescent="0.25">
      <c r="A17" s="362">
        <v>9</v>
      </c>
      <c r="B17" s="353">
        <v>4054942440</v>
      </c>
      <c r="C17" s="670" t="s">
        <v>26</v>
      </c>
      <c r="D17" s="671" t="s">
        <v>12</v>
      </c>
      <c r="E17" s="545" t="s">
        <v>17</v>
      </c>
      <c r="F17" s="545" t="s">
        <v>1772</v>
      </c>
      <c r="G17" s="670" t="str">
        <f t="shared" si="0"/>
        <v>Rétiré dans les délais</v>
      </c>
      <c r="H17" s="672" t="s">
        <v>1968</v>
      </c>
      <c r="I17" s="673">
        <v>46015</v>
      </c>
      <c r="J17" s="674">
        <v>0</v>
      </c>
      <c r="K17" s="674"/>
      <c r="L17" s="674"/>
      <c r="M17" s="674"/>
    </row>
    <row r="18" spans="1:13" s="675" customFormat="1" ht="20.25" customHeight="1" x14ac:dyDescent="0.25">
      <c r="A18" s="362">
        <v>16</v>
      </c>
      <c r="B18" s="670">
        <v>4054935910</v>
      </c>
      <c r="C18" s="670" t="s">
        <v>24</v>
      </c>
      <c r="D18" s="671" t="s">
        <v>18</v>
      </c>
      <c r="E18" s="545" t="s">
        <v>17</v>
      </c>
      <c r="F18" s="545" t="s">
        <v>15</v>
      </c>
      <c r="G18" s="670" t="str">
        <f t="shared" si="0"/>
        <v>Rétiré dans les délais</v>
      </c>
      <c r="H18" s="672" t="s">
        <v>1982</v>
      </c>
      <c r="I18" s="673">
        <v>46020</v>
      </c>
      <c r="J18" s="674">
        <v>0</v>
      </c>
      <c r="K18" s="674"/>
      <c r="L18" s="674"/>
      <c r="M18" s="674"/>
    </row>
    <row r="19" spans="1:13" s="675" customFormat="1" ht="20.25" customHeight="1" x14ac:dyDescent="0.25">
      <c r="A19" s="362">
        <v>15</v>
      </c>
      <c r="B19" s="353">
        <v>4054935970</v>
      </c>
      <c r="C19" s="353" t="s">
        <v>24</v>
      </c>
      <c r="D19" s="613" t="s">
        <v>18</v>
      </c>
      <c r="E19" s="15" t="s">
        <v>17</v>
      </c>
      <c r="F19" s="15" t="s">
        <v>15</v>
      </c>
      <c r="G19" s="353" t="str">
        <f t="shared" si="0"/>
        <v>Rétiré dans les délais</v>
      </c>
      <c r="H19" s="669" t="s">
        <v>1981</v>
      </c>
      <c r="I19" s="658">
        <v>46020</v>
      </c>
      <c r="J19" s="657">
        <v>0</v>
      </c>
      <c r="K19" s="657"/>
      <c r="L19" s="657"/>
      <c r="M19" s="657"/>
    </row>
    <row r="20" spans="1:13" s="675" customFormat="1" ht="20.25" customHeight="1" x14ac:dyDescent="0.25">
      <c r="A20" s="362">
        <v>14</v>
      </c>
      <c r="B20" s="353">
        <v>4054939970</v>
      </c>
      <c r="C20" s="670" t="s">
        <v>26</v>
      </c>
      <c r="D20" s="671" t="s">
        <v>18</v>
      </c>
      <c r="E20" s="545" t="s">
        <v>17</v>
      </c>
      <c r="F20" s="545" t="s">
        <v>1772</v>
      </c>
      <c r="G20" s="670" t="str">
        <f t="shared" si="0"/>
        <v>Rétiré dans les délais</v>
      </c>
      <c r="H20" s="672" t="s">
        <v>1983</v>
      </c>
      <c r="I20" s="673">
        <v>46020</v>
      </c>
      <c r="J20" s="674">
        <v>0</v>
      </c>
      <c r="K20" s="674"/>
      <c r="L20" s="674"/>
      <c r="M20" s="674"/>
    </row>
    <row r="21" spans="1:13" s="675" customFormat="1" ht="20.25" customHeight="1" x14ac:dyDescent="0.25">
      <c r="A21" s="362">
        <v>17</v>
      </c>
      <c r="B21" s="670">
        <v>4054871600</v>
      </c>
      <c r="C21" s="670" t="s">
        <v>26</v>
      </c>
      <c r="D21" s="671" t="s">
        <v>1795</v>
      </c>
      <c r="E21" s="545" t="s">
        <v>17</v>
      </c>
      <c r="F21" s="545" t="s">
        <v>1772</v>
      </c>
      <c r="G21" s="670" t="str">
        <f t="shared" si="0"/>
        <v>Rétiré dans les délais</v>
      </c>
      <c r="H21" s="672" t="s">
        <v>1978</v>
      </c>
      <c r="I21" s="673">
        <v>46017</v>
      </c>
      <c r="J21" s="674">
        <v>0</v>
      </c>
      <c r="K21" s="674"/>
      <c r="L21" s="674"/>
      <c r="M21" s="674"/>
    </row>
    <row r="22" spans="1:13" s="675" customFormat="1" ht="20.25" customHeight="1" x14ac:dyDescent="0.25">
      <c r="A22" s="677">
        <v>18</v>
      </c>
      <c r="B22" s="678">
        <v>4054887610</v>
      </c>
      <c r="C22" s="678" t="s">
        <v>26</v>
      </c>
      <c r="D22" s="679" t="s">
        <v>1795</v>
      </c>
      <c r="E22" s="680" t="s">
        <v>17</v>
      </c>
      <c r="F22" s="680" t="s">
        <v>1772</v>
      </c>
      <c r="G22" s="678" t="str">
        <f t="shared" si="0"/>
        <v>Rétiré dans les délais</v>
      </c>
      <c r="H22" s="674" t="s">
        <v>1976</v>
      </c>
      <c r="I22" s="673">
        <v>46017</v>
      </c>
      <c r="J22" s="674">
        <v>0</v>
      </c>
      <c r="K22" s="674"/>
      <c r="L22" s="674"/>
      <c r="M22" s="674"/>
    </row>
    <row r="23" spans="1:13" s="675" customFormat="1" ht="20.25" customHeight="1" x14ac:dyDescent="0.25">
      <c r="A23" s="362">
        <v>19</v>
      </c>
      <c r="B23" s="670">
        <v>4054887690</v>
      </c>
      <c r="C23" s="670" t="s">
        <v>26</v>
      </c>
      <c r="D23" s="671" t="s">
        <v>1795</v>
      </c>
      <c r="E23" s="545" t="s">
        <v>17</v>
      </c>
      <c r="F23" s="545" t="s">
        <v>1772</v>
      </c>
      <c r="G23" s="670" t="str">
        <f t="shared" si="0"/>
        <v>Rétiré dans les délais</v>
      </c>
      <c r="H23" s="674" t="s">
        <v>1977</v>
      </c>
      <c r="I23" s="673">
        <v>46017</v>
      </c>
      <c r="J23" s="674">
        <v>0</v>
      </c>
      <c r="K23" s="674"/>
      <c r="L23" s="674"/>
      <c r="M23" s="674"/>
    </row>
    <row r="24" spans="1:13" s="675" customFormat="1" ht="20.25" customHeight="1" x14ac:dyDescent="0.25">
      <c r="A24" s="362">
        <v>21</v>
      </c>
      <c r="B24" s="670">
        <v>4054909280</v>
      </c>
      <c r="C24" s="670" t="s">
        <v>26</v>
      </c>
      <c r="D24" s="671" t="s">
        <v>1931</v>
      </c>
      <c r="E24" s="545" t="s">
        <v>1962</v>
      </c>
      <c r="F24" s="545" t="s">
        <v>1772</v>
      </c>
      <c r="G24" s="670" t="str">
        <f t="shared" si="0"/>
        <v>Rétiré dans les délais</v>
      </c>
      <c r="H24" s="674" t="s">
        <v>2006</v>
      </c>
      <c r="I24" s="673">
        <v>46028</v>
      </c>
      <c r="J24" s="674">
        <v>0</v>
      </c>
      <c r="K24" s="674"/>
      <c r="L24" s="674"/>
      <c r="M24" s="674"/>
    </row>
    <row r="25" spans="1:13" s="675" customFormat="1" ht="20.25" customHeight="1" x14ac:dyDescent="0.25">
      <c r="A25" s="362">
        <v>22</v>
      </c>
      <c r="B25" s="670">
        <v>4054911630</v>
      </c>
      <c r="C25" s="670" t="s">
        <v>26</v>
      </c>
      <c r="D25" s="671" t="s">
        <v>1931</v>
      </c>
      <c r="E25" s="545" t="s">
        <v>1962</v>
      </c>
      <c r="F25" s="545" t="s">
        <v>1772</v>
      </c>
      <c r="G25" s="670" t="str">
        <f t="shared" si="0"/>
        <v>Rétiré dans les délais</v>
      </c>
      <c r="H25" s="674" t="s">
        <v>2005</v>
      </c>
      <c r="I25" s="673">
        <v>46028</v>
      </c>
      <c r="J25" s="674">
        <v>0</v>
      </c>
      <c r="K25" s="674"/>
      <c r="L25" s="674"/>
      <c r="M25" s="674"/>
    </row>
    <row r="26" spans="1:13" s="675" customFormat="1" ht="20.25" customHeight="1" x14ac:dyDescent="0.25">
      <c r="A26" s="362">
        <v>20</v>
      </c>
      <c r="B26" s="353">
        <v>4054911640</v>
      </c>
      <c r="C26" s="670" t="s">
        <v>26</v>
      </c>
      <c r="D26" s="671" t="s">
        <v>1931</v>
      </c>
      <c r="E26" s="545" t="s">
        <v>1962</v>
      </c>
      <c r="F26" s="545" t="s">
        <v>1772</v>
      </c>
      <c r="G26" s="670" t="str">
        <f t="shared" si="0"/>
        <v>Rétiré dans les délais</v>
      </c>
      <c r="H26" s="674" t="s">
        <v>2007</v>
      </c>
      <c r="I26" s="673">
        <v>46028</v>
      </c>
      <c r="J26" s="674">
        <v>0</v>
      </c>
      <c r="K26" s="674"/>
      <c r="L26" s="674"/>
      <c r="M26" s="674"/>
    </row>
    <row r="27" spans="1:13" s="675" customFormat="1" ht="20.25" customHeight="1" x14ac:dyDescent="0.25">
      <c r="A27" s="362">
        <v>23</v>
      </c>
      <c r="B27" s="353">
        <v>4054914010</v>
      </c>
      <c r="C27" s="670" t="s">
        <v>26</v>
      </c>
      <c r="D27" s="671" t="s">
        <v>1931</v>
      </c>
      <c r="E27" s="545" t="s">
        <v>1962</v>
      </c>
      <c r="F27" s="545" t="s">
        <v>15</v>
      </c>
      <c r="G27" s="670" t="str">
        <f t="shared" si="0"/>
        <v>Rétiré dans les délais</v>
      </c>
      <c r="H27" s="674" t="s">
        <v>1994</v>
      </c>
      <c r="I27" s="673">
        <v>46024</v>
      </c>
      <c r="J27" s="674">
        <v>0</v>
      </c>
      <c r="K27" s="674"/>
      <c r="L27" s="674"/>
      <c r="M27" s="674"/>
    </row>
    <row r="28" spans="1:13" s="675" customFormat="1" ht="20.25" customHeight="1" x14ac:dyDescent="0.25">
      <c r="A28" s="362">
        <v>24</v>
      </c>
      <c r="B28" s="353">
        <v>4054924950</v>
      </c>
      <c r="C28" s="670" t="s">
        <v>26</v>
      </c>
      <c r="D28" s="671" t="s">
        <v>1931</v>
      </c>
      <c r="E28" s="545" t="s">
        <v>1962</v>
      </c>
      <c r="F28" s="545" t="s">
        <v>15</v>
      </c>
      <c r="G28" s="670" t="str">
        <f t="shared" si="0"/>
        <v>Rétiré dans les délais</v>
      </c>
      <c r="H28" s="674" t="s">
        <v>1993</v>
      </c>
      <c r="I28" s="673">
        <v>46024</v>
      </c>
      <c r="J28" s="674">
        <v>0</v>
      </c>
      <c r="K28" s="674"/>
      <c r="L28" s="674"/>
      <c r="M28" s="674"/>
    </row>
    <row r="29" spans="1:13" s="694" customFormat="1" ht="20.25" customHeight="1" x14ac:dyDescent="0.25">
      <c r="A29" s="362">
        <v>25</v>
      </c>
      <c r="B29" s="353">
        <v>4054925010</v>
      </c>
      <c r="C29" s="670" t="s">
        <v>26</v>
      </c>
      <c r="D29" s="671" t="s">
        <v>1961</v>
      </c>
      <c r="E29" s="545" t="s">
        <v>17</v>
      </c>
      <c r="F29" s="545" t="s">
        <v>1772</v>
      </c>
      <c r="G29" s="670" t="str">
        <f t="shared" si="0"/>
        <v>Rétiré dans les délais</v>
      </c>
      <c r="H29" s="674" t="s">
        <v>1979</v>
      </c>
      <c r="I29" s="673">
        <v>46017</v>
      </c>
      <c r="J29" s="674">
        <v>0</v>
      </c>
      <c r="K29" s="674"/>
      <c r="L29" s="674"/>
      <c r="M29" s="674"/>
    </row>
  </sheetData>
  <autoFilter ref="A4:M29" xr:uid="{D559034C-E1A8-4788-A336-55187472940D}">
    <filterColumn colId="12" showButton="0"/>
    <sortState xmlns:xlrd2="http://schemas.microsoft.com/office/spreadsheetml/2017/richdata2" ref="A5:M29">
      <sortCondition ref="D4:D29"/>
    </sortState>
  </autoFilter>
  <mergeCells count="1">
    <mergeCell ref="G1:I1"/>
  </mergeCells>
  <conditionalFormatting sqref="B45:B1048576 B1:B4 B30:B35">
    <cfRule type="duplicateValues" dxfId="1465" priority="11"/>
    <cfRule type="duplicateValues" dxfId="1464" priority="2193"/>
    <cfRule type="duplicateValues" dxfId="1463" priority="2194"/>
  </conditionalFormatting>
  <conditionalFormatting sqref="B45:B1048576 B1:B35">
    <cfRule type="duplicateValues" dxfId="1462" priority="1"/>
  </conditionalFormatting>
  <conditionalFormatting sqref="B5:D29">
    <cfRule type="containsText" dxfId="1461" priority="6" operator="containsText" text="En Attente d'un Retrait Tardif">
      <formula>NOT(ISERROR(SEARCH("En Attente d'un Retrait Tardif",B5)))</formula>
    </cfRule>
    <cfRule type="containsText" dxfId="1460" priority="7" operator="containsText" text="Rétiré dans les délais">
      <formula>NOT(ISERROR(SEARCH("Rétiré dans les délais",B5)))</formula>
    </cfRule>
  </conditionalFormatting>
  <conditionalFormatting sqref="G5:G29">
    <cfRule type="containsText" dxfId="1459" priority="22" operator="containsText" text="En Attente d'un Retrait Tardif">
      <formula>NOT(ISERROR(SEARCH("En Attente d'un Retrait Tardif",G5)))</formula>
    </cfRule>
    <cfRule type="containsText" dxfId="1458" priority="23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91B5-B7F2-47D2-9834-E52E038597AB}">
  <sheetPr>
    <tabColor theme="2"/>
  </sheetPr>
  <dimension ref="A1:M13"/>
  <sheetViews>
    <sheetView zoomScaleNormal="100" workbookViewId="0">
      <pane ySplit="4" topLeftCell="A5" activePane="bottomLeft" state="frozen"/>
      <selection pane="bottomLeft" activeCell="J7" sqref="J7"/>
    </sheetView>
  </sheetViews>
  <sheetFormatPr baseColWidth="10" defaultRowHeight="15.75" x14ac:dyDescent="0.25"/>
  <cols>
    <col min="1" max="1" width="7.425781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36.28515625" style="208" customWidth="1"/>
    <col min="8" max="8" width="16.28515625" style="208" customWidth="1"/>
    <col min="9" max="9" width="16.28515625" customWidth="1"/>
    <col min="10" max="10" width="11.7109375" style="654" customWidth="1"/>
    <col min="11" max="11" width="11.7109375" customWidth="1"/>
    <col min="12" max="12" width="24.85546875" customWidth="1"/>
    <col min="13" max="13" width="11.7109375" customWidth="1"/>
  </cols>
  <sheetData>
    <row r="1" spans="1:13" ht="19.5" thickBot="1" x14ac:dyDescent="0.35">
      <c r="A1" s="348" t="s">
        <v>1945</v>
      </c>
      <c r="B1" s="431"/>
      <c r="C1" s="431"/>
      <c r="D1" s="288"/>
      <c r="E1" s="631"/>
      <c r="F1" s="288"/>
      <c r="G1" s="729"/>
      <c r="H1" s="729"/>
      <c r="I1" s="729"/>
    </row>
    <row r="2" spans="1:13" ht="24" thickBot="1" x14ac:dyDescent="0.3">
      <c r="A2" s="618" t="s">
        <v>0</v>
      </c>
      <c r="B2" s="638"/>
      <c r="C2" s="24"/>
      <c r="D2" s="25"/>
      <c r="E2" s="358">
        <f ca="1">I2-G2</f>
        <v>91</v>
      </c>
      <c r="F2" s="25"/>
      <c r="G2" s="314">
        <v>46005</v>
      </c>
      <c r="H2" s="365">
        <f ca="1">I2-G2</f>
        <v>91</v>
      </c>
      <c r="I2" s="315">
        <f ca="1">TODAY()</f>
        <v>46096</v>
      </c>
      <c r="J2" s="655"/>
    </row>
    <row r="3" spans="1:13" ht="16.5" thickBot="1" x14ac:dyDescent="0.3">
      <c r="D3" s="633"/>
      <c r="E3" s="632"/>
      <c r="F3" s="633"/>
      <c r="G3" s="105"/>
      <c r="H3" s="105"/>
      <c r="I3" s="208"/>
    </row>
    <row r="4" spans="1:13" ht="19.5" customHeight="1" x14ac:dyDescent="0.25">
      <c r="A4" s="610" t="s">
        <v>1</v>
      </c>
      <c r="B4" s="639" t="s">
        <v>2</v>
      </c>
      <c r="C4" s="610" t="s">
        <v>3</v>
      </c>
      <c r="D4" s="610" t="s">
        <v>5</v>
      </c>
      <c r="E4" s="610" t="s">
        <v>1065</v>
      </c>
      <c r="F4" s="610" t="s">
        <v>1066</v>
      </c>
      <c r="G4" s="610" t="s">
        <v>1067</v>
      </c>
      <c r="H4" s="610" t="s">
        <v>167</v>
      </c>
      <c r="I4" s="647" t="s">
        <v>1068</v>
      </c>
      <c r="J4" s="656" t="s">
        <v>8</v>
      </c>
      <c r="K4" s="649" t="s">
        <v>9</v>
      </c>
      <c r="L4" s="610" t="s">
        <v>10</v>
      </c>
      <c r="M4" s="610" t="s">
        <v>11</v>
      </c>
    </row>
    <row r="5" spans="1:13" s="381" customFormat="1" ht="23.25" customHeight="1" x14ac:dyDescent="0.25">
      <c r="A5" s="516">
        <v>1</v>
      </c>
      <c r="B5" s="275">
        <v>2164300960</v>
      </c>
      <c r="C5" s="366" t="s">
        <v>355</v>
      </c>
      <c r="D5" s="613" t="s">
        <v>1941</v>
      </c>
      <c r="E5" s="353" t="s">
        <v>17</v>
      </c>
      <c r="F5" s="353" t="s">
        <v>1772</v>
      </c>
      <c r="G5" s="323" t="str">
        <f t="shared" ref="G5:G11" si="0">IF(I5="",IF($E$2&lt;=15,"En attente de Retrait","En Attente d'un Retrait Tardif"),IF(I5-$G$2&lt;=15,"Rétiré dans les délais",IF(I5-$G$2&gt;15,"Rétiré tardivement-30000FCFAamende")))</f>
        <v>Rétiré dans les délais</v>
      </c>
      <c r="H5" s="657" t="s">
        <v>1951</v>
      </c>
      <c r="I5" s="658">
        <v>46009</v>
      </c>
      <c r="J5" s="657">
        <v>0</v>
      </c>
      <c r="K5" s="657"/>
      <c r="L5" s="657"/>
      <c r="M5" s="657"/>
    </row>
    <row r="6" spans="1:13" s="373" customFormat="1" ht="23.25" customHeight="1" x14ac:dyDescent="0.25">
      <c r="A6" s="516">
        <v>2</v>
      </c>
      <c r="B6" s="275">
        <v>2164300980</v>
      </c>
      <c r="C6" s="366" t="s">
        <v>355</v>
      </c>
      <c r="D6" s="613" t="s">
        <v>1941</v>
      </c>
      <c r="E6" s="353" t="s">
        <v>17</v>
      </c>
      <c r="F6" s="353" t="s">
        <v>1772</v>
      </c>
      <c r="G6" s="323" t="str">
        <f t="shared" si="0"/>
        <v>Rétiré dans les délais</v>
      </c>
      <c r="H6" s="657" t="s">
        <v>1953</v>
      </c>
      <c r="I6" s="658">
        <v>46009</v>
      </c>
      <c r="J6" s="657">
        <v>0</v>
      </c>
      <c r="K6" s="657"/>
      <c r="L6" s="657"/>
      <c r="M6" s="657"/>
    </row>
    <row r="7" spans="1:13" s="373" customFormat="1" ht="23.25" customHeight="1" x14ac:dyDescent="0.25">
      <c r="A7" s="516">
        <v>3</v>
      </c>
      <c r="B7" s="275">
        <v>2164450670</v>
      </c>
      <c r="C7" s="366" t="s">
        <v>355</v>
      </c>
      <c r="D7" s="613" t="s">
        <v>1942</v>
      </c>
      <c r="E7" s="353" t="s">
        <v>17</v>
      </c>
      <c r="F7" s="353" t="s">
        <v>45</v>
      </c>
      <c r="G7" s="323" t="str">
        <f t="shared" ca="1" si="0"/>
        <v>En Attente d'un Retrait Tardif</v>
      </c>
      <c r="H7" s="657"/>
      <c r="I7" s="658"/>
      <c r="J7" s="657">
        <v>160000</v>
      </c>
      <c r="K7" s="657"/>
      <c r="L7" s="657"/>
      <c r="M7" s="657"/>
    </row>
    <row r="8" spans="1:13" s="373" customFormat="1" ht="23.25" customHeight="1" x14ac:dyDescent="0.25">
      <c r="A8" s="516">
        <v>4</v>
      </c>
      <c r="B8" s="275">
        <v>4054907270</v>
      </c>
      <c r="C8" s="366" t="s">
        <v>355</v>
      </c>
      <c r="D8" s="613" t="s">
        <v>37</v>
      </c>
      <c r="E8" s="353" t="s">
        <v>1940</v>
      </c>
      <c r="F8" s="353" t="s">
        <v>1772</v>
      </c>
      <c r="G8" s="323" t="str">
        <f t="shared" si="0"/>
        <v>Rétiré tardivement-30000FCFAamende</v>
      </c>
      <c r="H8" s="657" t="s">
        <v>1995</v>
      </c>
      <c r="I8" s="658">
        <v>46024</v>
      </c>
      <c r="J8" s="657">
        <v>0</v>
      </c>
      <c r="K8" s="657"/>
      <c r="L8" s="657"/>
      <c r="M8" s="657"/>
    </row>
    <row r="9" spans="1:13" s="373" customFormat="1" ht="23.25" customHeight="1" x14ac:dyDescent="0.25">
      <c r="A9" s="516">
        <v>5</v>
      </c>
      <c r="B9" s="275">
        <v>4054911500</v>
      </c>
      <c r="C9" s="366" t="s">
        <v>355</v>
      </c>
      <c r="D9" s="613" t="s">
        <v>1943</v>
      </c>
      <c r="E9" s="353" t="s">
        <v>17</v>
      </c>
      <c r="F9" s="353" t="s">
        <v>45</v>
      </c>
      <c r="G9" s="323" t="str">
        <f t="shared" si="0"/>
        <v>Rétiré dans les délais</v>
      </c>
      <c r="H9" s="657" t="s">
        <v>1958</v>
      </c>
      <c r="I9" s="658">
        <v>46013</v>
      </c>
      <c r="J9" s="657">
        <v>0</v>
      </c>
      <c r="K9" s="657"/>
      <c r="L9" s="657" t="s">
        <v>1954</v>
      </c>
      <c r="M9" s="657"/>
    </row>
    <row r="10" spans="1:13" s="373" customFormat="1" ht="23.25" customHeight="1" x14ac:dyDescent="0.25">
      <c r="A10" s="516">
        <v>6</v>
      </c>
      <c r="B10" s="275">
        <v>4054871420</v>
      </c>
      <c r="C10" s="366" t="s">
        <v>360</v>
      </c>
      <c r="D10" s="613" t="s">
        <v>274</v>
      </c>
      <c r="E10" s="353" t="s">
        <v>1938</v>
      </c>
      <c r="F10" s="353" t="s">
        <v>1944</v>
      </c>
      <c r="G10" s="323" t="str">
        <f t="shared" si="0"/>
        <v>Rétiré tardivement-30000FCFAamende</v>
      </c>
      <c r="H10" s="657" t="s">
        <v>1985</v>
      </c>
      <c r="I10" s="658">
        <v>46021</v>
      </c>
      <c r="J10" s="657">
        <v>80000</v>
      </c>
      <c r="K10" s="657"/>
      <c r="L10" s="657"/>
      <c r="M10" s="657"/>
    </row>
    <row r="11" spans="1:13" s="373" customFormat="1" ht="23.25" customHeight="1" x14ac:dyDescent="0.25">
      <c r="A11" s="516">
        <v>7</v>
      </c>
      <c r="B11" s="275">
        <v>4054871610</v>
      </c>
      <c r="C11" s="366" t="s">
        <v>360</v>
      </c>
      <c r="D11" s="613" t="s">
        <v>274</v>
      </c>
      <c r="E11" s="353" t="s">
        <v>1939</v>
      </c>
      <c r="F11" s="353" t="s">
        <v>1944</v>
      </c>
      <c r="G11" s="323" t="str">
        <f t="shared" si="0"/>
        <v>Rétiré tardivement-30000FCFAamende</v>
      </c>
      <c r="H11" s="657" t="s">
        <v>1984</v>
      </c>
      <c r="I11" s="658">
        <v>46021</v>
      </c>
      <c r="J11" s="657">
        <v>80000</v>
      </c>
      <c r="K11" s="657"/>
      <c r="L11" s="657"/>
      <c r="M11" s="657" t="s">
        <v>1909</v>
      </c>
    </row>
    <row r="13" spans="1:13" x14ac:dyDescent="0.25">
      <c r="D13" s="379"/>
    </row>
  </sheetData>
  <autoFilter ref="A4:M11" xr:uid="{D559034C-E1A8-4788-A336-55187472940D}">
    <filterColumn colId="12" showButton="0"/>
    <sortState xmlns:xlrd2="http://schemas.microsoft.com/office/spreadsheetml/2017/richdata2" ref="A5:M11">
      <sortCondition ref="C4:C11"/>
    </sortState>
  </autoFilter>
  <mergeCells count="1">
    <mergeCell ref="G1:I1"/>
  </mergeCells>
  <conditionalFormatting sqref="B1:B1048576">
    <cfRule type="duplicateValues" dxfId="1457" priority="1"/>
  </conditionalFormatting>
  <conditionalFormatting sqref="B12:B1048576 B1:B4">
    <cfRule type="duplicateValues" dxfId="1456" priority="4"/>
    <cfRule type="duplicateValues" dxfId="1455" priority="5"/>
  </conditionalFormatting>
  <conditionalFormatting sqref="B5:D11 G5:G11">
    <cfRule type="containsText" dxfId="1454" priority="2" operator="containsText" text="En Attente d'un Retrait Tardif">
      <formula>NOT(ISERROR(SEARCH("En Attente d'un Retrait Tardif",B5)))</formula>
    </cfRule>
    <cfRule type="containsText" dxfId="1453" priority="3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4E85-4650-48B1-A394-B368EEBE87C1}">
  <sheetPr>
    <tabColor theme="2"/>
  </sheetPr>
  <dimension ref="A1:BE12"/>
  <sheetViews>
    <sheetView zoomScaleNormal="100" workbookViewId="0">
      <pane ySplit="4" topLeftCell="A5" activePane="bottomLeft" state="frozen"/>
      <selection pane="bottomLeft" activeCell="G19" sqref="G19"/>
    </sheetView>
  </sheetViews>
  <sheetFormatPr baseColWidth="10" defaultRowHeight="15.75" x14ac:dyDescent="0.25"/>
  <cols>
    <col min="1" max="1" width="7.425781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33.42578125" style="208" customWidth="1"/>
    <col min="8" max="8" width="16.28515625" style="208" customWidth="1"/>
    <col min="9" max="9" width="16.28515625" customWidth="1"/>
    <col min="10" max="10" width="11.7109375" style="654" customWidth="1"/>
    <col min="11" max="13" width="11.7109375" customWidth="1"/>
  </cols>
  <sheetData>
    <row r="1" spans="1:57" ht="19.5" thickBot="1" x14ac:dyDescent="0.35">
      <c r="A1" s="348" t="s">
        <v>1930</v>
      </c>
      <c r="B1" s="431"/>
      <c r="C1" s="431"/>
      <c r="D1" s="288"/>
      <c r="E1" s="631"/>
      <c r="F1" s="288"/>
      <c r="G1" s="729"/>
      <c r="H1" s="729"/>
      <c r="I1" s="729"/>
    </row>
    <row r="2" spans="1:57" ht="24" thickBot="1" x14ac:dyDescent="0.3">
      <c r="A2" s="618" t="s">
        <v>0</v>
      </c>
      <c r="B2" s="638"/>
      <c r="C2" s="24"/>
      <c r="D2" s="25"/>
      <c r="E2" s="358">
        <f ca="1">I2-G2</f>
        <v>93</v>
      </c>
      <c r="F2" s="25"/>
      <c r="G2" s="314">
        <v>46003</v>
      </c>
      <c r="H2" s="365">
        <f ca="1">I2-G2</f>
        <v>93</v>
      </c>
      <c r="I2" s="315">
        <f ca="1">TODAY()</f>
        <v>46096</v>
      </c>
      <c r="J2" s="655"/>
    </row>
    <row r="3" spans="1:57" ht="16.5" thickBot="1" x14ac:dyDescent="0.3">
      <c r="D3" s="633"/>
      <c r="E3" s="632"/>
      <c r="F3" s="633"/>
      <c r="G3" s="105"/>
      <c r="H3" s="105"/>
      <c r="I3" s="208"/>
    </row>
    <row r="4" spans="1:57" ht="19.5" customHeight="1" x14ac:dyDescent="0.25">
      <c r="A4" s="610" t="s">
        <v>1</v>
      </c>
      <c r="B4" s="639" t="s">
        <v>2</v>
      </c>
      <c r="C4" s="610" t="s">
        <v>3</v>
      </c>
      <c r="D4" s="610" t="s">
        <v>5</v>
      </c>
      <c r="E4" s="610" t="s">
        <v>1065</v>
      </c>
      <c r="F4" s="610" t="s">
        <v>1066</v>
      </c>
      <c r="G4" s="610" t="s">
        <v>1067</v>
      </c>
      <c r="H4" s="610" t="s">
        <v>167</v>
      </c>
      <c r="I4" s="647" t="s">
        <v>1068</v>
      </c>
      <c r="J4" s="656" t="s">
        <v>8</v>
      </c>
      <c r="K4" s="649" t="s">
        <v>9</v>
      </c>
      <c r="L4" s="610" t="s">
        <v>10</v>
      </c>
      <c r="M4" s="610" t="s">
        <v>11</v>
      </c>
    </row>
    <row r="5" spans="1:57" s="381" customFormat="1" ht="23.25" customHeight="1" x14ac:dyDescent="0.25">
      <c r="A5" s="516">
        <v>1</v>
      </c>
      <c r="B5" s="275">
        <v>4054853590</v>
      </c>
      <c r="C5" s="665" t="s">
        <v>26</v>
      </c>
      <c r="D5" s="667" t="s">
        <v>1932</v>
      </c>
      <c r="E5" s="323" t="s">
        <v>17</v>
      </c>
      <c r="F5" s="323" t="s">
        <v>1772</v>
      </c>
      <c r="G5" s="353" t="str">
        <f t="shared" ref="G5:G12" si="0">IF(I5="",IF($E$2&lt;=15,"En attente de Retrait","En Attente d'un Retrait Tardif"),IF(I5-$G$2&lt;=15,"Rétiré dans les délais",IF(I5-$G$2&gt;15,"Rétiré tardivement-30000FCFAamende")))</f>
        <v>Rétiré dans les délais</v>
      </c>
      <c r="H5" s="657" t="s">
        <v>1946</v>
      </c>
      <c r="I5" s="658">
        <v>46008</v>
      </c>
      <c r="J5" s="657">
        <v>0</v>
      </c>
      <c r="K5" s="657"/>
      <c r="L5" s="657"/>
      <c r="M5" s="657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</row>
    <row r="6" spans="1:57" s="373" customFormat="1" ht="23.25" customHeight="1" x14ac:dyDescent="0.25">
      <c r="A6" s="516">
        <v>2</v>
      </c>
      <c r="B6" s="275">
        <v>4054871620</v>
      </c>
      <c r="C6" s="665" t="s">
        <v>26</v>
      </c>
      <c r="D6" s="667" t="s">
        <v>1795</v>
      </c>
      <c r="E6" s="323" t="s">
        <v>17</v>
      </c>
      <c r="F6" s="323" t="s">
        <v>1772</v>
      </c>
      <c r="G6" s="353" t="str">
        <f t="shared" si="0"/>
        <v>Rétiré dans les délais</v>
      </c>
      <c r="H6" s="657" t="s">
        <v>1947</v>
      </c>
      <c r="I6" s="658">
        <v>46007</v>
      </c>
      <c r="J6" s="657">
        <v>0</v>
      </c>
      <c r="K6" s="657"/>
      <c r="L6" s="657"/>
      <c r="M6" s="657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57" s="373" customFormat="1" ht="23.25" customHeight="1" x14ac:dyDescent="0.25">
      <c r="A7" s="516">
        <v>3</v>
      </c>
      <c r="B7" s="275">
        <v>4054871630</v>
      </c>
      <c r="C7" s="666" t="s">
        <v>26</v>
      </c>
      <c r="D7" s="667" t="s">
        <v>1795</v>
      </c>
      <c r="E7" s="323" t="s">
        <v>17</v>
      </c>
      <c r="F7" s="323" t="s">
        <v>1772</v>
      </c>
      <c r="G7" s="353" t="str">
        <f t="shared" si="0"/>
        <v>Rétiré dans les délais</v>
      </c>
      <c r="H7" s="657" t="s">
        <v>1949</v>
      </c>
      <c r="I7" s="658">
        <v>46007</v>
      </c>
      <c r="J7" s="657">
        <v>0</v>
      </c>
      <c r="K7" s="657"/>
      <c r="L7" s="657"/>
      <c r="M7" s="65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s="373" customFormat="1" ht="23.25" customHeight="1" x14ac:dyDescent="0.25">
      <c r="A8" s="516">
        <v>4</v>
      </c>
      <c r="B8" s="275">
        <v>4054886190</v>
      </c>
      <c r="C8" s="665" t="s">
        <v>164</v>
      </c>
      <c r="D8" s="667" t="s">
        <v>12</v>
      </c>
      <c r="E8" s="323" t="s">
        <v>17</v>
      </c>
      <c r="F8" s="323" t="s">
        <v>1772</v>
      </c>
      <c r="G8" s="353" t="str">
        <f t="shared" si="0"/>
        <v>Rétiré dans les délais</v>
      </c>
      <c r="H8" s="657" t="s">
        <v>1950</v>
      </c>
      <c r="I8" s="658">
        <v>46009</v>
      </c>
      <c r="J8" s="657">
        <v>0</v>
      </c>
      <c r="K8" s="657"/>
      <c r="L8" s="657"/>
      <c r="M8" s="657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57" s="373" customFormat="1" ht="23.25" customHeight="1" x14ac:dyDescent="0.25">
      <c r="A9" s="516">
        <v>5</v>
      </c>
      <c r="B9" s="275">
        <v>4054889440</v>
      </c>
      <c r="C9" s="665" t="s">
        <v>26</v>
      </c>
      <c r="D9" s="667" t="s">
        <v>1933</v>
      </c>
      <c r="E9" s="323" t="s">
        <v>17</v>
      </c>
      <c r="F9" s="323" t="s">
        <v>1772</v>
      </c>
      <c r="G9" s="353" t="str">
        <f t="shared" si="0"/>
        <v>Rétiré dans les délais</v>
      </c>
      <c r="H9" s="657" t="s">
        <v>1948</v>
      </c>
      <c r="I9" s="658">
        <v>46007</v>
      </c>
      <c r="J9" s="657">
        <v>0</v>
      </c>
      <c r="K9" s="657"/>
      <c r="L9" s="657"/>
      <c r="M9" s="657" t="s">
        <v>1909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57" s="373" customFormat="1" ht="23.25" customHeight="1" x14ac:dyDescent="0.25">
      <c r="A10" s="516">
        <v>6</v>
      </c>
      <c r="B10" s="275">
        <v>4054909290</v>
      </c>
      <c r="C10" s="666" t="s">
        <v>26</v>
      </c>
      <c r="D10" s="667" t="s">
        <v>1931</v>
      </c>
      <c r="E10" s="323" t="s">
        <v>1934</v>
      </c>
      <c r="F10" s="323" t="s">
        <v>1772</v>
      </c>
      <c r="G10" s="353" t="str">
        <f t="shared" si="0"/>
        <v>Rétiré dans les délais</v>
      </c>
      <c r="H10" s="657" t="s">
        <v>1963</v>
      </c>
      <c r="I10" s="658">
        <v>46014</v>
      </c>
      <c r="J10" s="657">
        <v>0</v>
      </c>
      <c r="K10" s="657"/>
      <c r="L10" s="657"/>
      <c r="M10" s="657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57" s="373" customFormat="1" ht="23.25" customHeight="1" x14ac:dyDescent="0.25">
      <c r="A11" s="516">
        <v>7</v>
      </c>
      <c r="B11" s="275">
        <v>4054909300</v>
      </c>
      <c r="C11" s="665" t="s">
        <v>26</v>
      </c>
      <c r="D11" s="667" t="s">
        <v>1931</v>
      </c>
      <c r="E11" s="323" t="s">
        <v>1934</v>
      </c>
      <c r="F11" s="323" t="s">
        <v>1772</v>
      </c>
      <c r="G11" s="353" t="str">
        <f t="shared" si="0"/>
        <v>Rétiré dans les délais</v>
      </c>
      <c r="H11" s="657" t="s">
        <v>1965</v>
      </c>
      <c r="I11" s="658">
        <v>46014</v>
      </c>
      <c r="J11" s="657">
        <v>0</v>
      </c>
      <c r="K11" s="657"/>
      <c r="L11" s="657"/>
      <c r="M11" s="657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57" ht="23.25" customHeight="1" x14ac:dyDescent="0.25">
      <c r="A12" s="516">
        <v>8</v>
      </c>
      <c r="B12" s="275">
        <v>4054914060</v>
      </c>
      <c r="C12" s="666" t="s">
        <v>26</v>
      </c>
      <c r="D12" s="667" t="s">
        <v>1931</v>
      </c>
      <c r="E12" s="323" t="s">
        <v>1934</v>
      </c>
      <c r="F12" s="323" t="s">
        <v>1772</v>
      </c>
      <c r="G12" s="353" t="str">
        <f t="shared" si="0"/>
        <v>Rétiré dans les délais</v>
      </c>
      <c r="H12" s="657" t="s">
        <v>1964</v>
      </c>
      <c r="I12" s="658">
        <v>46014</v>
      </c>
      <c r="J12" s="657">
        <v>0</v>
      </c>
      <c r="K12" s="657"/>
      <c r="L12" s="657"/>
      <c r="M12" s="657"/>
    </row>
  </sheetData>
  <autoFilter ref="A4:M12" xr:uid="{D559034C-E1A8-4788-A336-55187472940D}">
    <filterColumn colId="12" showButton="0"/>
    <sortState xmlns:xlrd2="http://schemas.microsoft.com/office/spreadsheetml/2017/richdata2" ref="A5:M12">
      <sortCondition ref="B4:B12"/>
    </sortState>
  </autoFilter>
  <mergeCells count="1">
    <mergeCell ref="G1:I1"/>
  </mergeCells>
  <conditionalFormatting sqref="B1:B1048576">
    <cfRule type="duplicateValues" dxfId="1452" priority="1"/>
  </conditionalFormatting>
  <conditionalFormatting sqref="B13:B1048576 B1:B4">
    <cfRule type="duplicateValues" dxfId="1451" priority="2184"/>
    <cfRule type="duplicateValues" dxfId="1450" priority="2185"/>
  </conditionalFormatting>
  <conditionalFormatting sqref="B5:D12 G5:G12">
    <cfRule type="containsText" dxfId="1449" priority="5" operator="containsText" text="En Attente d'un Retrait Tardif">
      <formula>NOT(ISERROR(SEARCH("En Attente d'un Retrait Tardif",B5)))</formula>
    </cfRule>
    <cfRule type="containsText" dxfId="1448" priority="6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2976-1DF6-49AE-8A3E-97E74276839F}">
  <sheetPr>
    <tabColor theme="2"/>
  </sheetPr>
  <dimension ref="A1:BE21"/>
  <sheetViews>
    <sheetView zoomScaleNormal="100" workbookViewId="0">
      <pane ySplit="4" topLeftCell="A5" activePane="bottomLeft" state="frozen"/>
      <selection pane="bottomLeft" activeCell="D17" sqref="D17"/>
    </sheetView>
  </sheetViews>
  <sheetFormatPr baseColWidth="10" defaultRowHeight="15.75" x14ac:dyDescent="0.25"/>
  <cols>
    <col min="1" max="1" width="7.42578125" customWidth="1"/>
    <col min="2" max="2" width="17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29.85546875" style="208" customWidth="1"/>
    <col min="8" max="8" width="16.28515625" style="208" customWidth="1"/>
    <col min="9" max="9" width="16.28515625" customWidth="1"/>
    <col min="10" max="10" width="29.42578125" style="654" customWidth="1"/>
    <col min="11" max="13" width="11.7109375" customWidth="1"/>
  </cols>
  <sheetData>
    <row r="1" spans="1:57" ht="19.5" thickBot="1" x14ac:dyDescent="0.35">
      <c r="A1" s="348" t="s">
        <v>1896</v>
      </c>
      <c r="B1" s="431"/>
      <c r="C1" s="431"/>
      <c r="D1" s="288"/>
      <c r="E1" s="631"/>
      <c r="F1" s="288"/>
      <c r="G1" s="729"/>
      <c r="H1" s="729"/>
      <c r="I1" s="729"/>
    </row>
    <row r="2" spans="1:57" ht="24" thickBot="1" x14ac:dyDescent="0.3">
      <c r="A2" s="618" t="s">
        <v>0</v>
      </c>
      <c r="B2" s="638"/>
      <c r="C2" s="24"/>
      <c r="D2" s="25"/>
      <c r="E2" s="358">
        <f ca="1">I2-G2</f>
        <v>115</v>
      </c>
      <c r="F2" s="25"/>
      <c r="G2" s="314">
        <v>45981</v>
      </c>
      <c r="H2" s="365">
        <f ca="1">I2-G2</f>
        <v>115</v>
      </c>
      <c r="I2" s="315">
        <f ca="1">TODAY()</f>
        <v>46096</v>
      </c>
      <c r="J2" s="655"/>
    </row>
    <row r="3" spans="1:57" ht="16.5" thickBot="1" x14ac:dyDescent="0.3">
      <c r="D3" s="633"/>
      <c r="E3" s="632"/>
      <c r="F3" s="633"/>
      <c r="G3" s="105"/>
      <c r="H3" s="105"/>
      <c r="I3" s="208"/>
    </row>
    <row r="4" spans="1:57" ht="19.5" customHeight="1" x14ac:dyDescent="0.25">
      <c r="A4" s="610" t="s">
        <v>1</v>
      </c>
      <c r="B4" s="639" t="s">
        <v>2</v>
      </c>
      <c r="C4" s="610" t="s">
        <v>3</v>
      </c>
      <c r="D4" s="610" t="s">
        <v>5</v>
      </c>
      <c r="E4" s="610" t="s">
        <v>1065</v>
      </c>
      <c r="F4" s="610" t="s">
        <v>1066</v>
      </c>
      <c r="G4" s="610" t="s">
        <v>1067</v>
      </c>
      <c r="H4" s="610" t="s">
        <v>167</v>
      </c>
      <c r="I4" s="647" t="s">
        <v>1068</v>
      </c>
      <c r="J4" s="656" t="s">
        <v>8</v>
      </c>
      <c r="K4" s="649" t="s">
        <v>9</v>
      </c>
      <c r="L4" s="610" t="s">
        <v>10</v>
      </c>
      <c r="M4" s="610" t="s">
        <v>11</v>
      </c>
    </row>
    <row r="5" spans="1:57" s="381" customFormat="1" ht="23.25" customHeight="1" x14ac:dyDescent="0.25">
      <c r="A5" s="516">
        <v>7</v>
      </c>
      <c r="B5" s="353">
        <v>2312450790</v>
      </c>
      <c r="C5" s="353" t="s">
        <v>1901</v>
      </c>
      <c r="D5" s="353" t="s">
        <v>1796</v>
      </c>
      <c r="E5" s="353" t="s">
        <v>17</v>
      </c>
      <c r="F5" s="353" t="s">
        <v>1772</v>
      </c>
      <c r="G5" s="353" t="str">
        <f t="shared" ref="G5:G21" si="0">IF(I5="",IF($E$2&lt;=15,"En attente de Retrait","En Attente d'un Retrait Tardif"),IF(I5-$G$2&lt;=15,"Rétiré dans les délais",IF(I5-$G$2&gt;15,"Rétiré tardivement-30000FCFAamende")))</f>
        <v>Rétiré dans les délais</v>
      </c>
      <c r="H5" s="657" t="s">
        <v>1928</v>
      </c>
      <c r="I5" s="658">
        <v>45996</v>
      </c>
      <c r="J5" s="657">
        <v>0</v>
      </c>
      <c r="K5" s="657"/>
      <c r="L5" s="657"/>
      <c r="M5" s="657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</row>
    <row r="6" spans="1:57" s="373" customFormat="1" ht="23.25" customHeight="1" x14ac:dyDescent="0.25">
      <c r="A6" s="516">
        <v>8</v>
      </c>
      <c r="B6" s="353">
        <v>2314345200</v>
      </c>
      <c r="C6" s="353" t="s">
        <v>1901</v>
      </c>
      <c r="D6" s="353" t="s">
        <v>1796</v>
      </c>
      <c r="E6" s="353" t="s">
        <v>17</v>
      </c>
      <c r="F6" s="353" t="s">
        <v>1772</v>
      </c>
      <c r="G6" s="353" t="str">
        <f t="shared" si="0"/>
        <v>Rétiré dans les délais</v>
      </c>
      <c r="H6" s="657" t="s">
        <v>1913</v>
      </c>
      <c r="I6" s="658">
        <v>45986</v>
      </c>
      <c r="J6" s="657">
        <v>0</v>
      </c>
      <c r="K6" s="657"/>
      <c r="L6" s="657"/>
      <c r="M6" s="657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57" s="373" customFormat="1" ht="23.25" customHeight="1" x14ac:dyDescent="0.25">
      <c r="A7" s="516">
        <v>6</v>
      </c>
      <c r="B7" s="353">
        <v>4054757791</v>
      </c>
      <c r="C7" s="353" t="s">
        <v>1901</v>
      </c>
      <c r="D7" s="353" t="s">
        <v>19</v>
      </c>
      <c r="E7" s="353" t="s">
        <v>1902</v>
      </c>
      <c r="F7" s="353" t="s">
        <v>1772</v>
      </c>
      <c r="G7" s="613" t="str">
        <f t="shared" si="0"/>
        <v>Rétiré tardivement-30000FCFAamende</v>
      </c>
      <c r="H7" s="657" t="s">
        <v>1936</v>
      </c>
      <c r="I7" s="658">
        <v>46001</v>
      </c>
      <c r="J7" s="657" t="s">
        <v>1937</v>
      </c>
      <c r="K7" s="657"/>
      <c r="L7" s="657"/>
      <c r="M7" s="65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s="373" customFormat="1" ht="23.25" customHeight="1" x14ac:dyDescent="0.25">
      <c r="A8" s="516">
        <v>16</v>
      </c>
      <c r="B8" s="353">
        <v>4054864690</v>
      </c>
      <c r="C8" s="353" t="s">
        <v>1899</v>
      </c>
      <c r="D8" s="353" t="s">
        <v>203</v>
      </c>
      <c r="E8" s="353" t="s">
        <v>17</v>
      </c>
      <c r="F8" s="353" t="s">
        <v>1772</v>
      </c>
      <c r="G8" s="353" t="str">
        <f t="shared" si="0"/>
        <v>Rétiré dans les délais</v>
      </c>
      <c r="H8" s="657" t="s">
        <v>1920</v>
      </c>
      <c r="I8" s="658">
        <v>45987</v>
      </c>
      <c r="J8" s="657">
        <v>0</v>
      </c>
      <c r="K8" s="657"/>
      <c r="L8" s="657"/>
      <c r="M8" s="657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57" s="373" customFormat="1" ht="23.25" customHeight="1" x14ac:dyDescent="0.25">
      <c r="A9" s="516">
        <v>13</v>
      </c>
      <c r="B9" s="353">
        <v>4054864740</v>
      </c>
      <c r="C9" s="353" t="s">
        <v>1901</v>
      </c>
      <c r="D9" s="353" t="s">
        <v>1795</v>
      </c>
      <c r="E9" s="353" t="s">
        <v>17</v>
      </c>
      <c r="F9" s="353" t="s">
        <v>1772</v>
      </c>
      <c r="G9" s="353" t="str">
        <f t="shared" si="0"/>
        <v>Rétiré dans les délais</v>
      </c>
      <c r="H9" s="657" t="s">
        <v>1907</v>
      </c>
      <c r="I9" s="658">
        <v>45985</v>
      </c>
      <c r="J9" s="657">
        <v>0</v>
      </c>
      <c r="K9" s="657"/>
      <c r="L9" s="657"/>
      <c r="M9" s="657" t="s">
        <v>1909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57" s="373" customFormat="1" ht="23.25" customHeight="1" x14ac:dyDescent="0.25">
      <c r="A10" s="516">
        <v>14</v>
      </c>
      <c r="B10" s="353">
        <v>4054864760</v>
      </c>
      <c r="C10" s="353" t="s">
        <v>1901</v>
      </c>
      <c r="D10" s="353" t="s">
        <v>1795</v>
      </c>
      <c r="E10" s="353" t="s">
        <v>17</v>
      </c>
      <c r="F10" s="353" t="s">
        <v>1772</v>
      </c>
      <c r="G10" s="353" t="str">
        <f t="shared" si="0"/>
        <v>Rétiré dans les délais</v>
      </c>
      <c r="H10" s="657" t="s">
        <v>1908</v>
      </c>
      <c r="I10" s="658">
        <v>45985</v>
      </c>
      <c r="J10" s="657">
        <v>0</v>
      </c>
      <c r="K10" s="657"/>
      <c r="L10" s="657"/>
      <c r="M10" s="657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57" s="373" customFormat="1" ht="23.25" customHeight="1" x14ac:dyDescent="0.25">
      <c r="A11" s="516">
        <v>11</v>
      </c>
      <c r="B11" s="353">
        <v>4054866250</v>
      </c>
      <c r="C11" s="353" t="s">
        <v>1900</v>
      </c>
      <c r="D11" s="353" t="s">
        <v>12</v>
      </c>
      <c r="E11" s="353" t="s">
        <v>17</v>
      </c>
      <c r="F11" s="353" t="s">
        <v>1772</v>
      </c>
      <c r="G11" s="353" t="str">
        <f t="shared" si="0"/>
        <v>Rétiré dans les délais</v>
      </c>
      <c r="H11" s="657" t="s">
        <v>1916</v>
      </c>
      <c r="I11" s="658">
        <v>45986</v>
      </c>
      <c r="J11" s="657">
        <v>0</v>
      </c>
      <c r="K11" s="657"/>
      <c r="L11" s="657"/>
      <c r="M11" s="657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57" s="373" customFormat="1" ht="23.25" customHeight="1" x14ac:dyDescent="0.25">
      <c r="A12" s="516">
        <v>12</v>
      </c>
      <c r="B12" s="353">
        <v>4054866270</v>
      </c>
      <c r="C12" s="353" t="s">
        <v>1900</v>
      </c>
      <c r="D12" s="353" t="s">
        <v>12</v>
      </c>
      <c r="E12" s="353" t="s">
        <v>17</v>
      </c>
      <c r="F12" s="353" t="s">
        <v>1772</v>
      </c>
      <c r="G12" s="353" t="str">
        <f t="shared" si="0"/>
        <v>Rétiré dans les délais</v>
      </c>
      <c r="H12" s="657" t="s">
        <v>1915</v>
      </c>
      <c r="I12" s="658">
        <v>45986</v>
      </c>
      <c r="J12" s="657">
        <v>0</v>
      </c>
      <c r="K12" s="657"/>
      <c r="L12" s="657"/>
      <c r="M12" s="657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</row>
    <row r="13" spans="1:57" s="373" customFormat="1" ht="23.25" customHeight="1" x14ac:dyDescent="0.25">
      <c r="A13" s="516">
        <v>15</v>
      </c>
      <c r="B13" s="353">
        <v>4054871580</v>
      </c>
      <c r="C13" s="353" t="s">
        <v>1901</v>
      </c>
      <c r="D13" s="353" t="s">
        <v>1795</v>
      </c>
      <c r="E13" s="353" t="s">
        <v>17</v>
      </c>
      <c r="F13" s="353" t="s">
        <v>1772</v>
      </c>
      <c r="G13" s="353" t="str">
        <f t="shared" si="0"/>
        <v>Rétiré dans les délais</v>
      </c>
      <c r="H13" s="657" t="s">
        <v>1906</v>
      </c>
      <c r="I13" s="658">
        <v>45985</v>
      </c>
      <c r="J13" s="657">
        <v>0</v>
      </c>
      <c r="K13" s="657"/>
      <c r="L13" s="657"/>
      <c r="M13" s="657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57" ht="23.25" customHeight="1" x14ac:dyDescent="0.25">
      <c r="A14" s="516">
        <v>1</v>
      </c>
      <c r="B14" s="353">
        <v>4054874040</v>
      </c>
      <c r="C14" s="353" t="s">
        <v>1901</v>
      </c>
      <c r="D14" s="353" t="s">
        <v>1897</v>
      </c>
      <c r="E14" s="353" t="s">
        <v>1904</v>
      </c>
      <c r="F14" s="353" t="s">
        <v>1757</v>
      </c>
      <c r="G14" s="353" t="str">
        <f t="shared" si="0"/>
        <v>Rétiré dans les délais</v>
      </c>
      <c r="H14" s="657" t="s">
        <v>1918</v>
      </c>
      <c r="I14" s="658">
        <v>45987</v>
      </c>
      <c r="J14" s="657">
        <v>0</v>
      </c>
      <c r="K14" s="657"/>
      <c r="L14" s="657"/>
      <c r="M14" s="657"/>
    </row>
    <row r="15" spans="1:57" ht="23.25" customHeight="1" x14ac:dyDescent="0.25">
      <c r="A15" s="516">
        <v>5</v>
      </c>
      <c r="B15" s="353">
        <v>4054880980</v>
      </c>
      <c r="C15" s="353" t="s">
        <v>1901</v>
      </c>
      <c r="D15" s="353" t="s">
        <v>14</v>
      </c>
      <c r="E15" s="353" t="s">
        <v>1904</v>
      </c>
      <c r="F15" s="353" t="s">
        <v>1772</v>
      </c>
      <c r="G15" s="353" t="str">
        <f t="shared" si="0"/>
        <v>Rétiré dans les délais</v>
      </c>
      <c r="H15" s="657" t="s">
        <v>1912</v>
      </c>
      <c r="I15" s="658">
        <v>45986</v>
      </c>
      <c r="J15" s="657">
        <v>0</v>
      </c>
      <c r="K15" s="657"/>
      <c r="L15" s="657"/>
      <c r="M15" s="657"/>
    </row>
    <row r="16" spans="1:57" ht="23.25" customHeight="1" x14ac:dyDescent="0.25">
      <c r="A16" s="516">
        <v>17</v>
      </c>
      <c r="B16" s="353">
        <v>4054882380</v>
      </c>
      <c r="C16" s="353" t="s">
        <v>1901</v>
      </c>
      <c r="D16" s="353" t="s">
        <v>1898</v>
      </c>
      <c r="E16" s="353" t="s">
        <v>17</v>
      </c>
      <c r="F16" s="353" t="s">
        <v>1772</v>
      </c>
      <c r="G16" s="353" t="str">
        <f t="shared" si="0"/>
        <v>Rétiré dans les délais</v>
      </c>
      <c r="H16" s="657" t="s">
        <v>1917</v>
      </c>
      <c r="I16" s="658">
        <v>45986</v>
      </c>
      <c r="J16" s="657">
        <v>0</v>
      </c>
      <c r="K16" s="657"/>
      <c r="L16" s="657"/>
      <c r="M16" s="657"/>
    </row>
    <row r="17" spans="1:13" ht="23.25" customHeight="1" x14ac:dyDescent="0.25">
      <c r="A17" s="516">
        <v>9</v>
      </c>
      <c r="B17" s="353">
        <v>4054882490</v>
      </c>
      <c r="C17" s="353" t="s">
        <v>1901</v>
      </c>
      <c r="D17" s="353" t="s">
        <v>1834</v>
      </c>
      <c r="E17" s="353" t="s">
        <v>1903</v>
      </c>
      <c r="F17" s="353" t="s">
        <v>1772</v>
      </c>
      <c r="G17" s="613" t="str">
        <f t="shared" si="0"/>
        <v>Rétiré tardivement-30000FCFAamende</v>
      </c>
      <c r="H17" s="657" t="s">
        <v>1935</v>
      </c>
      <c r="I17" s="658">
        <v>46000</v>
      </c>
      <c r="J17" s="657">
        <v>0</v>
      </c>
      <c r="K17" s="657"/>
      <c r="L17" s="657"/>
      <c r="M17" s="657"/>
    </row>
    <row r="18" spans="1:13" ht="23.25" customHeight="1" x14ac:dyDescent="0.25">
      <c r="A18" s="516">
        <v>2</v>
      </c>
      <c r="B18" s="353">
        <v>4054883510</v>
      </c>
      <c r="C18" s="353" t="s">
        <v>1899</v>
      </c>
      <c r="D18" s="353" t="s">
        <v>1100</v>
      </c>
      <c r="E18" s="353" t="s">
        <v>17</v>
      </c>
      <c r="F18" s="353" t="s">
        <v>1772</v>
      </c>
      <c r="G18" s="353" t="str">
        <f t="shared" si="0"/>
        <v>Rétiré dans les délais</v>
      </c>
      <c r="H18" s="657" t="s">
        <v>1914</v>
      </c>
      <c r="I18" s="658">
        <v>45986</v>
      </c>
      <c r="J18" s="657">
        <v>0</v>
      </c>
      <c r="K18" s="657"/>
      <c r="L18" s="657"/>
      <c r="M18" s="657"/>
    </row>
    <row r="19" spans="1:13" ht="23.25" customHeight="1" x14ac:dyDescent="0.25">
      <c r="A19" s="516">
        <v>10</v>
      </c>
      <c r="B19" s="353">
        <v>4054886170</v>
      </c>
      <c r="C19" s="353" t="s">
        <v>1901</v>
      </c>
      <c r="D19" s="353" t="s">
        <v>1809</v>
      </c>
      <c r="E19" s="353" t="s">
        <v>17</v>
      </c>
      <c r="F19" s="353" t="s">
        <v>1772</v>
      </c>
      <c r="G19" s="353" t="str">
        <f t="shared" si="0"/>
        <v>Rétiré dans les délais</v>
      </c>
      <c r="H19" s="657" t="s">
        <v>1922</v>
      </c>
      <c r="I19" s="658">
        <v>45988</v>
      </c>
      <c r="J19" s="657">
        <v>0</v>
      </c>
      <c r="K19" s="657"/>
      <c r="L19" s="657"/>
      <c r="M19" s="657"/>
    </row>
    <row r="20" spans="1:13" ht="23.25" customHeight="1" x14ac:dyDescent="0.25">
      <c r="A20" s="516">
        <v>3</v>
      </c>
      <c r="B20" s="353">
        <v>4054890250</v>
      </c>
      <c r="C20" s="353" t="s">
        <v>1900</v>
      </c>
      <c r="D20" s="353" t="s">
        <v>570</v>
      </c>
      <c r="E20" s="353" t="s">
        <v>17</v>
      </c>
      <c r="F20" s="353" t="s">
        <v>1772</v>
      </c>
      <c r="G20" s="353" t="str">
        <f t="shared" si="0"/>
        <v>Rétiré dans les délais</v>
      </c>
      <c r="H20" s="657" t="s">
        <v>1919</v>
      </c>
      <c r="I20" s="658">
        <v>45987</v>
      </c>
      <c r="J20" s="657">
        <v>0</v>
      </c>
      <c r="K20" s="657"/>
      <c r="L20" s="657"/>
      <c r="M20" s="657"/>
    </row>
    <row r="21" spans="1:13" ht="23.25" customHeight="1" x14ac:dyDescent="0.25">
      <c r="A21" s="516">
        <v>4</v>
      </c>
      <c r="B21" s="353">
        <v>4054894320</v>
      </c>
      <c r="C21" s="353" t="s">
        <v>1900</v>
      </c>
      <c r="D21" s="353" t="s">
        <v>570</v>
      </c>
      <c r="E21" s="353" t="s">
        <v>17</v>
      </c>
      <c r="F21" s="353" t="s">
        <v>1772</v>
      </c>
      <c r="G21" s="353" t="str">
        <f t="shared" si="0"/>
        <v>Rétiré dans les délais</v>
      </c>
      <c r="H21" s="657" t="s">
        <v>1910</v>
      </c>
      <c r="I21" s="658">
        <v>45985</v>
      </c>
      <c r="J21" s="657">
        <v>0</v>
      </c>
      <c r="K21" s="657"/>
      <c r="L21" s="657"/>
      <c r="M21" s="657"/>
    </row>
  </sheetData>
  <autoFilter ref="A4:M21" xr:uid="{D559034C-E1A8-4788-A336-55187472940D}">
    <filterColumn colId="12" showButton="0"/>
    <sortState xmlns:xlrd2="http://schemas.microsoft.com/office/spreadsheetml/2017/richdata2" ref="A5:M21">
      <sortCondition ref="B4:B21"/>
    </sortState>
  </autoFilter>
  <mergeCells count="1">
    <mergeCell ref="G1:I1"/>
  </mergeCells>
  <phoneticPr fontId="81" type="noConversion"/>
  <conditionalFormatting sqref="B1:B1048576">
    <cfRule type="duplicateValues" dxfId="1447" priority="1"/>
    <cfRule type="duplicateValues" dxfId="1446" priority="4"/>
  </conditionalFormatting>
  <conditionalFormatting sqref="G5:G21">
    <cfRule type="containsText" dxfId="1445" priority="2" operator="containsText" text="En Attente d'un Retrait Tardif">
      <formula>NOT(ISERROR(SEARCH("En Attente d'un Retrait Tardif",G5)))</formula>
    </cfRule>
    <cfRule type="containsText" dxfId="1444" priority="3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FA8C-BEDA-462E-9B18-250C2C51BE8A}">
  <sheetPr>
    <tabColor theme="2"/>
  </sheetPr>
  <dimension ref="A1:BE24"/>
  <sheetViews>
    <sheetView zoomScale="115" zoomScaleNormal="115" workbookViewId="0">
      <pane ySplit="4" topLeftCell="A5" activePane="bottomLeft" state="frozen"/>
      <selection pane="bottomLeft" activeCell="F19" sqref="F19"/>
    </sheetView>
  </sheetViews>
  <sheetFormatPr baseColWidth="10" defaultRowHeight="15.75" x14ac:dyDescent="0.25"/>
  <cols>
    <col min="1" max="1" width="7.42578125" customWidth="1"/>
    <col min="2" max="2" width="20.28515625" style="282" customWidth="1"/>
    <col min="3" max="3" width="16.42578125" style="105" customWidth="1"/>
    <col min="4" max="4" width="40.42578125" style="208" customWidth="1"/>
    <col min="5" max="5" width="21.42578125" style="105" customWidth="1"/>
    <col min="6" max="6" width="20" style="208" customWidth="1"/>
    <col min="7" max="7" width="29.5703125" style="208" customWidth="1"/>
    <col min="8" max="9" width="16.28515625" customWidth="1"/>
    <col min="10" max="10" width="18.7109375" customWidth="1"/>
    <col min="11" max="11" width="10.28515625" bestFit="1" customWidth="1"/>
    <col min="12" max="12" width="8.85546875" bestFit="1" customWidth="1"/>
    <col min="13" max="13" width="10.42578125" bestFit="1" customWidth="1"/>
  </cols>
  <sheetData>
    <row r="1" spans="1:57" ht="19.5" thickBot="1" x14ac:dyDescent="0.35">
      <c r="A1" s="348" t="s">
        <v>1832</v>
      </c>
      <c r="B1" s="431"/>
      <c r="C1" s="431"/>
      <c r="D1" s="288"/>
      <c r="E1" s="631"/>
      <c r="F1" s="288"/>
      <c r="G1" s="729"/>
      <c r="H1" s="729"/>
      <c r="I1" s="729"/>
    </row>
    <row r="2" spans="1:57" ht="24" thickBot="1" x14ac:dyDescent="0.35">
      <c r="A2" s="618" t="s">
        <v>0</v>
      </c>
      <c r="B2" s="638"/>
      <c r="C2" s="24"/>
      <c r="D2" s="25"/>
      <c r="E2" s="358">
        <f ca="1">I2-G2</f>
        <v>127</v>
      </c>
      <c r="F2" s="25"/>
      <c r="G2" s="314">
        <v>45969</v>
      </c>
      <c r="H2" s="365">
        <f ca="1">I2-G2</f>
        <v>127</v>
      </c>
      <c r="I2" s="315">
        <f ca="1">TODAY()</f>
        <v>46096</v>
      </c>
      <c r="J2" s="200" t="s">
        <v>1889</v>
      </c>
    </row>
    <row r="3" spans="1:57" ht="16.5" thickBot="1" x14ac:dyDescent="0.3">
      <c r="D3" s="633"/>
      <c r="E3" s="632"/>
      <c r="F3" s="633"/>
      <c r="G3" s="105"/>
      <c r="H3" s="105"/>
      <c r="I3" s="208"/>
    </row>
    <row r="4" spans="1:57" ht="19.5" customHeight="1" x14ac:dyDescent="0.25">
      <c r="A4" s="610" t="s">
        <v>1</v>
      </c>
      <c r="B4" s="639" t="s">
        <v>2</v>
      </c>
      <c r="C4" s="610" t="s">
        <v>3</v>
      </c>
      <c r="D4" s="610" t="s">
        <v>5</v>
      </c>
      <c r="E4" s="610" t="s">
        <v>1065</v>
      </c>
      <c r="F4" s="610" t="s">
        <v>1066</v>
      </c>
      <c r="G4" s="610" t="s">
        <v>1067</v>
      </c>
      <c r="H4" s="610" t="s">
        <v>167</v>
      </c>
      <c r="I4" s="647" t="s">
        <v>1068</v>
      </c>
      <c r="J4" s="650" t="s">
        <v>8</v>
      </c>
      <c r="K4" s="649" t="s">
        <v>9</v>
      </c>
      <c r="L4" s="610" t="s">
        <v>10</v>
      </c>
      <c r="M4" s="610" t="s">
        <v>11</v>
      </c>
    </row>
    <row r="5" spans="1:57" s="381" customFormat="1" ht="24.75" customHeight="1" x14ac:dyDescent="0.25">
      <c r="A5" s="516">
        <v>1</v>
      </c>
      <c r="B5" s="645">
        <v>2163553170</v>
      </c>
      <c r="C5" s="353" t="s">
        <v>355</v>
      </c>
      <c r="D5" s="353" t="s">
        <v>1838</v>
      </c>
      <c r="E5" s="353" t="s">
        <v>215</v>
      </c>
      <c r="F5" s="353" t="s">
        <v>45</v>
      </c>
      <c r="G5" s="353" t="str">
        <f t="shared" ref="G5:G15" si="0">IF(I5="",IF($E$2&lt;=15,"En attente de Retrait","En Attente d'un Retrait Tardif"),IF(I5-$G$2&lt;=15,"Rétiré dans les délais",IF(I5-$G$2&gt;15,"Rétiré tardivement-30000FCFAamende")))</f>
        <v>Rétiré dans les délais</v>
      </c>
      <c r="H5" s="366" t="s">
        <v>1884</v>
      </c>
      <c r="I5" s="648">
        <v>45974</v>
      </c>
      <c r="J5" s="651">
        <v>0</v>
      </c>
      <c r="K5" s="662"/>
      <c r="L5" s="662"/>
      <c r="M5" s="662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</row>
    <row r="6" spans="1:57" s="373" customFormat="1" ht="24.75" customHeight="1" x14ac:dyDescent="0.25">
      <c r="A6" s="516">
        <v>2</v>
      </c>
      <c r="B6" s="645">
        <v>2163685500</v>
      </c>
      <c r="C6" s="353" t="s">
        <v>355</v>
      </c>
      <c r="D6" s="353" t="s">
        <v>1838</v>
      </c>
      <c r="E6" s="353" t="s">
        <v>215</v>
      </c>
      <c r="F6" s="353" t="s">
        <v>15</v>
      </c>
      <c r="G6" s="353" t="str">
        <f t="shared" si="0"/>
        <v>Rétiré dans les délais</v>
      </c>
      <c r="H6" s="366" t="s">
        <v>1883</v>
      </c>
      <c r="I6" s="648">
        <v>45974</v>
      </c>
      <c r="J6" s="651">
        <v>0</v>
      </c>
      <c r="K6" s="662"/>
      <c r="L6" s="662"/>
      <c r="M6" s="662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57" s="373" customFormat="1" ht="24.75" customHeight="1" x14ac:dyDescent="0.25">
      <c r="A7" s="516">
        <v>3</v>
      </c>
      <c r="B7" s="718">
        <v>4054762790</v>
      </c>
      <c r="C7" s="718" t="s">
        <v>355</v>
      </c>
      <c r="D7" s="718" t="s">
        <v>1834</v>
      </c>
      <c r="E7" s="718" t="s">
        <v>1868</v>
      </c>
      <c r="F7" s="718" t="s">
        <v>13</v>
      </c>
      <c r="G7" s="718" t="str">
        <f t="shared" ca="1" si="0"/>
        <v>En Attente d'un Retrait Tardif</v>
      </c>
      <c r="H7" s="719"/>
      <c r="I7" s="720"/>
      <c r="J7" s="721">
        <v>1140000</v>
      </c>
      <c r="K7" s="721"/>
      <c r="L7" s="662"/>
      <c r="M7" s="662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s="373" customFormat="1" ht="24.75" customHeight="1" x14ac:dyDescent="0.25">
      <c r="A8" s="516">
        <v>4</v>
      </c>
      <c r="B8" s="645">
        <v>4054788420</v>
      </c>
      <c r="C8" s="353" t="s">
        <v>465</v>
      </c>
      <c r="D8" s="353" t="s">
        <v>1835</v>
      </c>
      <c r="E8" s="353" t="s">
        <v>215</v>
      </c>
      <c r="F8" s="353" t="s">
        <v>45</v>
      </c>
      <c r="G8" s="353" t="str">
        <f t="shared" si="0"/>
        <v>Rétiré dans les délais</v>
      </c>
      <c r="H8" s="366" t="s">
        <v>1895</v>
      </c>
      <c r="I8" s="648">
        <v>45980</v>
      </c>
      <c r="J8" s="652">
        <v>0</v>
      </c>
      <c r="K8" s="662"/>
      <c r="L8" s="662"/>
      <c r="M8" s="662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57" s="373" customFormat="1" ht="24.75" customHeight="1" x14ac:dyDescent="0.25">
      <c r="A9" s="516">
        <v>5</v>
      </c>
      <c r="B9" s="645">
        <v>4054801070</v>
      </c>
      <c r="C9" s="353" t="s">
        <v>360</v>
      </c>
      <c r="D9" s="353" t="s">
        <v>274</v>
      </c>
      <c r="E9" s="353" t="s">
        <v>1840</v>
      </c>
      <c r="F9" s="353" t="s">
        <v>13</v>
      </c>
      <c r="G9" s="353" t="str">
        <f t="shared" si="0"/>
        <v>Rétiré dans les délais</v>
      </c>
      <c r="H9" s="366" t="s">
        <v>1887</v>
      </c>
      <c r="I9" s="648">
        <v>45975</v>
      </c>
      <c r="J9" s="652">
        <v>2840000</v>
      </c>
      <c r="K9" s="662"/>
      <c r="L9" s="662"/>
      <c r="M9" s="662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57" s="373" customFormat="1" ht="24.75" customHeight="1" x14ac:dyDescent="0.25">
      <c r="A10" s="516">
        <v>6</v>
      </c>
      <c r="B10" s="353">
        <v>4054845420</v>
      </c>
      <c r="C10" s="353" t="s">
        <v>355</v>
      </c>
      <c r="D10" s="353" t="s">
        <v>1836</v>
      </c>
      <c r="E10" s="353" t="s">
        <v>1839</v>
      </c>
      <c r="F10" s="353" t="s">
        <v>13</v>
      </c>
      <c r="G10" s="353" t="str">
        <f t="shared" si="0"/>
        <v>Rétiré dans les délais</v>
      </c>
      <c r="H10" s="366" t="s">
        <v>1891</v>
      </c>
      <c r="I10" s="648">
        <v>45979</v>
      </c>
      <c r="J10" s="652">
        <v>0</v>
      </c>
      <c r="K10" s="662"/>
      <c r="L10" s="662"/>
      <c r="M10" s="662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57" s="373" customFormat="1" ht="24.75" customHeight="1" x14ac:dyDescent="0.25">
      <c r="A11" s="516">
        <v>7</v>
      </c>
      <c r="B11" s="353">
        <v>4054845430</v>
      </c>
      <c r="C11" s="353" t="s">
        <v>355</v>
      </c>
      <c r="D11" s="353" t="s">
        <v>1836</v>
      </c>
      <c r="E11" s="353" t="s">
        <v>1839</v>
      </c>
      <c r="F11" s="353" t="s">
        <v>13</v>
      </c>
      <c r="G11" s="353" t="str">
        <f t="shared" si="0"/>
        <v>Rétiré dans les délais</v>
      </c>
      <c r="H11" s="366" t="s">
        <v>1892</v>
      </c>
      <c r="I11" s="648">
        <v>45979</v>
      </c>
      <c r="J11" s="652">
        <v>0</v>
      </c>
      <c r="K11" s="662"/>
      <c r="L11" s="662"/>
      <c r="M11" s="662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57" s="373" customFormat="1" ht="24.75" customHeight="1" x14ac:dyDescent="0.25">
      <c r="A12" s="516">
        <v>8</v>
      </c>
      <c r="B12" s="353">
        <v>4054845450</v>
      </c>
      <c r="C12" s="353" t="s">
        <v>355</v>
      </c>
      <c r="D12" s="353" t="s">
        <v>1836</v>
      </c>
      <c r="E12" s="353" t="s">
        <v>1839</v>
      </c>
      <c r="F12" s="353" t="s">
        <v>13</v>
      </c>
      <c r="G12" s="353" t="str">
        <f t="shared" si="0"/>
        <v>Rétiré dans les délais</v>
      </c>
      <c r="H12" s="366" t="s">
        <v>1893</v>
      </c>
      <c r="I12" s="648">
        <v>45979</v>
      </c>
      <c r="J12" s="652">
        <v>0</v>
      </c>
      <c r="K12" s="662"/>
      <c r="L12" s="662"/>
      <c r="M12" s="66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</row>
    <row r="13" spans="1:57" s="373" customFormat="1" ht="24.75" customHeight="1" x14ac:dyDescent="0.25">
      <c r="A13" s="516">
        <v>9</v>
      </c>
      <c r="B13" s="353">
        <v>4054859220</v>
      </c>
      <c r="C13" s="353" t="s">
        <v>355</v>
      </c>
      <c r="D13" s="353" t="s">
        <v>1837</v>
      </c>
      <c r="E13" s="353" t="s">
        <v>1839</v>
      </c>
      <c r="F13" s="353" t="s">
        <v>13</v>
      </c>
      <c r="G13" s="353" t="str">
        <f t="shared" si="0"/>
        <v>Rétiré dans les délais</v>
      </c>
      <c r="H13" s="366" t="s">
        <v>1894</v>
      </c>
      <c r="I13" s="648">
        <v>45979</v>
      </c>
      <c r="J13" s="652">
        <v>0</v>
      </c>
      <c r="K13" s="662"/>
      <c r="L13" s="662"/>
      <c r="M13" s="662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57" ht="24.75" customHeight="1" x14ac:dyDescent="0.25">
      <c r="A14" s="516">
        <v>10</v>
      </c>
      <c r="B14" s="659">
        <v>4054814540</v>
      </c>
      <c r="C14" s="659" t="s">
        <v>355</v>
      </c>
      <c r="D14" s="659" t="s">
        <v>1833</v>
      </c>
      <c r="E14" s="659" t="s">
        <v>215</v>
      </c>
      <c r="F14" s="659" t="s">
        <v>1766</v>
      </c>
      <c r="G14" s="659" t="str">
        <f t="shared" si="0"/>
        <v>Rétiré dans les délais</v>
      </c>
      <c r="H14" s="660" t="s">
        <v>1886</v>
      </c>
      <c r="I14" s="661">
        <v>45975</v>
      </c>
      <c r="J14" s="662">
        <v>1100000</v>
      </c>
      <c r="K14" s="662">
        <v>550000</v>
      </c>
      <c r="L14" s="662"/>
      <c r="M14" s="662"/>
      <c r="N14" t="s">
        <v>1927</v>
      </c>
    </row>
    <row r="15" spans="1:57" ht="24.75" customHeight="1" thickBot="1" x14ac:dyDescent="0.3">
      <c r="A15" s="516">
        <v>11</v>
      </c>
      <c r="B15" s="353">
        <v>4054882480</v>
      </c>
      <c r="C15" s="353" t="s">
        <v>355</v>
      </c>
      <c r="D15" s="353" t="s">
        <v>1867</v>
      </c>
      <c r="E15" s="353" t="s">
        <v>215</v>
      </c>
      <c r="F15" s="353" t="s">
        <v>1766</v>
      </c>
      <c r="G15" s="353" t="str">
        <f t="shared" si="0"/>
        <v>Rétiré dans les délais</v>
      </c>
      <c r="H15" s="366" t="s">
        <v>1890</v>
      </c>
      <c r="I15" s="648">
        <v>45979</v>
      </c>
      <c r="J15" s="653">
        <v>0</v>
      </c>
      <c r="K15" s="662"/>
      <c r="L15" s="662"/>
      <c r="M15" s="662"/>
    </row>
    <row r="24" spans="7:8" x14ac:dyDescent="0.25">
      <c r="G24" s="663"/>
      <c r="H24" s="664"/>
    </row>
  </sheetData>
  <mergeCells count="1">
    <mergeCell ref="G1:I1"/>
  </mergeCells>
  <conditionalFormatting sqref="A5:M15 N13:Z15">
    <cfRule type="containsText" dxfId="1443" priority="4" operator="containsText" text="En Attente d'un Retrait Tardif">
      <formula>NOT(ISERROR(SEARCH("En Attente d'un Retrait Tardif",A5)))</formula>
    </cfRule>
    <cfRule type="containsText" dxfId="1442" priority="5" operator="containsText" text="Rétiré dans les délais">
      <formula>NOT(ISERROR(SEARCH("Rétiré dans les délais",A5)))</formula>
    </cfRule>
  </conditionalFormatting>
  <conditionalFormatting sqref="B16:B1048576 B1:B3">
    <cfRule type="duplicateValues" dxfId="1441" priority="2133"/>
  </conditionalFormatting>
  <conditionalFormatting sqref="B16:B1048576 B1:B4">
    <cfRule type="duplicateValues" dxfId="1440" priority="2"/>
    <cfRule type="duplicateValues" dxfId="1439" priority="3"/>
    <cfRule type="duplicateValues" dxfId="1438" priority="2136"/>
    <cfRule type="duplicateValues" dxfId="1437" priority="2137"/>
    <cfRule type="duplicateValues" dxfId="1436" priority="2138"/>
    <cfRule type="duplicateValues" dxfId="1435" priority="2139"/>
    <cfRule type="duplicateValues" dxfId="1434" priority="2140"/>
    <cfRule type="duplicateValues" dxfId="1433" priority="2141"/>
  </conditionalFormatting>
  <conditionalFormatting sqref="B16:B1048576">
    <cfRule type="duplicateValues" dxfId="1432" priority="2154"/>
  </conditionalFormatting>
  <conditionalFormatting sqref="O13:O15 B1:B1048576">
    <cfRule type="duplicateValues" dxfId="1431" priority="1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5EDE-8F7F-47C4-9EC9-804610598BA9}">
  <sheetPr>
    <tabColor theme="2"/>
  </sheetPr>
  <dimension ref="A1:BE32"/>
  <sheetViews>
    <sheetView zoomScaleNormal="100" workbookViewId="0">
      <pane ySplit="4" topLeftCell="A5" activePane="bottomLeft" state="frozen"/>
      <selection pane="bottomLeft" activeCell="G4" sqref="G4"/>
    </sheetView>
  </sheetViews>
  <sheetFormatPr baseColWidth="10" defaultRowHeight="15.75" x14ac:dyDescent="0.25"/>
  <cols>
    <col min="1" max="1" width="7.42578125" customWidth="1"/>
    <col min="2" max="2" width="20.28515625" style="282" customWidth="1"/>
    <col min="3" max="3" width="16.42578125" style="105" customWidth="1"/>
    <col min="4" max="4" width="62" style="208" customWidth="1"/>
    <col min="5" max="5" width="16.5703125" style="105" customWidth="1"/>
    <col min="6" max="6" width="20" style="208" customWidth="1"/>
    <col min="7" max="7" width="27.85546875" style="208" customWidth="1"/>
    <col min="8" max="13" width="16.28515625" customWidth="1"/>
  </cols>
  <sheetData>
    <row r="1" spans="1:57" ht="19.5" thickBot="1" x14ac:dyDescent="0.35">
      <c r="A1" s="348" t="s">
        <v>1857</v>
      </c>
      <c r="B1" s="431"/>
      <c r="C1" s="431"/>
      <c r="D1" s="288"/>
      <c r="E1" s="631"/>
      <c r="F1" s="288"/>
      <c r="G1" s="729"/>
      <c r="H1" s="729"/>
      <c r="I1" s="729"/>
      <c r="J1" s="208"/>
      <c r="K1" s="208"/>
      <c r="L1" s="208"/>
    </row>
    <row r="2" spans="1:57" ht="24" thickBot="1" x14ac:dyDescent="0.3">
      <c r="A2" s="618" t="s">
        <v>0</v>
      </c>
      <c r="B2" s="638"/>
      <c r="C2" s="24"/>
      <c r="D2" s="25"/>
      <c r="E2" s="358">
        <f ca="1">I2-G2</f>
        <v>129</v>
      </c>
      <c r="F2" s="25"/>
      <c r="G2" s="314">
        <v>45967</v>
      </c>
      <c r="H2" s="365">
        <f ca="1">I2-G2</f>
        <v>129</v>
      </c>
      <c r="I2" s="315">
        <f ca="1">TODAY()</f>
        <v>46096</v>
      </c>
      <c r="J2" s="340" t="s">
        <v>1882</v>
      </c>
      <c r="K2" s="340"/>
      <c r="L2" s="208"/>
    </row>
    <row r="3" spans="1:57" x14ac:dyDescent="0.25">
      <c r="D3" s="633"/>
      <c r="E3" s="632"/>
      <c r="F3" s="633"/>
      <c r="G3" s="105"/>
      <c r="H3" s="105"/>
      <c r="I3" s="208"/>
      <c r="J3" s="208"/>
      <c r="K3" s="208"/>
      <c r="L3" s="208"/>
    </row>
    <row r="4" spans="1:57" ht="19.5" customHeight="1" x14ac:dyDescent="0.25">
      <c r="A4" s="610" t="s">
        <v>1</v>
      </c>
      <c r="B4" s="639" t="s">
        <v>2</v>
      </c>
      <c r="C4" s="610" t="s">
        <v>3</v>
      </c>
      <c r="D4" s="610" t="s">
        <v>5</v>
      </c>
      <c r="E4" s="610" t="s">
        <v>6</v>
      </c>
      <c r="F4" s="610" t="s">
        <v>1860</v>
      </c>
      <c r="G4" s="610" t="s">
        <v>1067</v>
      </c>
      <c r="H4" s="610" t="s">
        <v>167</v>
      </c>
      <c r="I4" s="610" t="s">
        <v>1068</v>
      </c>
      <c r="J4" s="610" t="s">
        <v>8</v>
      </c>
      <c r="K4" s="610" t="s">
        <v>9</v>
      </c>
      <c r="L4" s="610" t="s">
        <v>10</v>
      </c>
      <c r="M4" s="610" t="s">
        <v>11</v>
      </c>
    </row>
    <row r="5" spans="1:57" s="381" customFormat="1" ht="20.25" customHeight="1" x14ac:dyDescent="0.25">
      <c r="A5" s="642">
        <v>2</v>
      </c>
      <c r="B5" s="619">
        <v>4054848631</v>
      </c>
      <c r="C5" s="619" t="s">
        <v>164</v>
      </c>
      <c r="D5" s="644" t="s">
        <v>1858</v>
      </c>
      <c r="E5" s="15" t="s">
        <v>17</v>
      </c>
      <c r="F5" s="353" t="s">
        <v>15</v>
      </c>
      <c r="G5" s="15" t="str">
        <f t="shared" ref="G5:G14" si="0">IF(I5="",IF($E$2&lt;=15,"En attente de Retrait","En Attente d'un Retrait Tardif"),IF(I5-$G$2&lt;=15,"Rétiré dans les délais",IF(I5-$G$2&gt;15,"Rétiré tardivement-30000FCFAamende")))</f>
        <v>Rétiré dans les délais</v>
      </c>
      <c r="H5" s="366" t="s">
        <v>1869</v>
      </c>
      <c r="I5" s="634">
        <v>45971</v>
      </c>
      <c r="J5" s="640">
        <v>0</v>
      </c>
      <c r="K5" s="533"/>
      <c r="L5" s="533"/>
      <c r="M5" s="533"/>
      <c r="N5" s="480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</row>
    <row r="6" spans="1:57" s="373" customFormat="1" ht="20.25" customHeight="1" x14ac:dyDescent="0.25">
      <c r="A6" s="642">
        <v>10</v>
      </c>
      <c r="B6" s="619">
        <v>4054882500</v>
      </c>
      <c r="C6" s="619" t="s">
        <v>26</v>
      </c>
      <c r="D6" s="644" t="s">
        <v>1859</v>
      </c>
      <c r="E6" s="15" t="s">
        <v>17</v>
      </c>
      <c r="F6" s="353" t="s">
        <v>15</v>
      </c>
      <c r="G6" s="15" t="str">
        <f t="shared" si="0"/>
        <v>Rétiré dans les délais</v>
      </c>
      <c r="H6" s="366" t="s">
        <v>1870</v>
      </c>
      <c r="I6" s="634">
        <v>45971</v>
      </c>
      <c r="J6" s="640">
        <v>0</v>
      </c>
      <c r="K6" s="533"/>
      <c r="L6" s="533"/>
      <c r="M6" s="533"/>
      <c r="N6" s="480"/>
    </row>
    <row r="7" spans="1:57" s="373" customFormat="1" ht="20.25" customHeight="1" x14ac:dyDescent="0.25">
      <c r="A7" s="642">
        <v>3</v>
      </c>
      <c r="B7" s="619">
        <v>4054859620</v>
      </c>
      <c r="C7" s="619" t="s">
        <v>24</v>
      </c>
      <c r="D7" s="643" t="s">
        <v>12</v>
      </c>
      <c r="E7" s="15" t="s">
        <v>17</v>
      </c>
      <c r="F7" s="353" t="s">
        <v>15</v>
      </c>
      <c r="G7" s="15" t="str">
        <f t="shared" si="0"/>
        <v>Rétiré dans les délais</v>
      </c>
      <c r="H7" s="366" t="s">
        <v>1879</v>
      </c>
      <c r="I7" s="634">
        <v>45973</v>
      </c>
      <c r="J7" s="640">
        <v>0</v>
      </c>
      <c r="K7" s="533"/>
      <c r="L7" s="533"/>
      <c r="M7" s="533"/>
      <c r="N7" s="480"/>
    </row>
    <row r="8" spans="1:57" s="373" customFormat="1" ht="20.25" customHeight="1" x14ac:dyDescent="0.25">
      <c r="A8" s="642">
        <v>4</v>
      </c>
      <c r="B8" s="619">
        <v>4054859660</v>
      </c>
      <c r="C8" s="619" t="s">
        <v>24</v>
      </c>
      <c r="D8" s="643" t="s">
        <v>12</v>
      </c>
      <c r="E8" s="15" t="s">
        <v>17</v>
      </c>
      <c r="F8" s="353" t="s">
        <v>15</v>
      </c>
      <c r="G8" s="15" t="str">
        <f t="shared" si="0"/>
        <v>Rétiré dans les délais</v>
      </c>
      <c r="H8" s="366" t="s">
        <v>1880</v>
      </c>
      <c r="I8" s="634">
        <v>45973</v>
      </c>
      <c r="J8" s="640">
        <v>0</v>
      </c>
      <c r="K8" s="533"/>
      <c r="L8" s="533"/>
      <c r="M8" s="533"/>
      <c r="N8" s="480"/>
    </row>
    <row r="9" spans="1:57" s="373" customFormat="1" ht="20.25" customHeight="1" x14ac:dyDescent="0.25">
      <c r="A9" s="642">
        <v>9</v>
      </c>
      <c r="B9" s="619">
        <v>4054869710</v>
      </c>
      <c r="C9" s="619" t="s">
        <v>26</v>
      </c>
      <c r="D9" s="643" t="s">
        <v>12</v>
      </c>
      <c r="E9" s="15" t="s">
        <v>17</v>
      </c>
      <c r="F9" s="353" t="s">
        <v>15</v>
      </c>
      <c r="G9" s="15" t="str">
        <f t="shared" si="0"/>
        <v>Rétiré dans les délais</v>
      </c>
      <c r="H9" s="366" t="s">
        <v>1878</v>
      </c>
      <c r="I9" s="634">
        <v>45973</v>
      </c>
      <c r="J9" s="640">
        <v>0</v>
      </c>
      <c r="K9" s="533"/>
      <c r="L9" s="533"/>
      <c r="M9" s="533"/>
      <c r="N9" s="480"/>
    </row>
    <row r="10" spans="1:57" s="373" customFormat="1" ht="20.25" customHeight="1" x14ac:dyDescent="0.25">
      <c r="A10" s="642">
        <v>1</v>
      </c>
      <c r="B10" s="646">
        <v>4054843610</v>
      </c>
      <c r="C10" s="619" t="s">
        <v>26</v>
      </c>
      <c r="D10" s="643" t="s">
        <v>69</v>
      </c>
      <c r="E10" s="15" t="s">
        <v>17</v>
      </c>
      <c r="F10" s="353" t="s">
        <v>15</v>
      </c>
      <c r="G10" s="15" t="str">
        <f t="shared" si="0"/>
        <v>Rétiré dans les délais</v>
      </c>
      <c r="H10" s="366" t="s">
        <v>1873</v>
      </c>
      <c r="I10" s="634">
        <v>45971</v>
      </c>
      <c r="J10" s="640">
        <v>0</v>
      </c>
      <c r="K10" s="533"/>
      <c r="L10" s="533"/>
      <c r="M10" s="533"/>
      <c r="N10" s="480"/>
    </row>
    <row r="11" spans="1:57" s="373" customFormat="1" ht="20.25" customHeight="1" x14ac:dyDescent="0.25">
      <c r="A11" s="642">
        <v>5</v>
      </c>
      <c r="B11" s="646">
        <v>4054864750</v>
      </c>
      <c r="C11" s="619" t="s">
        <v>26</v>
      </c>
      <c r="D11" s="643" t="s">
        <v>69</v>
      </c>
      <c r="E11" s="15" t="s">
        <v>17</v>
      </c>
      <c r="F11" s="353" t="s">
        <v>15</v>
      </c>
      <c r="G11" s="15" t="str">
        <f t="shared" si="0"/>
        <v>Rétiré dans les délais</v>
      </c>
      <c r="H11" s="366" t="s">
        <v>1872</v>
      </c>
      <c r="I11" s="634">
        <v>45971</v>
      </c>
      <c r="J11" s="640">
        <v>0</v>
      </c>
      <c r="K11" s="533"/>
      <c r="L11" s="533"/>
      <c r="M11" s="533"/>
      <c r="N11" s="480"/>
    </row>
    <row r="12" spans="1:57" s="373" customFormat="1" ht="20.25" customHeight="1" x14ac:dyDescent="0.25">
      <c r="A12" s="642">
        <v>6</v>
      </c>
      <c r="B12" s="646">
        <v>4054864780</v>
      </c>
      <c r="C12" s="619" t="s">
        <v>26</v>
      </c>
      <c r="D12" s="643" t="s">
        <v>69</v>
      </c>
      <c r="E12" s="15" t="s">
        <v>17</v>
      </c>
      <c r="F12" s="353" t="s">
        <v>15</v>
      </c>
      <c r="G12" s="15" t="str">
        <f t="shared" si="0"/>
        <v>Rétiré dans les délais</v>
      </c>
      <c r="H12" s="366" t="s">
        <v>1874</v>
      </c>
      <c r="I12" s="634">
        <v>45971</v>
      </c>
      <c r="J12" s="640">
        <v>0</v>
      </c>
      <c r="K12" s="533"/>
      <c r="L12" s="533"/>
      <c r="M12" s="533"/>
      <c r="N12" s="480"/>
    </row>
    <row r="13" spans="1:57" s="373" customFormat="1" ht="20.25" customHeight="1" x14ac:dyDescent="0.25">
      <c r="A13" s="642">
        <v>7</v>
      </c>
      <c r="B13" s="646">
        <v>4054864790</v>
      </c>
      <c r="C13" s="619" t="s">
        <v>26</v>
      </c>
      <c r="D13" s="643" t="s">
        <v>69</v>
      </c>
      <c r="E13" s="15" t="s">
        <v>17</v>
      </c>
      <c r="F13" s="353" t="s">
        <v>15</v>
      </c>
      <c r="G13" s="15" t="str">
        <f t="shared" si="0"/>
        <v>Rétiré dans les délais</v>
      </c>
      <c r="H13" s="366" t="s">
        <v>1875</v>
      </c>
      <c r="I13" s="634">
        <v>45971</v>
      </c>
      <c r="J13" s="640">
        <v>0</v>
      </c>
      <c r="K13" s="533"/>
      <c r="L13" s="533"/>
      <c r="M13" s="533"/>
      <c r="N13" s="480"/>
    </row>
    <row r="14" spans="1:57" s="373" customFormat="1" ht="20.25" customHeight="1" x14ac:dyDescent="0.25">
      <c r="A14" s="642">
        <v>8</v>
      </c>
      <c r="B14" s="646">
        <v>4054864800</v>
      </c>
      <c r="C14" s="619" t="s">
        <v>26</v>
      </c>
      <c r="D14" s="643" t="s">
        <v>69</v>
      </c>
      <c r="E14" s="15" t="s">
        <v>17</v>
      </c>
      <c r="F14" s="353" t="s">
        <v>15</v>
      </c>
      <c r="G14" s="15" t="str">
        <f t="shared" si="0"/>
        <v>Rétiré dans les délais</v>
      </c>
      <c r="H14" s="366" t="s">
        <v>1876</v>
      </c>
      <c r="I14" s="634">
        <v>45971</v>
      </c>
      <c r="J14" s="640">
        <v>0</v>
      </c>
      <c r="K14" s="533"/>
      <c r="L14" s="533"/>
      <c r="M14" s="533"/>
      <c r="N14" s="480"/>
    </row>
    <row r="32" spans="4:4" x14ac:dyDescent="0.25">
      <c r="D32" s="353"/>
    </row>
  </sheetData>
  <mergeCells count="1">
    <mergeCell ref="G1:I1"/>
  </mergeCells>
  <conditionalFormatting sqref="A5:A14 D5:M14">
    <cfRule type="containsText" dxfId="1430" priority="7" operator="containsText" text="En Attente d'un Retrait Tardif">
      <formula>NOT(ISERROR(SEARCH("En Attente d'un Retrait Tardif",A5)))</formula>
    </cfRule>
    <cfRule type="containsText" dxfId="1429" priority="8" operator="containsText" text="Rétiré dans les délais">
      <formula>NOT(ISERROR(SEARCH("Rétiré dans les délais",A5)))</formula>
    </cfRule>
  </conditionalFormatting>
  <conditionalFormatting sqref="B1:B1048576">
    <cfRule type="duplicateValues" dxfId="1428" priority="2159"/>
    <cfRule type="duplicateValues" dxfId="1427" priority="2160"/>
    <cfRule type="duplicateValues" dxfId="1426" priority="2161"/>
    <cfRule type="duplicateValues" dxfId="1425" priority="2162"/>
    <cfRule type="duplicateValues" dxfId="1424" priority="2163"/>
    <cfRule type="duplicateValues" dxfId="1423" priority="2164"/>
    <cfRule type="duplicateValues" dxfId="1422" priority="2165"/>
    <cfRule type="duplicateValues" dxfId="1421" priority="2166"/>
  </conditionalFormatting>
  <conditionalFormatting sqref="B5:B14">
    <cfRule type="duplicateValues" dxfId="1420" priority="3"/>
    <cfRule type="duplicateValues" dxfId="1419" priority="4"/>
  </conditionalFormatting>
  <conditionalFormatting sqref="B15:B1048576 B1:B3">
    <cfRule type="duplicateValues" dxfId="1418" priority="2156"/>
  </conditionalFormatting>
  <conditionalFormatting sqref="B15:B1048576">
    <cfRule type="duplicateValues" dxfId="1417" priority="2183"/>
  </conditionalFormatting>
  <conditionalFormatting sqref="D32">
    <cfRule type="containsText" dxfId="1416" priority="1" operator="containsText" text="En Attente d'un Retrait Tardif">
      <formula>NOT(ISERROR(SEARCH("En Attente d'un Retrait Tardif",D32)))</formula>
    </cfRule>
    <cfRule type="containsText" dxfId="1415" priority="2" operator="containsText" text="Rétiré dans les délais">
      <formula>NOT(ISERROR(SEARCH("Rétiré dans les délais",D32)))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A3B6-D713-464C-B11D-E0362CFDECD2}">
  <sheetPr>
    <tabColor theme="2"/>
  </sheetPr>
  <dimension ref="A1:BE24"/>
  <sheetViews>
    <sheetView zoomScaleNormal="100" workbookViewId="0">
      <pane ySplit="4" topLeftCell="A5" activePane="bottomLeft" state="frozen"/>
      <selection pane="bottomLeft" activeCell="D21" sqref="D21"/>
    </sheetView>
  </sheetViews>
  <sheetFormatPr baseColWidth="10" defaultRowHeight="15.75" x14ac:dyDescent="0.25"/>
  <cols>
    <col min="1" max="1" width="7.42578125" customWidth="1"/>
    <col min="2" max="2" width="20.28515625" style="282" customWidth="1"/>
    <col min="3" max="3" width="16.42578125" style="105" customWidth="1"/>
    <col min="4" max="4" width="59.5703125" style="208" customWidth="1"/>
    <col min="5" max="5" width="21.42578125" style="105" customWidth="1"/>
    <col min="6" max="6" width="20" style="208" customWidth="1"/>
    <col min="7" max="7" width="30" style="208" customWidth="1"/>
    <col min="8" max="13" width="16.28515625" customWidth="1"/>
  </cols>
  <sheetData>
    <row r="1" spans="1:57" ht="19.5" thickBot="1" x14ac:dyDescent="0.35">
      <c r="A1" s="348" t="s">
        <v>1807</v>
      </c>
      <c r="B1" s="431"/>
      <c r="C1" s="431"/>
      <c r="D1" s="288"/>
      <c r="E1" s="631"/>
      <c r="F1" s="288"/>
      <c r="G1" s="729"/>
      <c r="H1" s="729"/>
      <c r="I1" s="729"/>
      <c r="J1" s="208"/>
      <c r="K1" s="208"/>
      <c r="L1" s="208"/>
    </row>
    <row r="2" spans="1:57" ht="24" thickBot="1" x14ac:dyDescent="0.3">
      <c r="A2" s="618" t="s">
        <v>0</v>
      </c>
      <c r="B2" s="638"/>
      <c r="C2" s="24"/>
      <c r="D2" s="25"/>
      <c r="E2" s="358">
        <f ca="1">I2-G2</f>
        <v>139</v>
      </c>
      <c r="F2" s="25"/>
      <c r="G2" s="314">
        <v>45957</v>
      </c>
      <c r="H2" s="365">
        <f ca="1">I2-G2</f>
        <v>139</v>
      </c>
      <c r="I2" s="315">
        <f ca="1">TODAY()</f>
        <v>46096</v>
      </c>
      <c r="J2" s="340" t="s">
        <v>1871</v>
      </c>
      <c r="K2" s="340"/>
      <c r="L2" s="208"/>
    </row>
    <row r="3" spans="1:57" x14ac:dyDescent="0.25">
      <c r="D3" s="633"/>
      <c r="E3" s="632"/>
      <c r="F3" s="633"/>
      <c r="G3" s="105"/>
      <c r="H3" s="105"/>
      <c r="I3" s="208"/>
      <c r="J3" s="208"/>
      <c r="K3" s="208"/>
      <c r="L3" s="208"/>
    </row>
    <row r="4" spans="1:57" ht="19.5" customHeight="1" x14ac:dyDescent="0.25">
      <c r="A4" s="610" t="s">
        <v>1</v>
      </c>
      <c r="B4" s="639" t="s">
        <v>2</v>
      </c>
      <c r="C4" s="610" t="s">
        <v>3</v>
      </c>
      <c r="D4" s="610" t="s">
        <v>5</v>
      </c>
      <c r="E4" s="610" t="s">
        <v>1065</v>
      </c>
      <c r="F4" s="610" t="s">
        <v>1066</v>
      </c>
      <c r="G4" s="610" t="s">
        <v>1067</v>
      </c>
      <c r="H4" s="610" t="s">
        <v>167</v>
      </c>
      <c r="I4" s="610" t="s">
        <v>1068</v>
      </c>
      <c r="J4" s="610" t="s">
        <v>8</v>
      </c>
      <c r="K4" s="610" t="s">
        <v>9</v>
      </c>
      <c r="L4" s="610" t="s">
        <v>10</v>
      </c>
      <c r="M4" s="610" t="s">
        <v>11</v>
      </c>
    </row>
    <row r="5" spans="1:57" s="381" customFormat="1" ht="22.5" customHeight="1" x14ac:dyDescent="0.25">
      <c r="A5" s="516">
        <v>1</v>
      </c>
      <c r="B5" s="641">
        <v>4054866800</v>
      </c>
      <c r="C5" s="353"/>
      <c r="D5" s="353" t="s">
        <v>1100</v>
      </c>
      <c r="E5" s="353" t="s">
        <v>17</v>
      </c>
      <c r="F5" s="353" t="s">
        <v>15</v>
      </c>
      <c r="G5" s="353" t="str">
        <f t="shared" ref="G5:G24" si="0">IF(I5="",IF($E$2&lt;=15,"En attente de Retrait","En Attente d'un Retrait Tardif"),IF(I5-$G$2&lt;=15,"Rétiré dans les délais",IF(I5-$G$2&gt;15,"Rétiré tardivement-30000FCFAamende")))</f>
        <v>Rétiré dans les délais</v>
      </c>
      <c r="H5" s="366" t="s">
        <v>1852</v>
      </c>
      <c r="I5" s="634">
        <v>45965</v>
      </c>
      <c r="J5" s="635">
        <v>0</v>
      </c>
      <c r="K5" s="533"/>
      <c r="L5" s="533"/>
      <c r="M5" s="533" t="s">
        <v>1853</v>
      </c>
      <c r="N5" s="480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</row>
    <row r="6" spans="1:57" s="373" customFormat="1" ht="22.5" customHeight="1" x14ac:dyDescent="0.25">
      <c r="A6" s="516">
        <v>2</v>
      </c>
      <c r="B6" s="641">
        <v>4054848630</v>
      </c>
      <c r="C6" s="353"/>
      <c r="D6" s="353" t="s">
        <v>570</v>
      </c>
      <c r="E6" s="353" t="s">
        <v>17</v>
      </c>
      <c r="F6" s="353" t="s">
        <v>15</v>
      </c>
      <c r="G6" s="353" t="str">
        <f t="shared" si="0"/>
        <v>Rétiré dans les délais</v>
      </c>
      <c r="H6" s="366" t="s">
        <v>1849</v>
      </c>
      <c r="I6" s="634">
        <v>45961</v>
      </c>
      <c r="J6" s="635">
        <v>0</v>
      </c>
      <c r="K6" s="533"/>
      <c r="L6" s="533"/>
      <c r="M6" s="533"/>
      <c r="N6" s="480"/>
    </row>
    <row r="7" spans="1:57" s="373" customFormat="1" ht="22.5" customHeight="1" x14ac:dyDescent="0.25">
      <c r="A7" s="516">
        <v>3</v>
      </c>
      <c r="B7" s="641">
        <v>4054776490</v>
      </c>
      <c r="C7" s="353"/>
      <c r="D7" s="353" t="s">
        <v>19</v>
      </c>
      <c r="E7" s="353" t="s">
        <v>1818</v>
      </c>
      <c r="F7" s="353" t="s">
        <v>17</v>
      </c>
      <c r="G7" s="353" t="str">
        <f t="shared" si="0"/>
        <v>Rétiré dans les délais</v>
      </c>
      <c r="H7" s="366" t="s">
        <v>1855</v>
      </c>
      <c r="I7" s="634">
        <v>45965</v>
      </c>
      <c r="J7" s="640" t="s">
        <v>1923</v>
      </c>
      <c r="K7" s="533"/>
      <c r="L7" s="533"/>
      <c r="M7" s="533"/>
      <c r="N7" s="480"/>
    </row>
    <row r="8" spans="1:57" s="373" customFormat="1" ht="22.5" customHeight="1" x14ac:dyDescent="0.25">
      <c r="A8" s="516">
        <v>4</v>
      </c>
      <c r="B8" s="641">
        <v>4054788230</v>
      </c>
      <c r="C8" s="353"/>
      <c r="D8" s="353" t="s">
        <v>19</v>
      </c>
      <c r="E8" s="353" t="s">
        <v>17</v>
      </c>
      <c r="F8" s="353" t="s">
        <v>17</v>
      </c>
      <c r="G8" s="353" t="str">
        <f t="shared" si="0"/>
        <v>Rétiré dans les délais</v>
      </c>
      <c r="H8" s="366" t="s">
        <v>1831</v>
      </c>
      <c r="I8" s="634">
        <v>45960</v>
      </c>
      <c r="J8" s="495" t="s">
        <v>1924</v>
      </c>
      <c r="K8" s="533"/>
      <c r="L8" s="533"/>
      <c r="M8" s="533"/>
      <c r="N8" s="480"/>
    </row>
    <row r="9" spans="1:57" s="373" customFormat="1" ht="22.5" customHeight="1" x14ac:dyDescent="0.25">
      <c r="A9" s="516">
        <v>5</v>
      </c>
      <c r="B9" s="641">
        <v>4054757790</v>
      </c>
      <c r="C9" s="353"/>
      <c r="D9" s="353" t="s">
        <v>19</v>
      </c>
      <c r="E9" s="353" t="s">
        <v>17</v>
      </c>
      <c r="F9" s="353" t="s">
        <v>15</v>
      </c>
      <c r="G9" s="353" t="str">
        <f t="shared" si="0"/>
        <v>Rétiré tardivement-30000FCFAamende</v>
      </c>
      <c r="H9" s="366" t="s">
        <v>1881</v>
      </c>
      <c r="I9" s="634">
        <v>45974</v>
      </c>
      <c r="J9" s="640" t="s">
        <v>1925</v>
      </c>
      <c r="K9" s="533"/>
      <c r="L9" s="533"/>
      <c r="M9" s="533"/>
      <c r="N9" s="480"/>
    </row>
    <row r="10" spans="1:57" s="373" customFormat="1" ht="22.5" customHeight="1" x14ac:dyDescent="0.25">
      <c r="A10" s="516">
        <v>6</v>
      </c>
      <c r="B10" s="641">
        <v>4054776450</v>
      </c>
      <c r="C10" s="353"/>
      <c r="D10" s="353" t="s">
        <v>19</v>
      </c>
      <c r="E10" s="353" t="s">
        <v>1819</v>
      </c>
      <c r="F10" s="353" t="s">
        <v>17</v>
      </c>
      <c r="G10" s="353" t="str">
        <f t="shared" si="0"/>
        <v>Rétiré dans les délais</v>
      </c>
      <c r="H10" s="366" t="s">
        <v>1830</v>
      </c>
      <c r="I10" s="634">
        <v>45960</v>
      </c>
      <c r="J10" s="640" t="s">
        <v>1926</v>
      </c>
      <c r="K10" s="533"/>
      <c r="L10" s="533"/>
      <c r="M10" s="533"/>
      <c r="N10" s="480"/>
    </row>
    <row r="11" spans="1:57" s="373" customFormat="1" ht="22.5" customHeight="1" x14ac:dyDescent="0.25">
      <c r="A11" s="516">
        <v>7</v>
      </c>
      <c r="B11" s="641">
        <v>4054840080</v>
      </c>
      <c r="C11" s="353"/>
      <c r="D11" s="353" t="s">
        <v>1808</v>
      </c>
      <c r="E11" s="353" t="s">
        <v>17</v>
      </c>
      <c r="F11" s="353" t="s">
        <v>17</v>
      </c>
      <c r="G11" s="353" t="str">
        <f t="shared" si="0"/>
        <v>Rétiré dans les délais</v>
      </c>
      <c r="H11" s="366" t="s">
        <v>1865</v>
      </c>
      <c r="I11" s="634">
        <v>45967</v>
      </c>
      <c r="J11" s="635">
        <v>0</v>
      </c>
      <c r="K11" s="533"/>
      <c r="L11" s="533"/>
      <c r="M11" s="533"/>
      <c r="N11" s="480"/>
    </row>
    <row r="12" spans="1:57" s="373" customFormat="1" ht="22.5" customHeight="1" x14ac:dyDescent="0.25">
      <c r="A12" s="516">
        <v>8</v>
      </c>
      <c r="B12" s="641">
        <v>4054869800</v>
      </c>
      <c r="C12" s="353"/>
      <c r="D12" s="353" t="s">
        <v>1809</v>
      </c>
      <c r="E12" s="353" t="s">
        <v>17</v>
      </c>
      <c r="F12" s="353" t="s">
        <v>17</v>
      </c>
      <c r="G12" s="353" t="str">
        <f t="shared" si="0"/>
        <v>Rétiré dans les délais</v>
      </c>
      <c r="H12" s="366" t="s">
        <v>1866</v>
      </c>
      <c r="I12" s="634">
        <v>45968</v>
      </c>
      <c r="J12" s="635">
        <v>0</v>
      </c>
      <c r="K12" s="533"/>
      <c r="L12" s="533"/>
      <c r="M12" s="533"/>
      <c r="N12" s="480"/>
    </row>
    <row r="13" spans="1:57" s="373" customFormat="1" ht="22.5" customHeight="1" x14ac:dyDescent="0.25">
      <c r="A13" s="516">
        <v>9</v>
      </c>
      <c r="B13" s="641">
        <v>4054859670</v>
      </c>
      <c r="C13" s="353"/>
      <c r="D13" s="353" t="s">
        <v>12</v>
      </c>
      <c r="E13" s="353" t="s">
        <v>17</v>
      </c>
      <c r="F13" s="353" t="s">
        <v>1772</v>
      </c>
      <c r="G13" s="353" t="str">
        <f t="shared" si="0"/>
        <v>Rétiré dans les délais</v>
      </c>
      <c r="H13" s="366" t="s">
        <v>1851</v>
      </c>
      <c r="I13" s="634">
        <v>45964</v>
      </c>
      <c r="J13" s="635">
        <v>0</v>
      </c>
      <c r="K13" s="533"/>
      <c r="L13" s="533"/>
      <c r="M13" s="533"/>
      <c r="N13" s="480"/>
    </row>
    <row r="14" spans="1:57" s="373" customFormat="1" ht="22.5" customHeight="1" x14ac:dyDescent="0.25">
      <c r="A14" s="516">
        <v>10</v>
      </c>
      <c r="B14" s="641">
        <v>4054843630</v>
      </c>
      <c r="C14" s="353"/>
      <c r="D14" s="353" t="s">
        <v>1795</v>
      </c>
      <c r="E14" s="353" t="s">
        <v>17</v>
      </c>
      <c r="F14" s="353" t="s">
        <v>15</v>
      </c>
      <c r="G14" s="353" t="str">
        <f t="shared" si="0"/>
        <v>Rétiré dans les délais</v>
      </c>
      <c r="H14" s="366" t="s">
        <v>1862</v>
      </c>
      <c r="I14" s="634">
        <v>45967</v>
      </c>
      <c r="J14" s="635">
        <v>0</v>
      </c>
      <c r="K14" s="533"/>
      <c r="L14" s="533"/>
      <c r="M14" s="533"/>
      <c r="N14" s="480"/>
    </row>
    <row r="15" spans="1:57" ht="22.5" customHeight="1" x14ac:dyDescent="0.25">
      <c r="A15" s="516">
        <v>11</v>
      </c>
      <c r="B15" s="641">
        <v>4054842440</v>
      </c>
      <c r="C15" s="353"/>
      <c r="D15" s="353" t="s">
        <v>1795</v>
      </c>
      <c r="E15" s="353" t="s">
        <v>17</v>
      </c>
      <c r="F15" s="353" t="s">
        <v>1772</v>
      </c>
      <c r="G15" s="353" t="str">
        <f t="shared" si="0"/>
        <v>Rétiré dans les délais</v>
      </c>
      <c r="H15" s="366" t="s">
        <v>1842</v>
      </c>
      <c r="I15" s="634">
        <v>45961</v>
      </c>
      <c r="J15" s="635">
        <v>0</v>
      </c>
      <c r="K15" s="373"/>
      <c r="L15" s="373"/>
      <c r="M15" s="373"/>
    </row>
    <row r="16" spans="1:57" ht="22.5" customHeight="1" x14ac:dyDescent="0.25">
      <c r="A16" s="516">
        <v>12</v>
      </c>
      <c r="B16" s="641">
        <v>4054843590</v>
      </c>
      <c r="C16" s="353"/>
      <c r="D16" s="353" t="s">
        <v>1795</v>
      </c>
      <c r="E16" s="353" t="s">
        <v>17</v>
      </c>
      <c r="F16" s="353" t="s">
        <v>1772</v>
      </c>
      <c r="G16" s="353" t="str">
        <f t="shared" si="0"/>
        <v>Rétiré dans les délais</v>
      </c>
      <c r="H16" s="366" t="s">
        <v>1848</v>
      </c>
      <c r="I16" s="634">
        <v>45961</v>
      </c>
      <c r="J16" s="635">
        <v>0</v>
      </c>
      <c r="K16" s="373"/>
      <c r="L16" s="373"/>
      <c r="M16" s="373"/>
    </row>
    <row r="17" spans="1:13" ht="22.5" customHeight="1" x14ac:dyDescent="0.25">
      <c r="A17" s="516">
        <v>13</v>
      </c>
      <c r="B17" s="641">
        <v>4054864770</v>
      </c>
      <c r="C17" s="353"/>
      <c r="D17" s="353" t="s">
        <v>1795</v>
      </c>
      <c r="E17" s="353" t="s">
        <v>17</v>
      </c>
      <c r="F17" s="353" t="s">
        <v>1772</v>
      </c>
      <c r="G17" s="353" t="str">
        <f t="shared" si="0"/>
        <v>Rétiré dans les délais</v>
      </c>
      <c r="H17" s="366" t="s">
        <v>1844</v>
      </c>
      <c r="I17" s="634">
        <v>45961</v>
      </c>
      <c r="J17" s="635">
        <v>0</v>
      </c>
      <c r="K17" s="373"/>
      <c r="L17" s="373"/>
      <c r="M17" s="373"/>
    </row>
    <row r="18" spans="1:13" ht="22.5" customHeight="1" x14ac:dyDescent="0.25">
      <c r="A18" s="516">
        <v>14</v>
      </c>
      <c r="B18" s="641">
        <v>4054864730</v>
      </c>
      <c r="C18" s="353"/>
      <c r="D18" s="353" t="s">
        <v>1795</v>
      </c>
      <c r="E18" s="353" t="s">
        <v>17</v>
      </c>
      <c r="F18" s="353" t="s">
        <v>1772</v>
      </c>
      <c r="G18" s="353" t="str">
        <f t="shared" si="0"/>
        <v>Rétiré dans les délais</v>
      </c>
      <c r="H18" s="366" t="s">
        <v>1845</v>
      </c>
      <c r="I18" s="634">
        <v>45961</v>
      </c>
      <c r="J18" s="635">
        <v>0</v>
      </c>
      <c r="K18" s="373"/>
      <c r="L18" s="373"/>
      <c r="M18" s="373"/>
    </row>
    <row r="19" spans="1:13" ht="22.5" customHeight="1" x14ac:dyDescent="0.25">
      <c r="A19" s="516">
        <v>15</v>
      </c>
      <c r="B19" s="641">
        <v>4054846190</v>
      </c>
      <c r="C19" s="353"/>
      <c r="D19" s="353" t="s">
        <v>1795</v>
      </c>
      <c r="E19" s="353" t="s">
        <v>17</v>
      </c>
      <c r="F19" s="353" t="s">
        <v>1772</v>
      </c>
      <c r="G19" s="353" t="str">
        <f t="shared" si="0"/>
        <v>Rétiré dans les délais</v>
      </c>
      <c r="H19" s="366" t="s">
        <v>1841</v>
      </c>
      <c r="I19" s="634">
        <v>45961</v>
      </c>
      <c r="J19" s="635">
        <v>0</v>
      </c>
      <c r="K19" s="373"/>
      <c r="L19" s="373"/>
      <c r="M19" s="373"/>
    </row>
    <row r="20" spans="1:13" ht="22.5" customHeight="1" x14ac:dyDescent="0.25">
      <c r="A20" s="516">
        <v>16</v>
      </c>
      <c r="B20" s="641">
        <v>4054846210</v>
      </c>
      <c r="C20" s="353"/>
      <c r="D20" s="353" t="s">
        <v>1795</v>
      </c>
      <c r="E20" s="353" t="s">
        <v>17</v>
      </c>
      <c r="F20" s="353" t="s">
        <v>1772</v>
      </c>
      <c r="G20" s="353" t="str">
        <f t="shared" si="0"/>
        <v>Rétiré dans les délais</v>
      </c>
      <c r="H20" s="366" t="s">
        <v>1843</v>
      </c>
      <c r="I20" s="634">
        <v>45961</v>
      </c>
      <c r="J20" s="635">
        <v>0</v>
      </c>
      <c r="K20" s="373"/>
      <c r="L20" s="373"/>
      <c r="M20" s="373"/>
    </row>
    <row r="21" spans="1:13" ht="22.5" customHeight="1" x14ac:dyDescent="0.25">
      <c r="A21" s="516">
        <v>17</v>
      </c>
      <c r="B21" s="641">
        <v>4054846200</v>
      </c>
      <c r="C21" s="353"/>
      <c r="D21" s="353" t="s">
        <v>1795</v>
      </c>
      <c r="E21" s="353" t="s">
        <v>17</v>
      </c>
      <c r="F21" s="353" t="s">
        <v>1772</v>
      </c>
      <c r="G21" s="353" t="str">
        <f t="shared" si="0"/>
        <v>Rétiré dans les délais</v>
      </c>
      <c r="H21" s="366" t="s">
        <v>1846</v>
      </c>
      <c r="I21" s="634">
        <v>45961</v>
      </c>
      <c r="J21" s="635">
        <v>0</v>
      </c>
      <c r="K21" s="373"/>
      <c r="L21" s="373"/>
      <c r="M21" s="373"/>
    </row>
    <row r="22" spans="1:13" ht="22.5" customHeight="1" x14ac:dyDescent="0.25">
      <c r="A22" s="516">
        <v>18</v>
      </c>
      <c r="B22" s="641">
        <v>4054866100</v>
      </c>
      <c r="C22" s="353"/>
      <c r="D22" s="353" t="s">
        <v>1810</v>
      </c>
      <c r="E22" s="353" t="s">
        <v>1820</v>
      </c>
      <c r="F22" s="353" t="s">
        <v>15</v>
      </c>
      <c r="G22" s="353" t="str">
        <f t="shared" si="0"/>
        <v>Rétiré dans les délais</v>
      </c>
      <c r="H22" s="366" t="s">
        <v>1856</v>
      </c>
      <c r="I22" s="634">
        <v>45966</v>
      </c>
      <c r="J22" s="635">
        <v>0</v>
      </c>
      <c r="K22" s="373"/>
      <c r="L22" s="373"/>
      <c r="M22" s="373"/>
    </row>
    <row r="23" spans="1:13" ht="22.5" customHeight="1" x14ac:dyDescent="0.25">
      <c r="A23" s="516">
        <v>19</v>
      </c>
      <c r="B23" s="641">
        <v>4054843600</v>
      </c>
      <c r="C23" s="353"/>
      <c r="D23" s="353" t="s">
        <v>1795</v>
      </c>
      <c r="E23" s="353" t="s">
        <v>17</v>
      </c>
      <c r="F23" s="353" t="s">
        <v>15</v>
      </c>
      <c r="G23" s="353" t="str">
        <f t="shared" si="0"/>
        <v>Rétiré dans les délais</v>
      </c>
      <c r="H23" s="366" t="s">
        <v>1861</v>
      </c>
      <c r="I23" s="634">
        <v>45967</v>
      </c>
      <c r="J23" s="635">
        <v>0</v>
      </c>
      <c r="K23" s="373"/>
      <c r="L23" s="373"/>
      <c r="M23" s="373"/>
    </row>
    <row r="24" spans="1:13" ht="22.5" customHeight="1" x14ac:dyDescent="0.25">
      <c r="A24" s="516">
        <v>20</v>
      </c>
      <c r="B24" s="641">
        <v>4054846220</v>
      </c>
      <c r="C24" s="353"/>
      <c r="D24" s="353" t="s">
        <v>1795</v>
      </c>
      <c r="E24" s="353" t="s">
        <v>17</v>
      </c>
      <c r="F24" s="353" t="s">
        <v>1772</v>
      </c>
      <c r="G24" s="353" t="str">
        <f t="shared" si="0"/>
        <v>Rétiré dans les délais</v>
      </c>
      <c r="H24" s="366" t="s">
        <v>1847</v>
      </c>
      <c r="I24" s="634">
        <v>45961</v>
      </c>
      <c r="J24" s="635">
        <v>0</v>
      </c>
      <c r="K24" s="373"/>
      <c r="L24" s="373"/>
      <c r="M24" s="373"/>
    </row>
  </sheetData>
  <mergeCells count="1">
    <mergeCell ref="G1:I1"/>
  </mergeCells>
  <conditionalFormatting sqref="A5:M9 A10:G24 H10:M10 J11:M14 H11:I24 J15:J24">
    <cfRule type="containsText" dxfId="1414" priority="3" operator="containsText" text="En Attente d'un Retrait Tardif">
      <formula>NOT(ISERROR(SEARCH("En Attente d'un Retrait Tardif",A5)))</formula>
    </cfRule>
  </conditionalFormatting>
  <conditionalFormatting sqref="A5:M9 H10:M10 A10:G24 J11:M14 H11:I24 J15:J24">
    <cfRule type="containsText" dxfId="1413" priority="4" operator="containsText" text="Rétiré dans les délais">
      <formula>NOT(ISERROR(SEARCH("Rétiré dans les délais",A5)))</formula>
    </cfRule>
  </conditionalFormatting>
  <conditionalFormatting sqref="B1:B1048576">
    <cfRule type="duplicateValues" dxfId="1412" priority="1"/>
    <cfRule type="duplicateValues" dxfId="1411" priority="2"/>
  </conditionalFormatting>
  <conditionalFormatting sqref="B25:B1048576 B1:B3">
    <cfRule type="duplicateValues" dxfId="1410" priority="10"/>
  </conditionalFormatting>
  <conditionalFormatting sqref="B25:B1048576 B1:B4">
    <cfRule type="duplicateValues" dxfId="1409" priority="9"/>
    <cfRule type="duplicateValues" dxfId="1408" priority="11"/>
    <cfRule type="duplicateValues" dxfId="1407" priority="12"/>
    <cfRule type="duplicateValues" dxfId="1406" priority="13"/>
    <cfRule type="duplicateValues" dxfId="1405" priority="14"/>
    <cfRule type="duplicateValues" dxfId="1404" priority="15"/>
  </conditionalFormatting>
  <conditionalFormatting sqref="B25:B1048576">
    <cfRule type="duplicateValues" dxfId="1403" priority="16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0430-F368-4E7B-B673-F738CAF2CC29}">
  <sheetPr codeName="Feuil99">
    <tabColor theme="2"/>
  </sheetPr>
  <dimension ref="A1:BE24"/>
  <sheetViews>
    <sheetView zoomScaleNormal="100" workbookViewId="0">
      <pane ySplit="4" topLeftCell="A5" activePane="bottomLeft" state="frozen"/>
      <selection pane="bottomLeft" activeCell="H18" sqref="H18"/>
    </sheetView>
  </sheetViews>
  <sheetFormatPr baseColWidth="10" defaultRowHeight="15" x14ac:dyDescent="0.25"/>
  <cols>
    <col min="1" max="1" width="7.42578125" customWidth="1"/>
    <col min="2" max="2" width="20.28515625" style="105" customWidth="1"/>
    <col min="3" max="3" width="16.42578125" style="105" customWidth="1"/>
    <col min="4" max="4" width="59.5703125" customWidth="1"/>
    <col min="5" max="5" width="21.42578125" style="105" customWidth="1"/>
    <col min="6" max="6" width="20" style="229" customWidth="1"/>
    <col min="7" max="7" width="30" customWidth="1"/>
    <col min="8" max="13" width="16.28515625" customWidth="1"/>
  </cols>
  <sheetData>
    <row r="1" spans="1:57" ht="19.5" thickBot="1" x14ac:dyDescent="0.35">
      <c r="A1" s="348" t="s">
        <v>1794</v>
      </c>
      <c r="B1" s="431"/>
      <c r="C1" s="431"/>
      <c r="D1" s="288"/>
      <c r="E1" s="631"/>
      <c r="F1" s="631"/>
      <c r="G1" s="729"/>
      <c r="H1" s="729"/>
      <c r="I1" s="729"/>
      <c r="J1" s="208"/>
      <c r="K1" s="208"/>
      <c r="L1" s="208"/>
    </row>
    <row r="2" spans="1:57" ht="24" thickBot="1" x14ac:dyDescent="0.3">
      <c r="A2" s="618" t="s">
        <v>0</v>
      </c>
      <c r="B2" s="24"/>
      <c r="C2" s="24"/>
      <c r="D2" s="25"/>
      <c r="E2" s="358">
        <f ca="1">I2-G2</f>
        <v>140</v>
      </c>
      <c r="F2" s="25"/>
      <c r="G2" s="314">
        <v>45956</v>
      </c>
      <c r="H2" s="365">
        <f ca="1">I2-G2</f>
        <v>140</v>
      </c>
      <c r="I2" s="315">
        <f ca="1">TODAY()</f>
        <v>46096</v>
      </c>
      <c r="J2" s="340" t="s">
        <v>1850</v>
      </c>
      <c r="K2" s="340"/>
      <c r="L2" s="208"/>
    </row>
    <row r="3" spans="1:57" x14ac:dyDescent="0.25">
      <c r="D3" s="292"/>
      <c r="E3" s="632"/>
      <c r="F3" s="637"/>
      <c r="G3" s="105"/>
      <c r="H3" s="105"/>
      <c r="I3" s="208"/>
      <c r="J3" s="208"/>
      <c r="K3" s="208"/>
      <c r="L3" s="208"/>
    </row>
    <row r="4" spans="1:57" x14ac:dyDescent="0.25">
      <c r="A4" s="610" t="s">
        <v>1</v>
      </c>
      <c r="B4" s="610" t="s">
        <v>2</v>
      </c>
      <c r="C4" s="610" t="s">
        <v>3</v>
      </c>
      <c r="D4" s="610" t="s">
        <v>5</v>
      </c>
      <c r="E4" s="610" t="s">
        <v>1065</v>
      </c>
      <c r="F4" s="610" t="s">
        <v>1066</v>
      </c>
      <c r="G4" s="610" t="s">
        <v>1067</v>
      </c>
      <c r="H4" s="610" t="s">
        <v>167</v>
      </c>
      <c r="I4" s="610" t="s">
        <v>1068</v>
      </c>
      <c r="J4" s="610" t="s">
        <v>8</v>
      </c>
      <c r="K4" s="610" t="s">
        <v>9</v>
      </c>
      <c r="L4" s="610" t="s">
        <v>10</v>
      </c>
      <c r="M4" s="610" t="s">
        <v>11</v>
      </c>
    </row>
    <row r="5" spans="1:57" s="381" customFormat="1" ht="24.75" customHeight="1" x14ac:dyDescent="0.25">
      <c r="A5" s="516">
        <v>2</v>
      </c>
      <c r="B5" s="15">
        <v>4054857870</v>
      </c>
      <c r="C5" s="15" t="s">
        <v>26</v>
      </c>
      <c r="D5" s="353" t="s">
        <v>1799</v>
      </c>
      <c r="E5" s="353" t="s">
        <v>17</v>
      </c>
      <c r="F5" s="353" t="s">
        <v>1757</v>
      </c>
      <c r="G5" s="353" t="str">
        <f t="shared" ref="G5:G16" si="0">IF(I5="",IF($E$2&lt;=15,"En attente de Retrait","En Attente d'un Retrait Tardif"),IF(I5-$G$2&lt;=15,"Rétiré dans les délais",IF(I5-$G$2&gt;15,"Rétiré tardivement-30000FCFAamende")))</f>
        <v>Rétiré dans les délais</v>
      </c>
      <c r="H5" s="275" t="s">
        <v>1827</v>
      </c>
      <c r="I5" s="493">
        <v>45960</v>
      </c>
      <c r="J5" s="499">
        <v>0</v>
      </c>
      <c r="K5" s="390"/>
      <c r="L5" s="390"/>
      <c r="M5" s="390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</row>
    <row r="6" spans="1:57" s="373" customFormat="1" ht="24.75" customHeight="1" x14ac:dyDescent="0.25">
      <c r="A6" s="516">
        <v>10</v>
      </c>
      <c r="B6" s="15">
        <v>4054853600</v>
      </c>
      <c r="C6" s="15" t="s">
        <v>26</v>
      </c>
      <c r="D6" s="353" t="s">
        <v>570</v>
      </c>
      <c r="E6" s="353" t="s">
        <v>17</v>
      </c>
      <c r="F6" s="353" t="s">
        <v>1757</v>
      </c>
      <c r="G6" s="353" t="str">
        <f t="shared" si="0"/>
        <v>Rétiré dans les délais</v>
      </c>
      <c r="H6" s="275" t="s">
        <v>1822</v>
      </c>
      <c r="I6" s="493">
        <v>45959</v>
      </c>
      <c r="J6" s="499">
        <v>0</v>
      </c>
      <c r="K6" s="390"/>
      <c r="L6" s="390"/>
      <c r="M6" s="390"/>
    </row>
    <row r="7" spans="1:57" s="373" customFormat="1" ht="24.75" customHeight="1" x14ac:dyDescent="0.25">
      <c r="A7" s="516">
        <v>7</v>
      </c>
      <c r="B7" s="545">
        <v>4054849080</v>
      </c>
      <c r="C7" s="15" t="s">
        <v>26</v>
      </c>
      <c r="D7" s="353" t="s">
        <v>1797</v>
      </c>
      <c r="E7" s="353" t="s">
        <v>17</v>
      </c>
      <c r="F7" s="636" t="s">
        <v>1772</v>
      </c>
      <c r="G7" s="353" t="str">
        <f t="shared" si="0"/>
        <v>Rétiré dans les délais</v>
      </c>
      <c r="H7" s="275" t="s">
        <v>1905</v>
      </c>
      <c r="I7" s="493">
        <v>45959</v>
      </c>
      <c r="J7" s="499"/>
      <c r="K7" s="390"/>
      <c r="L7" s="390"/>
      <c r="M7" s="390"/>
    </row>
    <row r="8" spans="1:57" s="373" customFormat="1" ht="24.75" customHeight="1" x14ac:dyDescent="0.25">
      <c r="A8" s="516">
        <v>1</v>
      </c>
      <c r="B8" s="545">
        <v>4054846230</v>
      </c>
      <c r="C8" s="15" t="s">
        <v>26</v>
      </c>
      <c r="D8" s="353" t="s">
        <v>1795</v>
      </c>
      <c r="E8" s="353" t="s">
        <v>17</v>
      </c>
      <c r="F8" s="636" t="s">
        <v>1772</v>
      </c>
      <c r="G8" s="353" t="str">
        <f t="shared" si="0"/>
        <v>Rétiré dans les délais</v>
      </c>
      <c r="H8" s="275" t="s">
        <v>1815</v>
      </c>
      <c r="I8" s="493">
        <v>45958</v>
      </c>
      <c r="J8" s="499"/>
      <c r="K8" s="390"/>
      <c r="L8" s="390"/>
      <c r="M8" s="390"/>
    </row>
    <row r="9" spans="1:57" s="373" customFormat="1" ht="24.75" customHeight="1" x14ac:dyDescent="0.25">
      <c r="A9" s="516">
        <v>11</v>
      </c>
      <c r="B9" s="545">
        <v>4054843130</v>
      </c>
      <c r="C9" s="15" t="s">
        <v>24</v>
      </c>
      <c r="D9" s="353" t="s">
        <v>1798</v>
      </c>
      <c r="E9" s="353" t="s">
        <v>17</v>
      </c>
      <c r="F9" s="636" t="s">
        <v>1772</v>
      </c>
      <c r="G9" s="353" t="str">
        <f t="shared" si="0"/>
        <v>Rétiré dans les délais</v>
      </c>
      <c r="H9" s="275" t="s">
        <v>1817</v>
      </c>
      <c r="I9" s="493">
        <v>45958</v>
      </c>
      <c r="J9" s="499">
        <v>0</v>
      </c>
      <c r="K9" s="390"/>
      <c r="L9" s="390"/>
      <c r="M9" s="390"/>
    </row>
    <row r="10" spans="1:57" s="373" customFormat="1" ht="24.75" customHeight="1" x14ac:dyDescent="0.25">
      <c r="A10" s="516">
        <v>9</v>
      </c>
      <c r="B10" s="15">
        <v>4054839180</v>
      </c>
      <c r="C10" s="15" t="s">
        <v>26</v>
      </c>
      <c r="D10" s="353" t="s">
        <v>50</v>
      </c>
      <c r="E10" s="353" t="s">
        <v>1811</v>
      </c>
      <c r="F10" s="353" t="s">
        <v>1757</v>
      </c>
      <c r="G10" s="353" t="str">
        <f t="shared" si="0"/>
        <v>Rétiré dans les délais</v>
      </c>
      <c r="H10" s="275" t="s">
        <v>1828</v>
      </c>
      <c r="I10" s="493">
        <v>45960</v>
      </c>
      <c r="J10" s="499"/>
      <c r="K10" s="390"/>
      <c r="L10" s="390"/>
      <c r="M10" s="390"/>
    </row>
    <row r="11" spans="1:57" s="373" customFormat="1" ht="24.75" customHeight="1" x14ac:dyDescent="0.25">
      <c r="A11" s="516">
        <v>4</v>
      </c>
      <c r="B11" s="545">
        <v>4054831200</v>
      </c>
      <c r="C11" s="15" t="s">
        <v>26</v>
      </c>
      <c r="D11" s="353" t="s">
        <v>14</v>
      </c>
      <c r="E11" s="353" t="s">
        <v>17</v>
      </c>
      <c r="F11" s="636" t="s">
        <v>1772</v>
      </c>
      <c r="G11" s="353" t="str">
        <f t="shared" si="0"/>
        <v>Rétiré dans les délais</v>
      </c>
      <c r="H11" s="275" t="s">
        <v>1825</v>
      </c>
      <c r="I11" s="493">
        <v>45959</v>
      </c>
      <c r="J11" s="499">
        <v>0</v>
      </c>
      <c r="K11" s="390"/>
      <c r="L11" s="390"/>
      <c r="M11" s="390"/>
    </row>
    <row r="12" spans="1:57" s="373" customFormat="1" ht="24.75" customHeight="1" x14ac:dyDescent="0.25">
      <c r="A12" s="516">
        <v>5</v>
      </c>
      <c r="B12" s="15">
        <v>4054831190</v>
      </c>
      <c r="C12" s="15" t="s">
        <v>26</v>
      </c>
      <c r="D12" s="353" t="s">
        <v>14</v>
      </c>
      <c r="E12" s="353" t="s">
        <v>17</v>
      </c>
      <c r="F12" s="353" t="s">
        <v>1757</v>
      </c>
      <c r="G12" s="353" t="str">
        <f t="shared" si="0"/>
        <v>Rétiré dans les délais</v>
      </c>
      <c r="H12" s="275" t="s">
        <v>1823</v>
      </c>
      <c r="I12" s="493">
        <v>45959</v>
      </c>
      <c r="J12" s="499">
        <v>0</v>
      </c>
      <c r="K12" s="390"/>
      <c r="L12" s="390"/>
      <c r="M12" s="390"/>
    </row>
    <row r="13" spans="1:57" s="373" customFormat="1" ht="24.75" customHeight="1" x14ac:dyDescent="0.25">
      <c r="A13" s="516">
        <v>3</v>
      </c>
      <c r="B13" s="15">
        <v>4054831140</v>
      </c>
      <c r="C13" s="15" t="s">
        <v>26</v>
      </c>
      <c r="D13" s="353" t="s">
        <v>14</v>
      </c>
      <c r="E13" s="353" t="s">
        <v>17</v>
      </c>
      <c r="F13" s="353" t="s">
        <v>1757</v>
      </c>
      <c r="G13" s="353" t="str">
        <f t="shared" si="0"/>
        <v>Rétiré tardivement-30000FCFAamende</v>
      </c>
      <c r="H13" s="275" t="s">
        <v>1888</v>
      </c>
      <c r="I13" s="493">
        <v>45979</v>
      </c>
      <c r="J13" s="499"/>
      <c r="K13" s="390"/>
      <c r="L13" s="390"/>
      <c r="M13" s="390"/>
    </row>
    <row r="14" spans="1:57" s="373" customFormat="1" ht="24.75" customHeight="1" x14ac:dyDescent="0.25">
      <c r="A14" s="516">
        <v>12</v>
      </c>
      <c r="B14" s="545">
        <v>4054828930</v>
      </c>
      <c r="C14" s="15" t="s">
        <v>24</v>
      </c>
      <c r="D14" s="353" t="s">
        <v>570</v>
      </c>
      <c r="E14" s="353" t="s">
        <v>17</v>
      </c>
      <c r="F14" s="636" t="s">
        <v>1772</v>
      </c>
      <c r="G14" s="353" t="str">
        <f t="shared" si="0"/>
        <v>Rétiré dans les délais</v>
      </c>
      <c r="H14" s="275" t="s">
        <v>1826</v>
      </c>
      <c r="I14" s="493">
        <v>45958</v>
      </c>
      <c r="J14" s="499">
        <v>0</v>
      </c>
      <c r="K14" s="390"/>
      <c r="L14" s="390"/>
      <c r="M14" s="390"/>
    </row>
    <row r="15" spans="1:57" s="373" customFormat="1" ht="24.75" customHeight="1" x14ac:dyDescent="0.25">
      <c r="A15" s="516">
        <v>8</v>
      </c>
      <c r="B15" s="545">
        <v>4054791730</v>
      </c>
      <c r="C15" s="15" t="s">
        <v>26</v>
      </c>
      <c r="D15" s="353" t="s">
        <v>1795</v>
      </c>
      <c r="E15" s="353" t="s">
        <v>17</v>
      </c>
      <c r="F15" s="636" t="s">
        <v>1772</v>
      </c>
      <c r="G15" s="353" t="str">
        <f t="shared" si="0"/>
        <v>Rétiré dans les délais</v>
      </c>
      <c r="H15" s="275" t="s">
        <v>1816</v>
      </c>
      <c r="I15" s="493">
        <v>45958</v>
      </c>
      <c r="J15" s="499">
        <v>0</v>
      </c>
      <c r="K15" s="390"/>
      <c r="L15" s="390"/>
      <c r="M15" s="390"/>
    </row>
    <row r="16" spans="1:57" s="373" customFormat="1" ht="24.75" customHeight="1" x14ac:dyDescent="0.25">
      <c r="A16" s="516">
        <v>6</v>
      </c>
      <c r="B16" s="545">
        <v>2309911290</v>
      </c>
      <c r="C16" s="15" t="s">
        <v>26</v>
      </c>
      <c r="D16" s="353" t="s">
        <v>1796</v>
      </c>
      <c r="E16" s="353" t="s">
        <v>17</v>
      </c>
      <c r="F16" s="636" t="s">
        <v>1772</v>
      </c>
      <c r="G16" s="353" t="str">
        <f t="shared" si="0"/>
        <v>Rétiré dans les délais</v>
      </c>
      <c r="H16" s="275" t="s">
        <v>1824</v>
      </c>
      <c r="I16" s="493">
        <v>45959</v>
      </c>
      <c r="J16" s="499">
        <v>0</v>
      </c>
      <c r="K16" s="390"/>
      <c r="L16" s="390"/>
      <c r="M16" s="390"/>
    </row>
    <row r="21" spans="4:4" ht="14.25" customHeight="1" x14ac:dyDescent="0.25"/>
    <row r="24" spans="4:4" x14ac:dyDescent="0.25">
      <c r="D24" s="105"/>
    </row>
  </sheetData>
  <mergeCells count="1">
    <mergeCell ref="G1:I1"/>
  </mergeCells>
  <conditionalFormatting sqref="A5:M16">
    <cfRule type="containsText" dxfId="1402" priority="2" operator="containsText" text="En Attente d'un Retrait Tardif">
      <formula>NOT(ISERROR(SEARCH("En Attente d'un Retrait Tardif",A5)))</formula>
    </cfRule>
    <cfRule type="containsText" dxfId="1401" priority="3" operator="containsText" text="Rétiré dans les délais">
      <formula>NOT(ISERROR(SEARCH("Rétiré dans les délais",A5)))</formula>
    </cfRule>
  </conditionalFormatting>
  <conditionalFormatting sqref="B1:B4 B17:B1048576">
    <cfRule type="duplicateValues" dxfId="1400" priority="4"/>
  </conditionalFormatting>
  <conditionalFormatting sqref="B1:B1048576">
    <cfRule type="duplicateValues" dxfId="1399" priority="1"/>
  </conditionalFormatting>
  <conditionalFormatting sqref="B17:B1048576 B1:B3">
    <cfRule type="duplicateValues" dxfId="1398" priority="7"/>
  </conditionalFormatting>
  <conditionalFormatting sqref="B17:B1048576 B1:B4">
    <cfRule type="duplicateValues" dxfId="1397" priority="8"/>
    <cfRule type="duplicateValues" dxfId="1396" priority="9"/>
    <cfRule type="duplicateValues" dxfId="1395" priority="10"/>
    <cfRule type="duplicateValues" dxfId="1394" priority="11"/>
    <cfRule type="duplicateValues" dxfId="1393" priority="12"/>
  </conditionalFormatting>
  <conditionalFormatting sqref="B17:B1048576">
    <cfRule type="duplicateValues" dxfId="1392" priority="13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6914-AE2A-4339-A266-2F3A45F20101}">
  <sheetPr codeName="Feuil100">
    <tabColor theme="2"/>
  </sheetPr>
  <dimension ref="A1:BE30"/>
  <sheetViews>
    <sheetView zoomScaleNormal="100" workbookViewId="0">
      <pane ySplit="4" topLeftCell="A17" activePane="bottomLeft" state="frozen"/>
      <selection pane="bottomLeft"/>
    </sheetView>
  </sheetViews>
  <sheetFormatPr baseColWidth="10" defaultRowHeight="15" x14ac:dyDescent="0.25"/>
  <cols>
    <col min="1" max="1" width="7.42578125" customWidth="1"/>
    <col min="2" max="2" width="20.28515625" style="105" customWidth="1"/>
    <col min="3" max="3" width="16.42578125" style="105" customWidth="1"/>
    <col min="4" max="4" width="54.85546875" customWidth="1"/>
    <col min="5" max="5" width="21.42578125" customWidth="1"/>
    <col min="6" max="6" width="20" customWidth="1"/>
    <col min="7" max="7" width="26.85546875" customWidth="1"/>
    <col min="8" max="13" width="16.28515625" customWidth="1"/>
  </cols>
  <sheetData>
    <row r="1" spans="1:57" ht="19.5" thickBot="1" x14ac:dyDescent="0.35">
      <c r="A1" s="348" t="s">
        <v>1751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57" ht="24" thickBot="1" x14ac:dyDescent="0.3">
      <c r="A2" s="618" t="s">
        <v>0</v>
      </c>
      <c r="B2" s="24"/>
      <c r="C2" s="24"/>
      <c r="D2" s="25"/>
      <c r="E2" s="358">
        <f ca="1">I2-G2</f>
        <v>151</v>
      </c>
      <c r="F2" s="25"/>
      <c r="G2" s="314">
        <v>45945</v>
      </c>
      <c r="H2" s="365">
        <f ca="1">I2-G2</f>
        <v>151</v>
      </c>
      <c r="I2" s="315">
        <f ca="1">TODAY()</f>
        <v>46096</v>
      </c>
      <c r="J2" s="340" t="s">
        <v>1829</v>
      </c>
      <c r="K2" s="340"/>
      <c r="L2" s="208"/>
    </row>
    <row r="3" spans="1:57" x14ac:dyDescent="0.25">
      <c r="D3" s="292"/>
      <c r="E3" s="292"/>
      <c r="F3" s="292"/>
      <c r="G3" s="105"/>
      <c r="H3" s="105"/>
      <c r="I3" s="208"/>
      <c r="J3" s="208"/>
      <c r="K3" s="208"/>
      <c r="L3" s="208"/>
    </row>
    <row r="4" spans="1:57" x14ac:dyDescent="0.25">
      <c r="A4" s="610" t="s">
        <v>1</v>
      </c>
      <c r="B4" s="610" t="s">
        <v>2</v>
      </c>
      <c r="C4" s="610" t="s">
        <v>3</v>
      </c>
      <c r="D4" s="610" t="s">
        <v>5</v>
      </c>
      <c r="E4" s="610" t="s">
        <v>1065</v>
      </c>
      <c r="F4" s="610" t="s">
        <v>1066</v>
      </c>
      <c r="G4" s="610" t="s">
        <v>1067</v>
      </c>
      <c r="H4" s="610" t="s">
        <v>167</v>
      </c>
      <c r="I4" s="610" t="s">
        <v>1068</v>
      </c>
      <c r="J4" s="610" t="s">
        <v>8</v>
      </c>
      <c r="K4" s="610" t="s">
        <v>9</v>
      </c>
      <c r="L4" s="610" t="s">
        <v>10</v>
      </c>
      <c r="M4" s="610" t="s">
        <v>11</v>
      </c>
    </row>
    <row r="5" spans="1:57" s="381" customFormat="1" ht="24.75" customHeight="1" x14ac:dyDescent="0.25">
      <c r="A5" s="516">
        <v>1</v>
      </c>
      <c r="B5" s="619">
        <v>2312570460</v>
      </c>
      <c r="C5" s="619" t="s">
        <v>26</v>
      </c>
      <c r="D5" s="620" t="s">
        <v>1753</v>
      </c>
      <c r="E5" s="15" t="s">
        <v>17</v>
      </c>
      <c r="F5" s="15" t="s">
        <v>17</v>
      </c>
      <c r="G5" s="368" t="str">
        <f t="shared" ref="G5:G30" si="0">IF(I5="",IF($E$2&lt;=15,"En attente de Retrait","En Attente d'un Retrait Tardif"),IF(I5-$G$2&lt;=15,"Rétiré dans les délais",IF(I5-$G$2&gt;15,"Rétiré tardivement-30000FCFAamende")))</f>
        <v>Rétiré dans les délais</v>
      </c>
      <c r="H5" s="275" t="s">
        <v>1783</v>
      </c>
      <c r="I5" s="493">
        <v>45951</v>
      </c>
      <c r="J5" s="499">
        <v>0</v>
      </c>
      <c r="K5" s="390"/>
      <c r="L5" s="390"/>
      <c r="M5" s="390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</row>
    <row r="6" spans="1:57" s="373" customFormat="1" ht="24.75" customHeight="1" x14ac:dyDescent="0.25">
      <c r="A6" s="516">
        <v>3</v>
      </c>
      <c r="B6" s="619">
        <v>4054788161</v>
      </c>
      <c r="C6" s="619" t="s">
        <v>26</v>
      </c>
      <c r="D6" s="620" t="s">
        <v>1759</v>
      </c>
      <c r="E6" s="15" t="s">
        <v>17</v>
      </c>
      <c r="F6" s="15" t="s">
        <v>1757</v>
      </c>
      <c r="G6" s="368" t="str">
        <f t="shared" si="0"/>
        <v>Rétiré dans les délais</v>
      </c>
      <c r="H6" s="275" t="s">
        <v>1791</v>
      </c>
      <c r="I6" s="493">
        <v>45952</v>
      </c>
      <c r="J6" s="499">
        <v>0</v>
      </c>
      <c r="K6" s="390"/>
      <c r="L6" s="390"/>
      <c r="M6" s="390"/>
    </row>
    <row r="7" spans="1:57" s="373" customFormat="1" ht="24.75" customHeight="1" x14ac:dyDescent="0.25">
      <c r="A7" s="516">
        <v>10</v>
      </c>
      <c r="B7" s="619">
        <v>4054808510</v>
      </c>
      <c r="C7" s="619" t="s">
        <v>24</v>
      </c>
      <c r="D7" s="621" t="s">
        <v>1762</v>
      </c>
      <c r="E7" s="15" t="s">
        <v>17</v>
      </c>
      <c r="F7" s="15" t="s">
        <v>1757</v>
      </c>
      <c r="G7" s="368" t="str">
        <f t="shared" si="0"/>
        <v>Rétiré dans les délais</v>
      </c>
      <c r="H7" s="275" t="s">
        <v>1781</v>
      </c>
      <c r="I7" s="493">
        <v>45951</v>
      </c>
      <c r="J7" s="499">
        <v>0</v>
      </c>
      <c r="K7" s="390"/>
      <c r="L7" s="390"/>
      <c r="M7" s="390"/>
    </row>
    <row r="8" spans="1:57" s="373" customFormat="1" ht="24.75" customHeight="1" x14ac:dyDescent="0.25">
      <c r="A8" s="516">
        <v>14</v>
      </c>
      <c r="B8" s="619">
        <v>4054819810</v>
      </c>
      <c r="C8" s="619" t="s">
        <v>24</v>
      </c>
      <c r="D8" s="621" t="s">
        <v>1762</v>
      </c>
      <c r="E8" s="15" t="s">
        <v>17</v>
      </c>
      <c r="F8" s="15" t="s">
        <v>1757</v>
      </c>
      <c r="G8" s="368" t="str">
        <f t="shared" si="0"/>
        <v>Rétiré dans les délais</v>
      </c>
      <c r="H8" s="275" t="s">
        <v>1779</v>
      </c>
      <c r="I8" s="493">
        <v>45950</v>
      </c>
      <c r="J8" s="499">
        <v>0</v>
      </c>
      <c r="K8" s="390"/>
      <c r="L8" s="390"/>
      <c r="M8" s="390"/>
    </row>
    <row r="9" spans="1:57" s="373" customFormat="1" ht="24.75" customHeight="1" x14ac:dyDescent="0.25">
      <c r="A9" s="516">
        <v>9</v>
      </c>
      <c r="B9" s="619">
        <v>4054805930</v>
      </c>
      <c r="C9" s="619" t="s">
        <v>26</v>
      </c>
      <c r="D9" s="620" t="s">
        <v>1761</v>
      </c>
      <c r="E9" s="15" t="s">
        <v>17</v>
      </c>
      <c r="F9" s="15" t="s">
        <v>1757</v>
      </c>
      <c r="G9" s="368" t="str">
        <f t="shared" si="0"/>
        <v>Rétiré tardivement-30000FCFAamende</v>
      </c>
      <c r="H9" s="275" t="s">
        <v>1885</v>
      </c>
      <c r="I9" s="493">
        <v>45975</v>
      </c>
      <c r="J9" s="499">
        <v>0</v>
      </c>
      <c r="K9" s="390"/>
      <c r="L9" s="390"/>
      <c r="M9" s="390"/>
    </row>
    <row r="10" spans="1:57" s="373" customFormat="1" ht="24.75" customHeight="1" x14ac:dyDescent="0.25">
      <c r="A10" s="516">
        <v>19</v>
      </c>
      <c r="B10" s="619">
        <v>4054830900</v>
      </c>
      <c r="C10" s="619" t="s">
        <v>1752</v>
      </c>
      <c r="D10" s="621" t="s">
        <v>1821</v>
      </c>
      <c r="E10" s="15" t="s">
        <v>17</v>
      </c>
      <c r="F10" s="15" t="s">
        <v>1766</v>
      </c>
      <c r="G10" s="368" t="str">
        <f t="shared" si="0"/>
        <v>Rétiré dans les délais</v>
      </c>
      <c r="H10" s="275" t="s">
        <v>1814</v>
      </c>
      <c r="I10" s="493">
        <v>45958</v>
      </c>
      <c r="J10" s="499">
        <v>0</v>
      </c>
      <c r="K10" s="390"/>
      <c r="L10" s="390"/>
      <c r="M10" s="390"/>
    </row>
    <row r="11" spans="1:57" s="373" customFormat="1" ht="24.75" customHeight="1" x14ac:dyDescent="0.25">
      <c r="A11" s="516">
        <v>2</v>
      </c>
      <c r="B11" s="619">
        <v>4054781810</v>
      </c>
      <c r="C11" s="619" t="s">
        <v>24</v>
      </c>
      <c r="D11" s="620" t="s">
        <v>1758</v>
      </c>
      <c r="E11" s="15" t="s">
        <v>17</v>
      </c>
      <c r="F11" s="15" t="s">
        <v>1757</v>
      </c>
      <c r="G11" s="368" t="str">
        <f t="shared" si="0"/>
        <v>Rétiré tardivement-30000FCFAamende</v>
      </c>
      <c r="H11" s="493" t="s">
        <v>1921</v>
      </c>
      <c r="I11" s="493">
        <v>45988</v>
      </c>
      <c r="J11" s="499">
        <v>0</v>
      </c>
      <c r="K11" s="390"/>
      <c r="L11" s="390"/>
      <c r="M11" s="390"/>
    </row>
    <row r="12" spans="1:57" s="373" customFormat="1" ht="24.75" customHeight="1" x14ac:dyDescent="0.25">
      <c r="A12" s="516">
        <v>18</v>
      </c>
      <c r="B12" s="619">
        <v>4054828910</v>
      </c>
      <c r="C12" s="619" t="s">
        <v>24</v>
      </c>
      <c r="D12" s="620" t="s">
        <v>1765</v>
      </c>
      <c r="E12" s="15" t="s">
        <v>17</v>
      </c>
      <c r="F12" s="15" t="s">
        <v>1757</v>
      </c>
      <c r="G12" s="368" t="str">
        <f t="shared" si="0"/>
        <v>Rétiré dans les délais</v>
      </c>
      <c r="H12" s="275" t="s">
        <v>1778</v>
      </c>
      <c r="I12" s="493">
        <v>45950</v>
      </c>
      <c r="J12" s="499">
        <v>0</v>
      </c>
      <c r="K12" s="390"/>
      <c r="L12" s="390"/>
      <c r="M12" s="390"/>
    </row>
    <row r="13" spans="1:57" s="373" customFormat="1" ht="24.75" customHeight="1" x14ac:dyDescent="0.25">
      <c r="A13" s="516">
        <v>20</v>
      </c>
      <c r="B13" s="619">
        <v>4054831220</v>
      </c>
      <c r="C13" s="619" t="s">
        <v>1752</v>
      </c>
      <c r="D13" s="621" t="s">
        <v>1767</v>
      </c>
      <c r="E13" s="15" t="s">
        <v>17</v>
      </c>
      <c r="F13" s="15" t="s">
        <v>1757</v>
      </c>
      <c r="G13" s="368" t="str">
        <f t="shared" si="0"/>
        <v>Rétiré dans les délais</v>
      </c>
      <c r="H13" s="275" t="s">
        <v>1792</v>
      </c>
      <c r="I13" s="493">
        <v>45951</v>
      </c>
      <c r="J13" s="499">
        <v>0</v>
      </c>
      <c r="K13" s="390"/>
      <c r="L13" s="390"/>
      <c r="M13" s="390"/>
    </row>
    <row r="14" spans="1:57" s="373" customFormat="1" ht="24.75" customHeight="1" x14ac:dyDescent="0.25">
      <c r="A14" s="516">
        <v>11</v>
      </c>
      <c r="B14" s="619">
        <v>4054809090</v>
      </c>
      <c r="C14" s="619" t="s">
        <v>24</v>
      </c>
      <c r="D14" s="620" t="s">
        <v>12</v>
      </c>
      <c r="E14" s="15" t="s">
        <v>17</v>
      </c>
      <c r="F14" s="15" t="s">
        <v>17</v>
      </c>
      <c r="G14" s="368" t="str">
        <f t="shared" si="0"/>
        <v>Rétiré dans les délais</v>
      </c>
      <c r="H14" s="275" t="s">
        <v>1789</v>
      </c>
      <c r="I14" s="493">
        <v>45951</v>
      </c>
      <c r="J14" s="499">
        <v>0</v>
      </c>
      <c r="K14" s="390"/>
      <c r="L14" s="390"/>
      <c r="M14" s="390"/>
    </row>
    <row r="15" spans="1:57" s="373" customFormat="1" ht="24.75" customHeight="1" x14ac:dyDescent="0.25">
      <c r="A15" s="516">
        <v>12</v>
      </c>
      <c r="B15" s="619">
        <v>4054809110</v>
      </c>
      <c r="C15" s="619" t="s">
        <v>24</v>
      </c>
      <c r="D15" s="620" t="s">
        <v>12</v>
      </c>
      <c r="E15" s="15" t="s">
        <v>17</v>
      </c>
      <c r="F15" s="15" t="s">
        <v>17</v>
      </c>
      <c r="G15" s="368" t="str">
        <f t="shared" si="0"/>
        <v>Rétiré dans les délais</v>
      </c>
      <c r="H15" s="275" t="s">
        <v>1787</v>
      </c>
      <c r="I15" s="493">
        <v>45951</v>
      </c>
      <c r="J15" s="499">
        <v>0</v>
      </c>
      <c r="K15" s="390"/>
      <c r="L15" s="390"/>
      <c r="M15" s="390"/>
    </row>
    <row r="16" spans="1:57" s="373" customFormat="1" ht="24.75" customHeight="1" x14ac:dyDescent="0.25">
      <c r="A16" s="516">
        <v>13</v>
      </c>
      <c r="B16" s="619">
        <v>4054809140</v>
      </c>
      <c r="C16" s="619" t="s">
        <v>24</v>
      </c>
      <c r="D16" s="620" t="s">
        <v>12</v>
      </c>
      <c r="E16" s="15" t="s">
        <v>17</v>
      </c>
      <c r="F16" s="15" t="s">
        <v>1757</v>
      </c>
      <c r="G16" s="368" t="str">
        <f t="shared" si="0"/>
        <v>Rétiré dans les délais</v>
      </c>
      <c r="H16" s="275" t="s">
        <v>1785</v>
      </c>
      <c r="I16" s="493">
        <v>45951</v>
      </c>
      <c r="J16" s="499">
        <v>0</v>
      </c>
      <c r="K16" s="390"/>
      <c r="L16" s="390"/>
      <c r="M16" s="390"/>
    </row>
    <row r="17" spans="1:13" s="373" customFormat="1" ht="24.75" customHeight="1" x14ac:dyDescent="0.25">
      <c r="A17" s="516">
        <v>22</v>
      </c>
      <c r="B17" s="619">
        <v>4054839880</v>
      </c>
      <c r="C17" s="619" t="s">
        <v>26</v>
      </c>
      <c r="D17" s="620" t="s">
        <v>12</v>
      </c>
      <c r="E17" s="15" t="s">
        <v>17</v>
      </c>
      <c r="F17" s="15" t="s">
        <v>1757</v>
      </c>
      <c r="G17" s="368" t="str">
        <f t="shared" si="0"/>
        <v>Rétiré dans les délais</v>
      </c>
      <c r="H17" s="275" t="s">
        <v>1790</v>
      </c>
      <c r="I17" s="493">
        <v>45951</v>
      </c>
      <c r="J17" s="499">
        <v>0</v>
      </c>
      <c r="K17" s="390"/>
      <c r="L17" s="390"/>
      <c r="M17" s="390"/>
    </row>
    <row r="18" spans="1:13" s="373" customFormat="1" ht="24.75" customHeight="1" x14ac:dyDescent="0.25">
      <c r="A18" s="516">
        <v>4</v>
      </c>
      <c r="B18" s="619">
        <v>4054791700</v>
      </c>
      <c r="C18" s="619" t="s">
        <v>26</v>
      </c>
      <c r="D18" s="620" t="s">
        <v>82</v>
      </c>
      <c r="E18" s="15" t="s">
        <v>17</v>
      </c>
      <c r="F18" s="15" t="s">
        <v>17</v>
      </c>
      <c r="G18" s="368" t="str">
        <f t="shared" si="0"/>
        <v>Rétiré dans les délais</v>
      </c>
      <c r="H18" s="275" t="s">
        <v>1793</v>
      </c>
      <c r="I18" s="493">
        <v>45951</v>
      </c>
      <c r="J18" s="499">
        <v>0</v>
      </c>
      <c r="K18" s="390"/>
      <c r="L18" s="390"/>
      <c r="M18" s="390"/>
    </row>
    <row r="19" spans="1:13" s="373" customFormat="1" ht="24.75" customHeight="1" x14ac:dyDescent="0.25">
      <c r="A19" s="516">
        <v>5</v>
      </c>
      <c r="B19" s="619">
        <v>4054791710</v>
      </c>
      <c r="C19" s="619" t="s">
        <v>26</v>
      </c>
      <c r="D19" s="620" t="s">
        <v>82</v>
      </c>
      <c r="E19" s="15" t="s">
        <v>17</v>
      </c>
      <c r="F19" s="15" t="s">
        <v>17</v>
      </c>
      <c r="G19" s="368" t="str">
        <f t="shared" si="0"/>
        <v>Rétiré dans les délais</v>
      </c>
      <c r="H19" s="275" t="s">
        <v>1786</v>
      </c>
      <c r="I19" s="493">
        <v>45951</v>
      </c>
      <c r="J19" s="499">
        <v>0</v>
      </c>
      <c r="K19" s="390"/>
      <c r="L19" s="390"/>
      <c r="M19" s="390"/>
    </row>
    <row r="20" spans="1:13" s="373" customFormat="1" ht="24.75" customHeight="1" x14ac:dyDescent="0.25">
      <c r="A20" s="516">
        <v>6</v>
      </c>
      <c r="B20" s="619">
        <v>4054791720</v>
      </c>
      <c r="C20" s="619" t="s">
        <v>26</v>
      </c>
      <c r="D20" s="620" t="s">
        <v>82</v>
      </c>
      <c r="E20" s="15" t="s">
        <v>17</v>
      </c>
      <c r="F20" s="15" t="s">
        <v>17</v>
      </c>
      <c r="G20" s="368" t="str">
        <f t="shared" si="0"/>
        <v>Rétiré dans les délais</v>
      </c>
      <c r="H20" s="275" t="s">
        <v>1788</v>
      </c>
      <c r="I20" s="493">
        <v>45951</v>
      </c>
      <c r="J20" s="499">
        <v>0</v>
      </c>
      <c r="K20" s="390"/>
      <c r="L20" s="390"/>
      <c r="M20" s="390"/>
    </row>
    <row r="21" spans="1:13" s="373" customFormat="1" ht="24.75" customHeight="1" x14ac:dyDescent="0.25">
      <c r="A21" s="516">
        <v>23</v>
      </c>
      <c r="B21" s="619">
        <v>4054843100</v>
      </c>
      <c r="C21" s="619" t="s">
        <v>24</v>
      </c>
      <c r="D21" s="620" t="s">
        <v>1768</v>
      </c>
      <c r="E21" s="15" t="s">
        <v>17</v>
      </c>
      <c r="F21" s="15" t="s">
        <v>1757</v>
      </c>
      <c r="G21" s="368" t="str">
        <f t="shared" si="0"/>
        <v>Rétiré dans les délais</v>
      </c>
      <c r="H21" s="275" t="s">
        <v>1803</v>
      </c>
      <c r="I21" s="493">
        <v>45952</v>
      </c>
      <c r="J21" s="499">
        <v>0</v>
      </c>
      <c r="K21" s="390"/>
      <c r="L21" s="390"/>
      <c r="M21" s="390"/>
    </row>
    <row r="22" spans="1:13" s="373" customFormat="1" ht="24.75" customHeight="1" x14ac:dyDescent="0.25">
      <c r="A22" s="516">
        <v>24</v>
      </c>
      <c r="B22" s="619">
        <v>4054843140</v>
      </c>
      <c r="C22" s="619" t="s">
        <v>24</v>
      </c>
      <c r="D22" s="620" t="s">
        <v>1768</v>
      </c>
      <c r="E22" s="15" t="s">
        <v>17</v>
      </c>
      <c r="F22" s="15" t="s">
        <v>1757</v>
      </c>
      <c r="G22" s="368" t="str">
        <f t="shared" si="0"/>
        <v>Rétiré dans les délais</v>
      </c>
      <c r="H22" s="275" t="s">
        <v>1805</v>
      </c>
      <c r="I22" s="493">
        <v>45952</v>
      </c>
      <c r="J22" s="499">
        <v>0</v>
      </c>
      <c r="K22" s="390"/>
      <c r="L22" s="390"/>
      <c r="M22" s="390"/>
    </row>
    <row r="23" spans="1:13" s="373" customFormat="1" ht="24.75" customHeight="1" x14ac:dyDescent="0.25">
      <c r="A23" s="516">
        <v>25</v>
      </c>
      <c r="B23" s="619">
        <v>4054843150</v>
      </c>
      <c r="C23" s="619" t="s">
        <v>24</v>
      </c>
      <c r="D23" s="620" t="s">
        <v>1768</v>
      </c>
      <c r="E23" s="15" t="s">
        <v>17</v>
      </c>
      <c r="F23" s="15" t="s">
        <v>1766</v>
      </c>
      <c r="G23" s="368" t="str">
        <f t="shared" si="0"/>
        <v>Rétiré dans les délais</v>
      </c>
      <c r="H23" s="275" t="s">
        <v>1806</v>
      </c>
      <c r="I23" s="493">
        <v>45953</v>
      </c>
      <c r="J23" s="499">
        <v>0</v>
      </c>
      <c r="K23" s="390"/>
      <c r="L23" s="390"/>
      <c r="M23" s="390"/>
    </row>
    <row r="24" spans="1:13" s="373" customFormat="1" ht="24.75" customHeight="1" x14ac:dyDescent="0.25">
      <c r="A24" s="516">
        <v>26</v>
      </c>
      <c r="B24" s="619">
        <v>4054843180</v>
      </c>
      <c r="C24" s="619" t="s">
        <v>24</v>
      </c>
      <c r="D24" s="620" t="s">
        <v>1768</v>
      </c>
      <c r="E24" s="15" t="s">
        <v>17</v>
      </c>
      <c r="F24" s="15" t="s">
        <v>1757</v>
      </c>
      <c r="G24" s="368" t="str">
        <f t="shared" si="0"/>
        <v>Rétiré dans les délais</v>
      </c>
      <c r="H24" s="275" t="s">
        <v>1804</v>
      </c>
      <c r="I24" s="493">
        <v>45952</v>
      </c>
      <c r="J24" s="499">
        <v>0</v>
      </c>
      <c r="K24" s="390"/>
      <c r="L24" s="390"/>
      <c r="M24" s="390"/>
    </row>
    <row r="25" spans="1:13" s="373" customFormat="1" ht="24.75" customHeight="1" x14ac:dyDescent="0.25">
      <c r="A25" s="516">
        <v>7</v>
      </c>
      <c r="B25" s="668">
        <v>4054800960</v>
      </c>
      <c r="C25" s="619" t="s">
        <v>26</v>
      </c>
      <c r="D25" s="620" t="s">
        <v>1760</v>
      </c>
      <c r="E25" s="15" t="s">
        <v>1774</v>
      </c>
      <c r="F25" s="15" t="s">
        <v>1757</v>
      </c>
      <c r="G25" s="368" t="str">
        <f t="shared" si="0"/>
        <v>Rétiré dans les délais</v>
      </c>
      <c r="H25" s="275" t="s">
        <v>1812</v>
      </c>
      <c r="I25" s="493">
        <v>45958</v>
      </c>
      <c r="J25" s="499">
        <v>0</v>
      </c>
      <c r="K25" s="390"/>
      <c r="L25" s="390"/>
      <c r="M25" s="390"/>
    </row>
    <row r="26" spans="1:13" s="373" customFormat="1" ht="24.75" customHeight="1" x14ac:dyDescent="0.25">
      <c r="A26" s="516">
        <v>8</v>
      </c>
      <c r="B26" s="668">
        <v>4054800970</v>
      </c>
      <c r="C26" s="619" t="s">
        <v>26</v>
      </c>
      <c r="D26" s="620" t="s">
        <v>1760</v>
      </c>
      <c r="E26" s="15" t="s">
        <v>1774</v>
      </c>
      <c r="F26" s="15" t="s">
        <v>17</v>
      </c>
      <c r="G26" s="368" t="str">
        <f t="shared" si="0"/>
        <v>Rétiré tardivement-30000FCFAamende</v>
      </c>
      <c r="H26" s="275" t="s">
        <v>1863</v>
      </c>
      <c r="I26" s="493">
        <v>45967</v>
      </c>
      <c r="J26" s="495" t="s">
        <v>1864</v>
      </c>
      <c r="K26" s="390"/>
      <c r="L26" s="390"/>
      <c r="M26" s="390"/>
    </row>
    <row r="27" spans="1:13" s="373" customFormat="1" ht="24.75" customHeight="1" x14ac:dyDescent="0.25">
      <c r="A27" s="516">
        <v>21</v>
      </c>
      <c r="B27" s="668">
        <v>4054839240</v>
      </c>
      <c r="C27" s="619" t="s">
        <v>26</v>
      </c>
      <c r="D27" s="620" t="s">
        <v>1760</v>
      </c>
      <c r="E27" s="15" t="s">
        <v>1775</v>
      </c>
      <c r="F27" s="15" t="s">
        <v>1757</v>
      </c>
      <c r="G27" s="368" t="str">
        <f t="shared" si="0"/>
        <v>Rétiré dans les délais</v>
      </c>
      <c r="H27" s="275" t="s">
        <v>1813</v>
      </c>
      <c r="I27" s="493">
        <v>45958</v>
      </c>
      <c r="J27" s="499">
        <v>0</v>
      </c>
      <c r="K27" s="390"/>
      <c r="L27" s="390"/>
      <c r="M27" s="390"/>
    </row>
    <row r="28" spans="1:13" s="373" customFormat="1" ht="24.75" customHeight="1" x14ac:dyDescent="0.25">
      <c r="A28" s="516">
        <v>16</v>
      </c>
      <c r="B28" s="619">
        <v>4054820670</v>
      </c>
      <c r="C28" s="619" t="s">
        <v>26</v>
      </c>
      <c r="D28" s="621" t="s">
        <v>1764</v>
      </c>
      <c r="E28" s="15" t="s">
        <v>17</v>
      </c>
      <c r="F28" s="15" t="s">
        <v>1757</v>
      </c>
      <c r="G28" s="368" t="str">
        <f t="shared" si="0"/>
        <v>Rétiré dans les délais</v>
      </c>
      <c r="H28" s="275" t="s">
        <v>1802</v>
      </c>
      <c r="I28" s="493">
        <v>45952</v>
      </c>
      <c r="J28" s="499">
        <v>0</v>
      </c>
      <c r="K28" s="390"/>
      <c r="L28" s="390"/>
      <c r="M28" s="390"/>
    </row>
    <row r="29" spans="1:13" s="373" customFormat="1" ht="24.75" customHeight="1" x14ac:dyDescent="0.25">
      <c r="A29" s="516">
        <v>15</v>
      </c>
      <c r="B29" s="619">
        <v>4054820650</v>
      </c>
      <c r="C29" s="619" t="s">
        <v>26</v>
      </c>
      <c r="D29" s="621" t="s">
        <v>1763</v>
      </c>
      <c r="E29" s="15" t="s">
        <v>17</v>
      </c>
      <c r="F29" s="15" t="s">
        <v>1757</v>
      </c>
      <c r="G29" s="368" t="str">
        <f t="shared" si="0"/>
        <v>Rétiré dans les délais</v>
      </c>
      <c r="H29" s="275" t="s">
        <v>1800</v>
      </c>
      <c r="I29" s="493">
        <v>45952</v>
      </c>
      <c r="J29" s="499">
        <v>0</v>
      </c>
      <c r="K29" s="390"/>
      <c r="L29" s="390"/>
      <c r="M29" s="390"/>
    </row>
    <row r="30" spans="1:13" s="373" customFormat="1" ht="24.75" customHeight="1" x14ac:dyDescent="0.25">
      <c r="A30" s="516">
        <v>17</v>
      </c>
      <c r="B30" s="619">
        <v>4054820690</v>
      </c>
      <c r="C30" s="619" t="s">
        <v>26</v>
      </c>
      <c r="D30" s="621" t="s">
        <v>1763</v>
      </c>
      <c r="E30" s="15" t="s">
        <v>17</v>
      </c>
      <c r="F30" s="15" t="s">
        <v>1757</v>
      </c>
      <c r="G30" s="368" t="str">
        <f t="shared" si="0"/>
        <v>Rétiré dans les délais</v>
      </c>
      <c r="H30" s="275" t="s">
        <v>1801</v>
      </c>
      <c r="I30" s="493">
        <v>45952</v>
      </c>
      <c r="J30" s="499">
        <v>0</v>
      </c>
      <c r="K30" s="390"/>
      <c r="L30" s="390"/>
      <c r="M30" s="390"/>
    </row>
  </sheetData>
  <autoFilter ref="A4:M30" xr:uid="{27716914-AE2A-4339-A266-2F3A45F20101}">
    <sortState xmlns:xlrd2="http://schemas.microsoft.com/office/spreadsheetml/2017/richdata2" ref="A5:M30">
      <sortCondition ref="D4:D30"/>
    </sortState>
  </autoFilter>
  <mergeCells count="1">
    <mergeCell ref="G1:I1"/>
  </mergeCells>
  <conditionalFormatting sqref="A5:B6 B5:B30 D5:M30 A7:A30">
    <cfRule type="containsText" dxfId="1391" priority="16" operator="containsText" text="En Attente d'un Retrait Tardif">
      <formula>NOT(ISERROR(SEARCH("En Attente d'un Retrait Tardif",A5)))</formula>
    </cfRule>
    <cfRule type="containsText" dxfId="1390" priority="17" operator="containsText" text="Rétiré dans les délais">
      <formula>NOT(ISERROR(SEARCH("Rétiré dans les délais",A5)))</formula>
    </cfRule>
  </conditionalFormatting>
  <conditionalFormatting sqref="B1:B1048576">
    <cfRule type="duplicateValues" dxfId="1389" priority="7"/>
    <cfRule type="duplicateValues" dxfId="1388" priority="2116"/>
    <cfRule type="duplicateValues" dxfId="1387" priority="2117"/>
    <cfRule type="duplicateValues" dxfId="1386" priority="2118"/>
  </conditionalFormatting>
  <conditionalFormatting sqref="B15:B1048576 B1:B3">
    <cfRule type="duplicateValues" dxfId="1385" priority="2113"/>
  </conditionalFormatting>
  <conditionalFormatting sqref="B15:B1048576 B1:B4">
    <cfRule type="duplicateValues" dxfId="1384" priority="2125"/>
    <cfRule type="duplicateValues" dxfId="1383" priority="2126"/>
  </conditionalFormatting>
  <conditionalFormatting sqref="B15:B1048576">
    <cfRule type="duplicateValues" dxfId="1382" priority="2131"/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1B75-CB55-4D9E-AC7A-6C68E7664DE8}">
  <sheetPr codeName="Feuil101">
    <tabColor theme="2"/>
  </sheetPr>
  <dimension ref="A1:M27"/>
  <sheetViews>
    <sheetView zoomScaleNormal="100" workbookViewId="0"/>
  </sheetViews>
  <sheetFormatPr baseColWidth="10" defaultRowHeight="15" x14ac:dyDescent="0.25"/>
  <cols>
    <col min="1" max="1" width="7.42578125" customWidth="1"/>
    <col min="2" max="2" width="20.28515625" style="105" customWidth="1"/>
    <col min="3" max="3" width="16.42578125" style="105" customWidth="1"/>
    <col min="4" max="4" width="59.5703125" customWidth="1"/>
    <col min="5" max="6" width="16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1755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157</v>
      </c>
      <c r="F2" s="25"/>
      <c r="G2" s="314">
        <v>45939</v>
      </c>
      <c r="H2" s="365">
        <f ca="1">I2-G2</f>
        <v>157</v>
      </c>
      <c r="I2" s="315">
        <f ca="1">TODAY()</f>
        <v>46096</v>
      </c>
      <c r="J2" s="340" t="s">
        <v>1829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208"/>
    </row>
    <row r="4" spans="1:13" x14ac:dyDescent="0.25">
      <c r="A4" s="610" t="s">
        <v>1</v>
      </c>
      <c r="B4" s="610" t="s">
        <v>2</v>
      </c>
      <c r="C4" s="610" t="s">
        <v>3</v>
      </c>
      <c r="D4" s="610" t="s">
        <v>5</v>
      </c>
      <c r="E4" s="610" t="s">
        <v>1065</v>
      </c>
      <c r="F4" s="610" t="s">
        <v>1066</v>
      </c>
      <c r="G4" s="610" t="s">
        <v>1067</v>
      </c>
      <c r="H4" s="610" t="s">
        <v>167</v>
      </c>
      <c r="I4" s="610" t="s">
        <v>1068</v>
      </c>
      <c r="J4" s="610" t="s">
        <v>8</v>
      </c>
      <c r="K4" s="610" t="s">
        <v>9</v>
      </c>
      <c r="L4" s="610" t="s">
        <v>10</v>
      </c>
      <c r="M4" s="610" t="s">
        <v>11</v>
      </c>
    </row>
    <row r="5" spans="1:13" s="381" customFormat="1" ht="23.25" customHeight="1" x14ac:dyDescent="0.25">
      <c r="A5" s="516">
        <v>1</v>
      </c>
      <c r="B5" s="622">
        <v>4054791690</v>
      </c>
      <c r="C5" s="266" t="s">
        <v>26</v>
      </c>
      <c r="D5" s="613" t="s">
        <v>1069</v>
      </c>
      <c r="E5" s="15" t="s">
        <v>17</v>
      </c>
      <c r="F5" s="15" t="s">
        <v>1772</v>
      </c>
      <c r="G5" s="353" t="str">
        <f t="shared" ref="G5:G13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1056</v>
      </c>
      <c r="I5" s="493">
        <v>45943</v>
      </c>
      <c r="J5" s="499">
        <v>0</v>
      </c>
      <c r="K5" s="390"/>
      <c r="L5" s="390"/>
      <c r="M5" s="390"/>
    </row>
    <row r="6" spans="1:13" s="381" customFormat="1" ht="23.25" customHeight="1" x14ac:dyDescent="0.25">
      <c r="A6" s="516">
        <v>2</v>
      </c>
      <c r="B6" s="623">
        <v>4054794250</v>
      </c>
      <c r="C6" s="624" t="s">
        <v>26</v>
      </c>
      <c r="D6" s="625" t="s">
        <v>1071</v>
      </c>
      <c r="E6" s="626" t="s">
        <v>1072</v>
      </c>
      <c r="F6" s="626" t="s">
        <v>1772</v>
      </c>
      <c r="G6" s="353" t="str">
        <f t="shared" si="0"/>
        <v>Rétirédanslesdélais</v>
      </c>
      <c r="H6" s="627" t="s">
        <v>1776</v>
      </c>
      <c r="I6" s="628">
        <v>45950</v>
      </c>
      <c r="J6" s="499">
        <v>0</v>
      </c>
      <c r="K6" s="390"/>
      <c r="L6" s="390"/>
      <c r="M6" s="390"/>
    </row>
    <row r="7" spans="1:13" s="373" customFormat="1" ht="23.25" customHeight="1" x14ac:dyDescent="0.25">
      <c r="A7" s="516">
        <v>3</v>
      </c>
      <c r="B7" s="622">
        <v>4054795700</v>
      </c>
      <c r="C7" s="266" t="s">
        <v>26</v>
      </c>
      <c r="D7" s="613" t="s">
        <v>1073</v>
      </c>
      <c r="E7" s="15" t="s">
        <v>17</v>
      </c>
      <c r="F7" s="15" t="s">
        <v>1772</v>
      </c>
      <c r="G7" s="353" t="str">
        <f t="shared" si="0"/>
        <v>Rétirédanslesdélais</v>
      </c>
      <c r="H7" s="275" t="s">
        <v>1060</v>
      </c>
      <c r="I7" s="493">
        <v>45944</v>
      </c>
      <c r="J7" s="499">
        <v>0</v>
      </c>
      <c r="K7" s="390"/>
      <c r="L7" s="390"/>
      <c r="M7" s="390"/>
    </row>
    <row r="8" spans="1:13" s="373" customFormat="1" ht="23.25" customHeight="1" x14ac:dyDescent="0.25">
      <c r="A8" s="516">
        <v>4</v>
      </c>
      <c r="B8" s="623">
        <v>4054797200</v>
      </c>
      <c r="C8" s="624" t="s">
        <v>26</v>
      </c>
      <c r="D8" s="625" t="s">
        <v>1071</v>
      </c>
      <c r="E8" s="626" t="s">
        <v>1072</v>
      </c>
      <c r="F8" s="626" t="s">
        <v>1772</v>
      </c>
      <c r="G8" s="353" t="str">
        <f t="shared" si="0"/>
        <v>Rétirédanslesdélais</v>
      </c>
      <c r="H8" s="627" t="s">
        <v>1777</v>
      </c>
      <c r="I8" s="628">
        <v>45950</v>
      </c>
      <c r="J8" s="499">
        <v>0</v>
      </c>
      <c r="K8" s="390"/>
      <c r="L8" s="390"/>
      <c r="M8" s="390"/>
    </row>
    <row r="9" spans="1:13" s="373" customFormat="1" ht="23.25" customHeight="1" x14ac:dyDescent="0.25">
      <c r="A9" s="516">
        <v>11</v>
      </c>
      <c r="B9" s="629">
        <v>4054800710</v>
      </c>
      <c r="C9" s="630" t="s">
        <v>24</v>
      </c>
      <c r="D9" s="613" t="s">
        <v>1074</v>
      </c>
      <c r="E9" s="15" t="s">
        <v>17</v>
      </c>
      <c r="F9" s="15" t="s">
        <v>1773</v>
      </c>
      <c r="G9" s="353" t="str">
        <f t="shared" si="0"/>
        <v>Rétirédanslesdélais</v>
      </c>
      <c r="H9" s="275" t="s">
        <v>1754</v>
      </c>
      <c r="I9" s="493">
        <v>45946</v>
      </c>
      <c r="J9" s="499">
        <v>0</v>
      </c>
      <c r="K9" s="390"/>
      <c r="L9" s="390"/>
      <c r="M9" s="390"/>
    </row>
    <row r="10" spans="1:13" s="373" customFormat="1" ht="23.25" customHeight="1" x14ac:dyDescent="0.25">
      <c r="A10" s="516">
        <v>5</v>
      </c>
      <c r="B10" s="622">
        <v>4054800920</v>
      </c>
      <c r="C10" s="266" t="s">
        <v>26</v>
      </c>
      <c r="D10" s="613" t="s">
        <v>1071</v>
      </c>
      <c r="E10" s="15" t="s">
        <v>1072</v>
      </c>
      <c r="F10" s="15" t="s">
        <v>1772</v>
      </c>
      <c r="G10" s="353" t="str">
        <f t="shared" si="0"/>
        <v>Rétirédanslesdélais</v>
      </c>
      <c r="H10" s="275" t="s">
        <v>1770</v>
      </c>
      <c r="I10" s="493">
        <v>45947</v>
      </c>
      <c r="J10" s="499">
        <v>0</v>
      </c>
      <c r="K10" s="390"/>
      <c r="L10" s="390"/>
      <c r="M10" s="390"/>
    </row>
    <row r="11" spans="1:13" s="373" customFormat="1" ht="23.25" customHeight="1" x14ac:dyDescent="0.25">
      <c r="A11" s="516">
        <v>6</v>
      </c>
      <c r="B11" s="622">
        <v>4054800940</v>
      </c>
      <c r="C11" s="266" t="s">
        <v>26</v>
      </c>
      <c r="D11" s="613" t="s">
        <v>1071</v>
      </c>
      <c r="E11" s="15" t="s">
        <v>1072</v>
      </c>
      <c r="F11" s="15" t="s">
        <v>1772</v>
      </c>
      <c r="G11" s="353" t="str">
        <f t="shared" si="0"/>
        <v>Rétirédanslesdélais</v>
      </c>
      <c r="H11" s="275" t="s">
        <v>1769</v>
      </c>
      <c r="I11" s="493">
        <v>45947</v>
      </c>
      <c r="J11" s="499">
        <v>0</v>
      </c>
      <c r="K11" s="390"/>
      <c r="L11" s="390"/>
      <c r="M11" s="390"/>
    </row>
    <row r="12" spans="1:13" s="373" customFormat="1" ht="23.25" customHeight="1" x14ac:dyDescent="0.25">
      <c r="A12" s="516">
        <v>7</v>
      </c>
      <c r="B12" s="622">
        <v>4054800950</v>
      </c>
      <c r="C12" s="266" t="s">
        <v>26</v>
      </c>
      <c r="D12" s="613" t="s">
        <v>1071</v>
      </c>
      <c r="E12" s="15" t="s">
        <v>1072</v>
      </c>
      <c r="F12" s="15" t="s">
        <v>1772</v>
      </c>
      <c r="G12" s="353" t="str">
        <f t="shared" si="0"/>
        <v>Rétirédanslesdélais</v>
      </c>
      <c r="H12" s="275" t="s">
        <v>1771</v>
      </c>
      <c r="I12" s="493">
        <v>45947</v>
      </c>
      <c r="J12" s="499">
        <v>0</v>
      </c>
      <c r="K12" s="390"/>
      <c r="L12" s="390"/>
      <c r="M12" s="390"/>
    </row>
    <row r="13" spans="1:13" s="373" customFormat="1" ht="23.25" customHeight="1" x14ac:dyDescent="0.25">
      <c r="A13" s="516">
        <v>8</v>
      </c>
      <c r="B13" s="623">
        <v>4054805900</v>
      </c>
      <c r="C13" s="624" t="s">
        <v>26</v>
      </c>
      <c r="D13" s="625" t="s">
        <v>1071</v>
      </c>
      <c r="E13" s="626" t="s">
        <v>1072</v>
      </c>
      <c r="F13" s="626" t="s">
        <v>1772</v>
      </c>
      <c r="G13" s="353" t="str">
        <f t="shared" si="0"/>
        <v>Rétirédanslesdélais</v>
      </c>
      <c r="H13" s="627" t="s">
        <v>1780</v>
      </c>
      <c r="I13" s="628">
        <v>45950</v>
      </c>
      <c r="J13" s="499">
        <v>0</v>
      </c>
      <c r="K13" s="390"/>
      <c r="L13" s="390"/>
      <c r="M13" s="390"/>
    </row>
    <row r="14" spans="1:13" s="373" customFormat="1" ht="23.25" customHeight="1" x14ac:dyDescent="0.25">
      <c r="A14" s="516">
        <v>13</v>
      </c>
      <c r="B14" s="622">
        <v>4054805920</v>
      </c>
      <c r="C14" s="266" t="s">
        <v>645</v>
      </c>
      <c r="D14" s="613" t="s">
        <v>1076</v>
      </c>
      <c r="E14" s="15" t="s">
        <v>17</v>
      </c>
      <c r="F14" s="15" t="s">
        <v>1772</v>
      </c>
      <c r="G14" s="353" t="str">
        <f ca="1">IF(I2="",IF($E$2&lt;=15,"EnattentedeRetrait","EnAttented'unRetraitTardif"),IF(I2-$G$2&lt;=15,"Rétirédanslesdélais",IF(I2-$G$2&gt;15,"Rétirétardivement-30000FCFAamende")))</f>
        <v>Rétirétardivement-30000FCFAamende</v>
      </c>
      <c r="H14" s="275" t="s">
        <v>1756</v>
      </c>
      <c r="I14" s="493">
        <v>45946</v>
      </c>
      <c r="J14" s="499">
        <v>0</v>
      </c>
      <c r="K14" s="390"/>
      <c r="L14" s="390"/>
      <c r="M14" s="390"/>
    </row>
    <row r="15" spans="1:13" s="373" customFormat="1" ht="23.25" customHeight="1" x14ac:dyDescent="0.25">
      <c r="A15" s="516">
        <v>12</v>
      </c>
      <c r="B15" s="622">
        <v>4054809120</v>
      </c>
      <c r="C15" s="266" t="s">
        <v>24</v>
      </c>
      <c r="D15" s="613" t="s">
        <v>1075</v>
      </c>
      <c r="E15" s="15" t="s">
        <v>17</v>
      </c>
      <c r="F15" s="15" t="s">
        <v>1772</v>
      </c>
      <c r="G15" s="353" t="str">
        <f>IF(I15="",IF($E$2&lt;=15,"EnattentedeRetrait","EnAttented'unRetraitTardif"),IF(I15-$G$2&lt;=15,"Rétirédanslesdélais",IF(I15-$G$2&gt;15,"Rétirétardivement-30000FCFAamende")))</f>
        <v>Rétirédanslesdélais</v>
      </c>
      <c r="H15" s="275" t="s">
        <v>1055</v>
      </c>
      <c r="I15" s="493">
        <v>45943</v>
      </c>
      <c r="J15" s="499">
        <v>0</v>
      </c>
      <c r="K15" s="390"/>
      <c r="L15" s="390"/>
      <c r="M15" s="390"/>
    </row>
    <row r="16" spans="1:13" s="373" customFormat="1" ht="23.25" customHeight="1" x14ac:dyDescent="0.25">
      <c r="A16" s="516">
        <v>9</v>
      </c>
      <c r="B16" s="622">
        <v>4054809250</v>
      </c>
      <c r="C16" s="266" t="s">
        <v>26</v>
      </c>
      <c r="D16" s="613" t="s">
        <v>1074</v>
      </c>
      <c r="E16" s="15" t="s">
        <v>17</v>
      </c>
      <c r="F16" s="15" t="s">
        <v>1772</v>
      </c>
      <c r="G16" s="353" t="str">
        <f>IF(I16="",IF($E$2&lt;=15,"EnattentedeRetrait","EnAttented'unRetraitTardif"),IF(I16-$G$2&lt;=15,"Rétirédanslesdélais",IF(I16-$G$2&gt;15,"Rétirétardivement-30000FCFAamende")))</f>
        <v>Rétirédanslesdélais</v>
      </c>
      <c r="H16" s="275" t="s">
        <v>1054</v>
      </c>
      <c r="I16" s="493">
        <v>45943</v>
      </c>
      <c r="J16" s="499">
        <v>0</v>
      </c>
      <c r="K16" s="390"/>
      <c r="L16" s="390"/>
      <c r="M16" s="390"/>
    </row>
    <row r="17" spans="1:13" s="373" customFormat="1" ht="23.25" customHeight="1" x14ac:dyDescent="0.25">
      <c r="A17" s="516">
        <v>10</v>
      </c>
      <c r="B17" s="622">
        <v>4054811390</v>
      </c>
      <c r="C17" s="266" t="s">
        <v>164</v>
      </c>
      <c r="D17" s="613" t="s">
        <v>570</v>
      </c>
      <c r="E17" s="15" t="s">
        <v>17</v>
      </c>
      <c r="F17" s="15" t="s">
        <v>1772</v>
      </c>
      <c r="G17" s="353" t="str">
        <f>IF(I17="",IF($E$2&lt;=15,"EnattentedeRetrait","EnAttented'unRetraitTardif"),IF(I17-$G$2&lt;=15,"Rétirédanslesdélais",IF(I17-$G$2&gt;15,"Rétirétardivement-30000FCFAamende")))</f>
        <v>Rétirédanslesdélais</v>
      </c>
      <c r="H17" s="275" t="s">
        <v>1053</v>
      </c>
      <c r="I17" s="493">
        <v>45943</v>
      </c>
      <c r="J17" s="499">
        <v>0</v>
      </c>
      <c r="K17" s="390"/>
      <c r="L17" s="390"/>
      <c r="M17" s="390"/>
    </row>
    <row r="18" spans="1:13" x14ac:dyDescent="0.25">
      <c r="B18"/>
      <c r="C18"/>
    </row>
    <row r="19" spans="1:13" x14ac:dyDescent="0.25">
      <c r="B19"/>
      <c r="C19"/>
    </row>
    <row r="21" spans="1:13" x14ac:dyDescent="0.25">
      <c r="B21"/>
      <c r="C21"/>
    </row>
    <row r="22" spans="1:13" x14ac:dyDescent="0.25">
      <c r="B22"/>
      <c r="C22"/>
    </row>
    <row r="23" spans="1:13" x14ac:dyDescent="0.25">
      <c r="B23"/>
      <c r="C23"/>
    </row>
    <row r="24" spans="1:13" x14ac:dyDescent="0.25">
      <c r="B24"/>
      <c r="C24"/>
    </row>
    <row r="25" spans="1:13" x14ac:dyDescent="0.25">
      <c r="B25"/>
      <c r="C25"/>
    </row>
    <row r="26" spans="1:13" x14ac:dyDescent="0.25">
      <c r="B26"/>
      <c r="C26"/>
    </row>
    <row r="27" spans="1:13" x14ac:dyDescent="0.25">
      <c r="B27"/>
      <c r="C27"/>
    </row>
  </sheetData>
  <mergeCells count="2">
    <mergeCell ref="G1:I1"/>
    <mergeCell ref="A2:B2"/>
  </mergeCells>
  <conditionalFormatting sqref="A5:B17">
    <cfRule type="containsText" dxfId="1381" priority="18" operator="containsText" text="En Attente d'un Retrait Tardif">
      <formula>NOT(ISERROR(SEARCH("En Attente d'un Retrait Tardif",A5)))</formula>
    </cfRule>
    <cfRule type="containsText" dxfId="1380" priority="19" operator="containsText" text="Rétiré dans les délais">
      <formula>NOT(ISERROR(SEARCH("Rétiré dans les délais",A5)))</formula>
    </cfRule>
  </conditionalFormatting>
  <conditionalFormatting sqref="B1:B1048576">
    <cfRule type="duplicateValues" dxfId="1379" priority="7"/>
  </conditionalFormatting>
  <conditionalFormatting sqref="B28:B1048576 B1:B3 B20">
    <cfRule type="duplicateValues" dxfId="1378" priority="2061"/>
  </conditionalFormatting>
  <conditionalFormatting sqref="B28:B1048576 B1:B20">
    <cfRule type="duplicateValues" dxfId="1377" priority="8"/>
    <cfRule type="duplicateValues" dxfId="1376" priority="9"/>
    <cfRule type="duplicateValues" dxfId="1375" priority="15"/>
  </conditionalFormatting>
  <conditionalFormatting sqref="B28:B1048576 B20 B1:B4">
    <cfRule type="duplicateValues" dxfId="1374" priority="2065"/>
    <cfRule type="duplicateValues" dxfId="1373" priority="2066"/>
  </conditionalFormatting>
  <conditionalFormatting sqref="B28:B1048576 B20">
    <cfRule type="duplicateValues" dxfId="1372" priority="2073"/>
  </conditionalFormatting>
  <conditionalFormatting sqref="D5:M17">
    <cfRule type="containsText" dxfId="1371" priority="1" operator="containsText" text="En Attente d'un Retrait Tardif">
      <formula>NOT(ISERROR(SEARCH("En Attente d'un Retrait Tardif",D5)))</formula>
    </cfRule>
    <cfRule type="containsText" dxfId="1370" priority="2" operator="containsText" text="Rétiré dans les délais">
      <formula>NOT(ISERROR(SEARCH("Rétiré dans les délais",D5)))</formula>
    </cfRule>
  </conditionalFormatting>
  <conditionalFormatting sqref="E19">
    <cfRule type="duplicateValues" dxfId="1369" priority="12"/>
    <cfRule type="containsText" dxfId="1368" priority="13" operator="containsText" text="En Attente d'un Retrait Tardif">
      <formula>NOT(ISERROR(SEARCH("En Attente d'un Retrait Tardif",E19)))</formula>
    </cfRule>
    <cfRule type="containsText" dxfId="1367" priority="14" operator="containsText" text="Rétiré dans les délais">
      <formula>NOT(ISERROR(SEARCH("Rétiré dans les délais",E19)))</formula>
    </cfRule>
  </conditionalFormatting>
  <hyperlinks>
    <hyperlink ref="D7" r:id="rId1" display="https://eur01.safelinks.protection.outlook.com/?url=https%3A%2F%2Firis.oocl.com%2Fwls_prs_cus%2Fsecured%2Fcus%2FgetCustomer%3FcpfId%3D4102729000&amp;data=05%7C02%7Cjean-felix.ziagoue%40aglgroup.com%7C98adaf03815f4f80cde608de01d10805%7C088e9b00ffd0458ebfa1acf4c596d3cb%7C0%7C0%7C638950194609356738%7CUnknown%7CTWFpbGZsb3d8eyJFbXB0eU1hcGkiOnRydWUsIlYiOiIwLjAuMDAwMCIsIlAiOiJXaW4zMiIsIkFOIjoiTWFpbCIsIldUIjoyfQ%3D%3D%7C0%7C%7C%7C&amp;sdata=3QUwmgX%2BzSAQiDsgdmwY64ya%2FGRaIReFJVnyuCl1QUI%3D&amp;reserved=0" xr:uid="{4A995CFB-ADA0-48DA-97D6-5DD8B4C263B1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910C-A8D3-4DC9-AE43-4B44BEA50296}">
  <sheetPr codeName="Feuil102">
    <tabColor theme="2"/>
  </sheetPr>
  <dimension ref="A1:M26"/>
  <sheetViews>
    <sheetView zoomScaleNormal="100" workbookViewId="0">
      <selection activeCell="J10" sqref="J10"/>
    </sheetView>
  </sheetViews>
  <sheetFormatPr baseColWidth="10" defaultRowHeight="15" x14ac:dyDescent="0.25"/>
  <cols>
    <col min="1" max="1" width="7.42578125" customWidth="1"/>
    <col min="2" max="2" width="17.140625" style="105" customWidth="1"/>
    <col min="3" max="3" width="16.42578125" style="105" customWidth="1"/>
    <col min="4" max="4" width="59.5703125" customWidth="1"/>
    <col min="5" max="5" width="20.28515625" customWidth="1"/>
    <col min="6" max="6" width="19.7109375" customWidth="1"/>
    <col min="7" max="7" width="41.7109375" customWidth="1"/>
    <col min="8" max="10" width="16.28515625" customWidth="1"/>
    <col min="11" max="11" width="24.5703125" customWidth="1"/>
    <col min="12" max="13" width="16.28515625" customWidth="1"/>
  </cols>
  <sheetData>
    <row r="1" spans="1:13" ht="19.5" thickBot="1" x14ac:dyDescent="0.35">
      <c r="A1" s="348" t="s">
        <v>1077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162</v>
      </c>
      <c r="F2" s="25"/>
      <c r="G2" s="314">
        <v>45934</v>
      </c>
      <c r="H2" s="365">
        <f ca="1">I2-G2</f>
        <v>162</v>
      </c>
      <c r="I2" s="315">
        <f ca="1">TODAY()</f>
        <v>46096</v>
      </c>
      <c r="J2" s="340" t="s">
        <v>1078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208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610" t="s">
        <v>8</v>
      </c>
      <c r="K4" s="610" t="s">
        <v>9</v>
      </c>
      <c r="L4" s="610" t="s">
        <v>10</v>
      </c>
      <c r="M4" s="610" t="s">
        <v>11</v>
      </c>
    </row>
    <row r="5" spans="1:13" s="346" customFormat="1" ht="21.75" customHeight="1" x14ac:dyDescent="0.25">
      <c r="A5" s="516">
        <v>1</v>
      </c>
      <c r="B5" s="617">
        <v>4054709610</v>
      </c>
      <c r="C5" s="266" t="s">
        <v>465</v>
      </c>
      <c r="D5" s="611" t="s">
        <v>1079</v>
      </c>
      <c r="E5" s="15" t="s">
        <v>1080</v>
      </c>
      <c r="F5" s="15" t="s">
        <v>1070</v>
      </c>
      <c r="G5" s="368" t="str">
        <f t="shared" ref="G5:G17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1063</v>
      </c>
      <c r="I5" s="493">
        <v>45945</v>
      </c>
      <c r="J5" s="554" t="s">
        <v>1081</v>
      </c>
      <c r="K5" s="390"/>
      <c r="L5" s="390"/>
      <c r="M5" s="390"/>
    </row>
    <row r="6" spans="1:13" s="346" customFormat="1" ht="21.75" customHeight="1" x14ac:dyDescent="0.25">
      <c r="A6" s="516">
        <v>2</v>
      </c>
      <c r="B6" s="456">
        <v>4054731110</v>
      </c>
      <c r="C6" s="266" t="s">
        <v>355</v>
      </c>
      <c r="D6" s="611" t="s">
        <v>1082</v>
      </c>
      <c r="E6" s="15" t="s">
        <v>1083</v>
      </c>
      <c r="F6" s="15" t="s">
        <v>1070</v>
      </c>
      <c r="G6" s="368" t="str">
        <f t="shared" si="0"/>
        <v>Rétirétardivement-30000FCFAamende</v>
      </c>
      <c r="H6" s="275" t="s">
        <v>1782</v>
      </c>
      <c r="I6" s="493">
        <v>45951</v>
      </c>
      <c r="J6" s="499">
        <v>0</v>
      </c>
      <c r="K6" s="390"/>
      <c r="L6" s="390"/>
      <c r="M6" s="390"/>
    </row>
    <row r="7" spans="1:13" ht="21.75" customHeight="1" x14ac:dyDescent="0.25">
      <c r="A7" s="516">
        <v>3</v>
      </c>
      <c r="B7" s="456">
        <v>4054753230</v>
      </c>
      <c r="C7" s="266" t="s">
        <v>355</v>
      </c>
      <c r="D7" s="611" t="s">
        <v>1084</v>
      </c>
      <c r="E7" s="15" t="s">
        <v>1085</v>
      </c>
      <c r="F7" s="15" t="s">
        <v>1070</v>
      </c>
      <c r="G7" s="368" t="str">
        <f t="shared" si="0"/>
        <v>Rétirétardivement-30000FCFAamende</v>
      </c>
      <c r="H7" s="275" t="s">
        <v>1877</v>
      </c>
      <c r="I7" s="493">
        <v>45951</v>
      </c>
      <c r="J7" s="499">
        <v>880000</v>
      </c>
      <c r="K7" s="390"/>
      <c r="L7" s="390"/>
      <c r="M7" s="390"/>
    </row>
    <row r="8" spans="1:13" ht="21.75" customHeight="1" x14ac:dyDescent="0.25">
      <c r="A8" s="516">
        <v>4</v>
      </c>
      <c r="B8" s="456">
        <v>4054768990</v>
      </c>
      <c r="C8" s="266" t="s">
        <v>355</v>
      </c>
      <c r="D8" s="611" t="s">
        <v>72</v>
      </c>
      <c r="E8" s="15" t="s">
        <v>17</v>
      </c>
      <c r="F8" s="15" t="s">
        <v>1070</v>
      </c>
      <c r="G8" s="368" t="str">
        <f t="shared" si="0"/>
        <v>Rétirédanslesdélais</v>
      </c>
      <c r="H8" s="275" t="s">
        <v>1057</v>
      </c>
      <c r="I8" s="493">
        <v>45944</v>
      </c>
      <c r="J8" s="495">
        <v>200000</v>
      </c>
      <c r="K8" s="495">
        <v>100000</v>
      </c>
      <c r="L8" s="390"/>
      <c r="M8" s="390"/>
    </row>
    <row r="9" spans="1:13" ht="21.75" customHeight="1" x14ac:dyDescent="0.25">
      <c r="A9" s="516">
        <v>5</v>
      </c>
      <c r="B9" s="456">
        <v>4054776590</v>
      </c>
      <c r="C9" s="266" t="s">
        <v>465</v>
      </c>
      <c r="D9" s="611" t="s">
        <v>67</v>
      </c>
      <c r="E9" s="15" t="s">
        <v>17</v>
      </c>
      <c r="F9" s="15" t="s">
        <v>1070</v>
      </c>
      <c r="G9" s="368" t="str">
        <f t="shared" si="0"/>
        <v>Rétirédanslesdélais</v>
      </c>
      <c r="H9" s="275" t="s">
        <v>1047</v>
      </c>
      <c r="I9" s="493">
        <v>45940</v>
      </c>
      <c r="J9" s="499">
        <v>0</v>
      </c>
      <c r="K9" s="390" t="s">
        <v>1086</v>
      </c>
      <c r="L9" s="390"/>
      <c r="M9" s="390"/>
    </row>
    <row r="10" spans="1:13" ht="21.75" customHeight="1" x14ac:dyDescent="0.25">
      <c r="A10" s="516">
        <v>6</v>
      </c>
      <c r="B10" s="456">
        <v>4054786760</v>
      </c>
      <c r="C10" s="266" t="s">
        <v>355</v>
      </c>
      <c r="D10" s="611" t="s">
        <v>1087</v>
      </c>
      <c r="E10" s="15" t="s">
        <v>17</v>
      </c>
      <c r="F10" s="15" t="s">
        <v>1070</v>
      </c>
      <c r="G10" s="368" t="str">
        <f t="shared" si="0"/>
        <v>Rétirédanslesdélais</v>
      </c>
      <c r="H10" s="275" t="s">
        <v>1052</v>
      </c>
      <c r="I10" s="493">
        <v>45943</v>
      </c>
      <c r="J10" s="499">
        <v>600000</v>
      </c>
      <c r="K10" s="420" t="s">
        <v>1088</v>
      </c>
      <c r="L10" s="390"/>
      <c r="M10" s="390"/>
    </row>
    <row r="11" spans="1:13" ht="21.75" customHeight="1" x14ac:dyDescent="0.25">
      <c r="A11" s="516">
        <v>7</v>
      </c>
      <c r="B11" s="456">
        <v>4054789310</v>
      </c>
      <c r="C11" s="266" t="s">
        <v>355</v>
      </c>
      <c r="D11" s="611" t="s">
        <v>72</v>
      </c>
      <c r="E11" s="15" t="s">
        <v>17</v>
      </c>
      <c r="F11" s="15" t="s">
        <v>1070</v>
      </c>
      <c r="G11" s="368" t="str">
        <f t="shared" si="0"/>
        <v>Rétirédanslesdélais</v>
      </c>
      <c r="H11" s="275" t="s">
        <v>1058</v>
      </c>
      <c r="I11" s="493">
        <v>45944</v>
      </c>
      <c r="J11" s="499">
        <v>0</v>
      </c>
      <c r="K11" s="390"/>
      <c r="L11" s="390"/>
      <c r="M11" s="390"/>
    </row>
    <row r="12" spans="1:13" ht="21.75" customHeight="1" x14ac:dyDescent="0.25">
      <c r="A12" s="516">
        <v>8</v>
      </c>
      <c r="B12" s="456">
        <v>4054789340</v>
      </c>
      <c r="C12" s="266" t="s">
        <v>355</v>
      </c>
      <c r="D12" s="611" t="s">
        <v>72</v>
      </c>
      <c r="E12" s="15" t="s">
        <v>17</v>
      </c>
      <c r="F12" s="15" t="s">
        <v>1070</v>
      </c>
      <c r="G12" s="368" t="str">
        <f t="shared" si="0"/>
        <v>Rétirédanslesdélais</v>
      </c>
      <c r="H12" s="275" t="s">
        <v>938</v>
      </c>
      <c r="I12" s="493">
        <v>45944</v>
      </c>
      <c r="J12" s="499">
        <v>0</v>
      </c>
      <c r="K12" s="390"/>
      <c r="L12" s="390"/>
      <c r="M12" s="390"/>
    </row>
    <row r="13" spans="1:13" ht="21.75" customHeight="1" x14ac:dyDescent="0.25">
      <c r="A13" s="516">
        <v>9</v>
      </c>
      <c r="B13" s="456">
        <v>4054789380</v>
      </c>
      <c r="C13" s="266" t="s">
        <v>355</v>
      </c>
      <c r="D13" s="611" t="s">
        <v>72</v>
      </c>
      <c r="E13" s="15" t="s">
        <v>17</v>
      </c>
      <c r="F13" s="15" t="s">
        <v>1070</v>
      </c>
      <c r="G13" s="368" t="str">
        <f t="shared" si="0"/>
        <v>Rétirédanslesdélais</v>
      </c>
      <c r="H13" s="275" t="s">
        <v>1059</v>
      </c>
      <c r="I13" s="493">
        <v>45944</v>
      </c>
      <c r="J13" s="499">
        <v>0</v>
      </c>
      <c r="K13" s="390"/>
      <c r="L13" s="390"/>
      <c r="M13" s="390"/>
    </row>
    <row r="14" spans="1:13" ht="21.75" customHeight="1" x14ac:dyDescent="0.25">
      <c r="A14" s="516">
        <v>10</v>
      </c>
      <c r="B14" s="456">
        <v>4054791680</v>
      </c>
      <c r="C14" s="266" t="s">
        <v>360</v>
      </c>
      <c r="D14" s="611" t="s">
        <v>1089</v>
      </c>
      <c r="E14" s="15" t="s">
        <v>1090</v>
      </c>
      <c r="F14" s="15" t="s">
        <v>1070</v>
      </c>
      <c r="G14" s="368" t="str">
        <f t="shared" si="0"/>
        <v>Rétirédanslesdélais</v>
      </c>
      <c r="H14" s="275" t="s">
        <v>1062</v>
      </c>
      <c r="I14" s="493">
        <v>45944</v>
      </c>
      <c r="J14" s="499">
        <v>0</v>
      </c>
      <c r="K14" s="390"/>
      <c r="L14" s="390"/>
      <c r="M14" s="390"/>
    </row>
    <row r="15" spans="1:13" ht="21.75" customHeight="1" x14ac:dyDescent="0.25">
      <c r="A15" s="516">
        <v>11</v>
      </c>
      <c r="B15" s="456">
        <v>4054793860</v>
      </c>
      <c r="C15" s="266" t="s">
        <v>465</v>
      </c>
      <c r="D15" s="611" t="s">
        <v>67</v>
      </c>
      <c r="E15" s="15" t="s">
        <v>17</v>
      </c>
      <c r="F15" s="15" t="s">
        <v>1070</v>
      </c>
      <c r="G15" s="368" t="str">
        <f t="shared" si="0"/>
        <v>Rétirédanslesdélais</v>
      </c>
      <c r="H15" s="275" t="s">
        <v>1049</v>
      </c>
      <c r="I15" s="493">
        <v>45940</v>
      </c>
      <c r="J15" s="499">
        <v>0</v>
      </c>
      <c r="K15" s="390" t="s">
        <v>1086</v>
      </c>
      <c r="L15" s="390"/>
      <c r="M15" s="390"/>
    </row>
    <row r="16" spans="1:13" ht="21.75" customHeight="1" x14ac:dyDescent="0.25">
      <c r="A16" s="516">
        <v>12</v>
      </c>
      <c r="B16" s="456">
        <v>4054794990</v>
      </c>
      <c r="C16" s="266" t="s">
        <v>355</v>
      </c>
      <c r="D16" s="611" t="s">
        <v>72</v>
      </c>
      <c r="E16" s="15" t="s">
        <v>17</v>
      </c>
      <c r="F16" s="15" t="s">
        <v>1070</v>
      </c>
      <c r="G16" s="368" t="str">
        <f t="shared" si="0"/>
        <v>Rétirédanslesdélais</v>
      </c>
      <c r="H16" s="275" t="s">
        <v>1046</v>
      </c>
      <c r="I16" s="493">
        <v>45940</v>
      </c>
      <c r="J16" s="499">
        <v>0</v>
      </c>
      <c r="K16" s="390"/>
      <c r="L16" s="390"/>
      <c r="M16" s="390"/>
    </row>
    <row r="17" spans="1:13" ht="21.75" customHeight="1" x14ac:dyDescent="0.25">
      <c r="A17" s="516">
        <v>13</v>
      </c>
      <c r="B17" s="456">
        <v>4054809050</v>
      </c>
      <c r="C17" s="266" t="s">
        <v>355</v>
      </c>
      <c r="D17" s="611" t="s">
        <v>1087</v>
      </c>
      <c r="E17" s="15" t="s">
        <v>17</v>
      </c>
      <c r="F17" s="15" t="s">
        <v>1070</v>
      </c>
      <c r="G17" s="368" t="str">
        <f t="shared" si="0"/>
        <v>Rétirédanslesdélais</v>
      </c>
      <c r="H17" s="275" t="s">
        <v>1051</v>
      </c>
      <c r="I17" s="493">
        <v>45943</v>
      </c>
      <c r="J17" s="499">
        <v>0</v>
      </c>
      <c r="K17" s="390"/>
      <c r="L17" s="390"/>
      <c r="M17" s="390"/>
    </row>
    <row r="22" spans="1:13" x14ac:dyDescent="0.25">
      <c r="E22" s="614"/>
    </row>
    <row r="23" spans="1:13" x14ac:dyDescent="0.25">
      <c r="E23" s="614"/>
    </row>
    <row r="26" spans="1:13" x14ac:dyDescent="0.25">
      <c r="E26" s="615"/>
      <c r="F26" s="615"/>
      <c r="G26" s="616"/>
    </row>
  </sheetData>
  <mergeCells count="2">
    <mergeCell ref="G1:I1"/>
    <mergeCell ref="A2:B2"/>
  </mergeCells>
  <conditionalFormatting sqref="A5:A17 E5:M17">
    <cfRule type="containsText" dxfId="1366" priority="2" operator="containsText" text="En Attente d'un Retrait Tardif">
      <formula>NOT(ISERROR(SEARCH("En Attente d'un Retrait Tardif",A5)))</formula>
    </cfRule>
    <cfRule type="containsText" dxfId="1365" priority="3" operator="containsText" text="Rétiré dans les délais">
      <formula>NOT(ISERROR(SEARCH("Rétiré dans les délais",A5)))</formula>
    </cfRule>
  </conditionalFormatting>
  <conditionalFormatting sqref="B1:B3 B5:B1048576">
    <cfRule type="duplicateValues" dxfId="1364" priority="4"/>
  </conditionalFormatting>
  <conditionalFormatting sqref="B1:B1048576">
    <cfRule type="duplicateValues" dxfId="1363" priority="1"/>
    <cfRule type="duplicateValues" dxfId="1362" priority="5"/>
  </conditionalFormatting>
  <conditionalFormatting sqref="B5:B1048576">
    <cfRule type="duplicateValues" dxfId="1361" priority="6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D8F9-55AC-48D0-A34A-C24AE24B7EC4}">
  <sheetPr codeName="Feuil103">
    <tabColor theme="2"/>
  </sheetPr>
  <dimension ref="A1:M8"/>
  <sheetViews>
    <sheetView zoomScaleNormal="100" workbookViewId="0">
      <selection activeCell="I4" sqref="I4"/>
    </sheetView>
  </sheetViews>
  <sheetFormatPr baseColWidth="10" defaultRowHeight="15" x14ac:dyDescent="0.25"/>
  <cols>
    <col min="1" max="1" width="7.42578125" customWidth="1"/>
    <col min="2" max="2" width="17.140625" style="105" customWidth="1"/>
    <col min="3" max="3" width="16.42578125" style="105" customWidth="1"/>
    <col min="4" max="4" width="43.5703125" customWidth="1"/>
    <col min="5" max="5" width="13.140625" customWidth="1"/>
    <col min="6" max="6" width="14.140625" customWidth="1"/>
    <col min="7" max="7" width="41.7109375" customWidth="1"/>
    <col min="8" max="10" width="16.28515625" customWidth="1"/>
    <col min="11" max="11" width="17" customWidth="1"/>
    <col min="12" max="13" width="16.28515625" customWidth="1"/>
  </cols>
  <sheetData>
    <row r="1" spans="1:13" ht="19.5" thickBot="1" x14ac:dyDescent="0.35">
      <c r="A1" s="348" t="s">
        <v>1091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163</v>
      </c>
      <c r="F2" s="25"/>
      <c r="G2" s="314">
        <v>45933</v>
      </c>
      <c r="H2" s="365">
        <f ca="1">I2-G2</f>
        <v>163</v>
      </c>
      <c r="I2" s="315">
        <f ca="1">TODAY()</f>
        <v>46096</v>
      </c>
      <c r="J2" s="340" t="s">
        <v>1092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208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501" t="s">
        <v>8</v>
      </c>
      <c r="K4" s="501" t="s">
        <v>9</v>
      </c>
      <c r="L4" s="501" t="s">
        <v>10</v>
      </c>
      <c r="M4" s="501" t="s">
        <v>11</v>
      </c>
    </row>
    <row r="5" spans="1:13" s="346" customFormat="1" ht="19.5" customHeight="1" x14ac:dyDescent="0.25">
      <c r="A5" s="516">
        <v>1</v>
      </c>
      <c r="B5" s="456">
        <v>4054788430</v>
      </c>
      <c r="C5" s="266" t="s">
        <v>465</v>
      </c>
      <c r="D5" s="506" t="s">
        <v>204</v>
      </c>
      <c r="E5" s="15" t="s">
        <v>17</v>
      </c>
      <c r="F5" s="15" t="s">
        <v>66</v>
      </c>
      <c r="G5" s="15" t="str">
        <f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1784</v>
      </c>
      <c r="I5" s="609">
        <v>45951</v>
      </c>
      <c r="J5" s="499">
        <v>0</v>
      </c>
      <c r="K5" s="390"/>
      <c r="L5" s="390"/>
      <c r="M5" s="390"/>
    </row>
    <row r="6" spans="1:13" s="346" customFormat="1" ht="19.5" customHeight="1" x14ac:dyDescent="0.25">
      <c r="A6" s="516">
        <v>2</v>
      </c>
      <c r="B6" s="456">
        <v>4054791670</v>
      </c>
      <c r="C6" s="266" t="s">
        <v>360</v>
      </c>
      <c r="D6" s="506" t="s">
        <v>274</v>
      </c>
      <c r="E6" s="15" t="s">
        <v>1093</v>
      </c>
      <c r="F6" s="15" t="s">
        <v>1094</v>
      </c>
      <c r="G6" s="15" t="str">
        <f>IF(I6="",IF($E$2&lt;=15,"EnattentedeRetrait","EnAttented'unRetraitTardif"),IF(I6-$G$2&lt;=15,"Rétirédanslesdélais",IF(I6-$G$2&gt;15,"Rétirétardivement-30000FCFAamende")))</f>
        <v>Rétirédanslesdélais</v>
      </c>
      <c r="H6" s="275" t="s">
        <v>1061</v>
      </c>
      <c r="I6" s="609">
        <v>45944</v>
      </c>
      <c r="J6" s="499">
        <v>0</v>
      </c>
      <c r="K6" s="390"/>
      <c r="L6" s="390"/>
      <c r="M6" s="390"/>
    </row>
    <row r="7" spans="1:13" ht="19.5" customHeight="1" x14ac:dyDescent="0.25">
      <c r="A7" s="516">
        <v>3</v>
      </c>
      <c r="B7" s="456">
        <v>4054795030</v>
      </c>
      <c r="C7" s="266" t="s">
        <v>360</v>
      </c>
      <c r="D7" s="506" t="s">
        <v>274</v>
      </c>
      <c r="E7" s="15" t="s">
        <v>1093</v>
      </c>
      <c r="F7" s="15" t="s">
        <v>1094</v>
      </c>
      <c r="G7" s="15" t="str">
        <f>IF(I7="",IF($E$2&lt;=15,"EnattentedeRetrait","EnAttented'unRetraitTardif"),IF(I7-$G$2&lt;=15,"Rétirédanslesdélais",IF(I7-$G$2&gt;15,"Rétirétardivement-30000FCFAamende")))</f>
        <v>Rétirédanslesdélais</v>
      </c>
      <c r="H7" s="275" t="s">
        <v>1064</v>
      </c>
      <c r="I7" s="609">
        <v>45945</v>
      </c>
      <c r="J7" s="499">
        <v>0</v>
      </c>
      <c r="K7" s="390"/>
      <c r="L7" s="390"/>
      <c r="M7" s="390"/>
    </row>
    <row r="8" spans="1:13" ht="19.5" customHeight="1" x14ac:dyDescent="0.25">
      <c r="A8" s="516">
        <v>4</v>
      </c>
      <c r="B8" s="456">
        <v>4054820300</v>
      </c>
      <c r="C8" s="266" t="s">
        <v>465</v>
      </c>
      <c r="D8" s="506" t="s">
        <v>67</v>
      </c>
      <c r="E8" s="15" t="s">
        <v>17</v>
      </c>
      <c r="F8" s="15" t="s">
        <v>129</v>
      </c>
      <c r="G8" s="15" t="str">
        <f>IF(I8="",IF($E$2&lt;=15,"EnattentedeRetrait","EnAttented'unRetraitTardif"),IF(I8-$G$2&lt;=15,"Rétirédanslesdélais",IF(I8-$G$2&gt;15,"Rétirétardivement-30000FCFAamende")))</f>
        <v>Rétirédanslesdélais</v>
      </c>
      <c r="H8" s="275" t="s">
        <v>1048</v>
      </c>
      <c r="I8" s="609">
        <v>45940</v>
      </c>
      <c r="J8" s="499">
        <v>0</v>
      </c>
      <c r="K8" s="390" t="s">
        <v>1086</v>
      </c>
      <c r="L8" s="390"/>
      <c r="M8" s="390"/>
    </row>
  </sheetData>
  <mergeCells count="2">
    <mergeCell ref="G1:I1"/>
    <mergeCell ref="A2:B2"/>
  </mergeCells>
  <conditionalFormatting sqref="A5:A8 E5:M8">
    <cfRule type="containsText" dxfId="1360" priority="2" operator="containsText" text="En Attente d'un Retrait Tardif">
      <formula>NOT(ISERROR(SEARCH("En Attente d'un Retrait Tardif",A5)))</formula>
    </cfRule>
    <cfRule type="containsText" dxfId="1359" priority="3" operator="containsText" text="Rétiré dans les délais">
      <formula>NOT(ISERROR(SEARCH("Rétiré dans les délais",A5)))</formula>
    </cfRule>
  </conditionalFormatting>
  <conditionalFormatting sqref="B9:B1048576 B1:B3">
    <cfRule type="duplicateValues" dxfId="1358" priority="4"/>
  </conditionalFormatting>
  <conditionalFormatting sqref="B9:B1048576 B1:B4">
    <cfRule type="duplicateValues" dxfId="1357" priority="1"/>
    <cfRule type="duplicateValues" dxfId="1356" priority="5"/>
  </conditionalFormatting>
  <conditionalFormatting sqref="B9:B1048576">
    <cfRule type="duplicateValues" dxfId="1355" priority="6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CA04-68B9-4981-BFAE-CD4BA7553F71}">
  <sheetPr codeName="Feuil104">
    <tabColor theme="2"/>
  </sheetPr>
  <dimension ref="A1:M37"/>
  <sheetViews>
    <sheetView topLeftCell="A14" zoomScaleNormal="100" workbookViewId="0">
      <selection activeCell="E27" sqref="E27"/>
    </sheetView>
  </sheetViews>
  <sheetFormatPr baseColWidth="10" defaultRowHeight="16.5" x14ac:dyDescent="0.3"/>
  <cols>
    <col min="1" max="1" width="7.42578125" customWidth="1"/>
    <col min="2" max="2" width="17.140625" style="105" customWidth="1"/>
    <col min="3" max="3" width="50.7109375" customWidth="1"/>
    <col min="4" max="4" width="16.42578125" style="105" customWidth="1"/>
    <col min="5" max="5" width="13.140625" customWidth="1"/>
    <col min="6" max="6" width="14.140625" customWidth="1"/>
    <col min="7" max="7" width="41.7109375" customWidth="1"/>
    <col min="8" max="9" width="16.28515625" customWidth="1"/>
    <col min="10" max="10" width="16.28515625" style="595" customWidth="1"/>
    <col min="11" max="11" width="18.140625" customWidth="1"/>
    <col min="12" max="13" width="16.28515625" customWidth="1"/>
  </cols>
  <sheetData>
    <row r="1" spans="1:13" ht="19.5" thickBot="1" x14ac:dyDescent="0.35">
      <c r="A1" s="348" t="s">
        <v>1095</v>
      </c>
      <c r="B1" s="578"/>
      <c r="C1" s="288"/>
      <c r="D1" s="431"/>
      <c r="E1" s="288"/>
      <c r="F1" s="288"/>
      <c r="G1" s="729"/>
      <c r="H1" s="729"/>
      <c r="I1" s="729"/>
      <c r="J1" s="593"/>
      <c r="K1" s="208"/>
      <c r="L1" s="208"/>
    </row>
    <row r="2" spans="1:13" ht="24" thickBot="1" x14ac:dyDescent="0.3">
      <c r="A2" s="730" t="s">
        <v>0</v>
      </c>
      <c r="B2" s="730"/>
      <c r="C2" s="25">
        <v>190</v>
      </c>
      <c r="D2" s="24"/>
      <c r="E2" s="358">
        <f ca="1">I2-G2</f>
        <v>174</v>
      </c>
      <c r="F2" s="25"/>
      <c r="G2" s="314">
        <v>45922</v>
      </c>
      <c r="H2" s="365">
        <f ca="1">I2-G2</f>
        <v>174</v>
      </c>
      <c r="I2" s="315">
        <f ca="1">TODAY()</f>
        <v>46096</v>
      </c>
      <c r="J2" s="612" t="s">
        <v>1096</v>
      </c>
      <c r="K2" s="340"/>
      <c r="L2" s="208"/>
    </row>
    <row r="3" spans="1:13" x14ac:dyDescent="0.3">
      <c r="C3" s="292"/>
      <c r="E3" s="292"/>
      <c r="F3" s="292"/>
      <c r="G3" s="105"/>
      <c r="H3" s="105"/>
      <c r="I3" s="208"/>
      <c r="J3" s="593"/>
      <c r="K3" s="208"/>
      <c r="L3" s="369"/>
    </row>
    <row r="4" spans="1:13" ht="15" x14ac:dyDescent="0.25">
      <c r="A4" s="481" t="s">
        <v>1</v>
      </c>
      <c r="B4" s="579" t="s">
        <v>2</v>
      </c>
      <c r="C4" s="481" t="s">
        <v>5</v>
      </c>
      <c r="D4" s="481" t="s">
        <v>3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594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21" customHeight="1" x14ac:dyDescent="0.25">
      <c r="A5" s="516">
        <v>12</v>
      </c>
      <c r="B5" s="608">
        <v>4054778670</v>
      </c>
      <c r="C5" s="506" t="s">
        <v>67</v>
      </c>
      <c r="D5" s="506" t="s">
        <v>26</v>
      </c>
      <c r="E5" s="15" t="s">
        <v>17</v>
      </c>
      <c r="F5" s="15" t="s">
        <v>1097</v>
      </c>
      <c r="G5" s="15" t="str">
        <f t="shared" ref="G5:G35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1050</v>
      </c>
      <c r="I5" s="493">
        <v>45940</v>
      </c>
      <c r="J5" s="596">
        <v>0</v>
      </c>
      <c r="K5" s="390" t="s">
        <v>1086</v>
      </c>
      <c r="L5" s="390"/>
      <c r="M5" s="390"/>
    </row>
    <row r="6" spans="1:13" s="346" customFormat="1" ht="21" customHeight="1" x14ac:dyDescent="0.25">
      <c r="A6" s="516">
        <v>30</v>
      </c>
      <c r="B6" s="608">
        <v>4054800980</v>
      </c>
      <c r="C6" s="601" t="s">
        <v>1098</v>
      </c>
      <c r="D6" s="601" t="s">
        <v>26</v>
      </c>
      <c r="E6" s="602" t="s">
        <v>1099</v>
      </c>
      <c r="F6" s="603" t="s">
        <v>1097</v>
      </c>
      <c r="G6" s="603" t="str">
        <f t="shared" si="0"/>
        <v>Rétirétardivement-30000FCFAamende</v>
      </c>
      <c r="H6" s="604" t="s">
        <v>1911</v>
      </c>
      <c r="I6" s="605">
        <v>45950</v>
      </c>
      <c r="J6" s="606">
        <v>0</v>
      </c>
      <c r="K6" s="607"/>
      <c r="L6" s="607"/>
      <c r="M6" s="607" t="s">
        <v>1038</v>
      </c>
    </row>
    <row r="7" spans="1:13" ht="21" customHeight="1" x14ac:dyDescent="0.25">
      <c r="A7" s="516">
        <v>24</v>
      </c>
      <c r="B7" s="608">
        <v>4054786810</v>
      </c>
      <c r="C7" s="506" t="s">
        <v>1100</v>
      </c>
      <c r="D7" s="506" t="s">
        <v>26</v>
      </c>
      <c r="E7" s="15" t="s">
        <v>17</v>
      </c>
      <c r="F7" s="565" t="s">
        <v>1070</v>
      </c>
      <c r="G7" s="15" t="str">
        <f t="shared" si="0"/>
        <v>Rétirédanslesdélais</v>
      </c>
      <c r="H7" s="275" t="s">
        <v>1043</v>
      </c>
      <c r="I7" s="493">
        <v>45933</v>
      </c>
      <c r="J7" s="596">
        <v>0</v>
      </c>
      <c r="K7" s="390"/>
      <c r="L7" s="390"/>
      <c r="M7" s="418" t="s">
        <v>1101</v>
      </c>
    </row>
    <row r="8" spans="1:13" ht="21" customHeight="1" x14ac:dyDescent="0.25">
      <c r="A8" s="516">
        <v>25</v>
      </c>
      <c r="B8" s="608">
        <v>4054786820</v>
      </c>
      <c r="C8" s="506" t="s">
        <v>1102</v>
      </c>
      <c r="D8" s="506" t="s">
        <v>26</v>
      </c>
      <c r="E8" s="591" t="s">
        <v>1103</v>
      </c>
      <c r="F8" s="15" t="s">
        <v>1104</v>
      </c>
      <c r="G8" s="15" t="str">
        <f t="shared" si="0"/>
        <v>Rétirédanslesdélais</v>
      </c>
      <c r="H8" s="275" t="s">
        <v>1044</v>
      </c>
      <c r="I8" s="493">
        <v>45933</v>
      </c>
      <c r="J8" s="596">
        <v>0</v>
      </c>
      <c r="K8" s="390"/>
      <c r="L8" s="390"/>
      <c r="M8" s="390"/>
    </row>
    <row r="9" spans="1:13" ht="21" customHeight="1" x14ac:dyDescent="0.25">
      <c r="A9" s="516">
        <v>5</v>
      </c>
      <c r="B9" s="608">
        <v>4054747870</v>
      </c>
      <c r="C9" s="506" t="s">
        <v>1105</v>
      </c>
      <c r="D9" s="506" t="s">
        <v>26</v>
      </c>
      <c r="E9" s="15" t="s">
        <v>17</v>
      </c>
      <c r="F9" s="15" t="s">
        <v>1097</v>
      </c>
      <c r="G9" s="15" t="str">
        <f t="shared" si="0"/>
        <v>Rétirédanslesdélais</v>
      </c>
      <c r="H9" s="275" t="s">
        <v>1018</v>
      </c>
      <c r="I9" s="493">
        <v>45926</v>
      </c>
      <c r="J9" s="596">
        <v>240000</v>
      </c>
      <c r="K9" s="390"/>
      <c r="L9" s="390"/>
      <c r="M9" s="390"/>
    </row>
    <row r="10" spans="1:13" ht="21" customHeight="1" x14ac:dyDescent="0.25">
      <c r="A10" s="516">
        <v>6</v>
      </c>
      <c r="B10" s="608">
        <v>4054748250</v>
      </c>
      <c r="C10" s="506" t="s">
        <v>1105</v>
      </c>
      <c r="D10" s="506" t="s">
        <v>26</v>
      </c>
      <c r="E10" s="15" t="s">
        <v>17</v>
      </c>
      <c r="F10" s="15" t="s">
        <v>1070</v>
      </c>
      <c r="G10" s="15" t="str">
        <f t="shared" si="0"/>
        <v>Rétirédanslesdélais</v>
      </c>
      <c r="H10" s="275" t="s">
        <v>1024</v>
      </c>
      <c r="I10" s="493">
        <v>45926</v>
      </c>
      <c r="J10" s="596">
        <v>200000</v>
      </c>
      <c r="K10" s="390"/>
      <c r="L10" s="390"/>
      <c r="M10" s="390"/>
    </row>
    <row r="11" spans="1:13" ht="21" customHeight="1" x14ac:dyDescent="0.25">
      <c r="A11" s="516">
        <v>7</v>
      </c>
      <c r="B11" s="608">
        <v>4054753370</v>
      </c>
      <c r="C11" s="506" t="s">
        <v>1105</v>
      </c>
      <c r="D11" s="506" t="s">
        <v>26</v>
      </c>
      <c r="E11" s="15" t="s">
        <v>17</v>
      </c>
      <c r="F11" s="15" t="s">
        <v>1070</v>
      </c>
      <c r="G11" s="15" t="str">
        <f t="shared" si="0"/>
        <v>Rétirédanslesdélais</v>
      </c>
      <c r="H11" s="275" t="s">
        <v>1023</v>
      </c>
      <c r="I11" s="493">
        <v>45926</v>
      </c>
      <c r="J11" s="596">
        <v>80000</v>
      </c>
      <c r="K11" s="390"/>
      <c r="L11" s="390"/>
      <c r="M11" s="390"/>
    </row>
    <row r="12" spans="1:13" ht="21" customHeight="1" x14ac:dyDescent="0.25">
      <c r="A12" s="516">
        <v>8</v>
      </c>
      <c r="B12" s="608">
        <v>4054753390</v>
      </c>
      <c r="C12" s="506" t="s">
        <v>1105</v>
      </c>
      <c r="D12" s="506" t="s">
        <v>26</v>
      </c>
      <c r="E12" s="15" t="s">
        <v>17</v>
      </c>
      <c r="F12" s="15" t="s">
        <v>1070</v>
      </c>
      <c r="G12" s="15" t="str">
        <f t="shared" si="0"/>
        <v>Rétirédanslesdélais</v>
      </c>
      <c r="H12" s="275" t="s">
        <v>1025</v>
      </c>
      <c r="I12" s="493">
        <v>45926</v>
      </c>
      <c r="J12" s="596">
        <v>120000</v>
      </c>
      <c r="K12" s="390"/>
      <c r="L12" s="390"/>
      <c r="M12" s="390"/>
    </row>
    <row r="13" spans="1:13" ht="21" customHeight="1" x14ac:dyDescent="0.25">
      <c r="A13" s="516">
        <v>10</v>
      </c>
      <c r="B13" s="608">
        <v>4054765210</v>
      </c>
      <c r="C13" s="506" t="s">
        <v>1073</v>
      </c>
      <c r="D13" s="506" t="s">
        <v>26</v>
      </c>
      <c r="E13" s="15" t="s">
        <v>17</v>
      </c>
      <c r="F13" s="15" t="s">
        <v>1070</v>
      </c>
      <c r="G13" s="15" t="str">
        <f t="shared" si="0"/>
        <v>Rétirédanslesdélais</v>
      </c>
      <c r="H13" s="275" t="s">
        <v>1017</v>
      </c>
      <c r="I13" s="493">
        <v>45926</v>
      </c>
      <c r="J13" s="596">
        <v>0</v>
      </c>
      <c r="K13" s="390"/>
      <c r="L13" s="390"/>
      <c r="M13" s="390"/>
    </row>
    <row r="14" spans="1:13" ht="21" customHeight="1" x14ac:dyDescent="0.25">
      <c r="A14" s="516">
        <v>28</v>
      </c>
      <c r="B14" s="608">
        <v>4054791750</v>
      </c>
      <c r="C14" s="506" t="s">
        <v>1075</v>
      </c>
      <c r="D14" s="506" t="s">
        <v>26</v>
      </c>
      <c r="E14" s="15" t="s">
        <v>17</v>
      </c>
      <c r="F14" s="15" t="s">
        <v>1097</v>
      </c>
      <c r="G14" s="15" t="str">
        <f t="shared" si="0"/>
        <v>Rétirédanslesdélais</v>
      </c>
      <c r="H14" s="275" t="s">
        <v>1022</v>
      </c>
      <c r="I14" s="493">
        <v>45926</v>
      </c>
      <c r="J14" s="596">
        <v>0</v>
      </c>
      <c r="K14" s="390"/>
      <c r="L14" s="390"/>
      <c r="M14" s="390"/>
    </row>
    <row r="15" spans="1:13" ht="21" customHeight="1" x14ac:dyDescent="0.25">
      <c r="A15" s="516">
        <v>4</v>
      </c>
      <c r="B15" s="608">
        <v>4054720832</v>
      </c>
      <c r="C15" s="506" t="s">
        <v>1106</v>
      </c>
      <c r="D15" s="506" t="s">
        <v>26</v>
      </c>
      <c r="E15" s="15" t="s">
        <v>17</v>
      </c>
      <c r="F15" s="15" t="s">
        <v>1097</v>
      </c>
      <c r="G15" s="15" t="str">
        <f t="shared" si="0"/>
        <v>Rétirédanslesdélais</v>
      </c>
      <c r="H15" s="275" t="s">
        <v>1042</v>
      </c>
      <c r="I15" s="493">
        <v>45933</v>
      </c>
      <c r="J15" s="596">
        <v>160000</v>
      </c>
      <c r="K15" s="390"/>
      <c r="L15" s="390"/>
      <c r="M15" s="498" t="s">
        <v>1107</v>
      </c>
    </row>
    <row r="16" spans="1:13" ht="21" customHeight="1" x14ac:dyDescent="0.25">
      <c r="A16" s="516">
        <v>26</v>
      </c>
      <c r="B16" s="608">
        <v>4054788160</v>
      </c>
      <c r="C16" s="506" t="s">
        <v>53</v>
      </c>
      <c r="D16" s="506" t="s">
        <v>26</v>
      </c>
      <c r="E16" s="15" t="s">
        <v>17</v>
      </c>
      <c r="F16" s="15" t="s">
        <v>1097</v>
      </c>
      <c r="G16" s="15" t="str">
        <f t="shared" si="0"/>
        <v>Rétirédanslesdélais</v>
      </c>
      <c r="H16" s="275" t="s">
        <v>1041</v>
      </c>
      <c r="I16" s="493">
        <v>45933</v>
      </c>
      <c r="J16" s="596">
        <v>0</v>
      </c>
      <c r="K16" s="390"/>
      <c r="L16" s="390"/>
      <c r="M16" s="390"/>
    </row>
    <row r="17" spans="1:13" ht="21" customHeight="1" x14ac:dyDescent="0.25">
      <c r="A17" s="516">
        <v>1</v>
      </c>
      <c r="B17" s="608">
        <v>2161441460</v>
      </c>
      <c r="C17" s="506" t="s">
        <v>53</v>
      </c>
      <c r="D17" s="506" t="s">
        <v>26</v>
      </c>
      <c r="E17" s="15" t="s">
        <v>17</v>
      </c>
      <c r="F17" s="15" t="s">
        <v>1097</v>
      </c>
      <c r="G17" s="15" t="str">
        <f t="shared" si="0"/>
        <v>Rétirédanslesdélais</v>
      </c>
      <c r="H17" s="275" t="s">
        <v>1027</v>
      </c>
      <c r="I17" s="493">
        <v>45929</v>
      </c>
      <c r="J17" s="596">
        <v>0</v>
      </c>
      <c r="K17" s="390"/>
      <c r="L17" s="390"/>
      <c r="M17" s="390"/>
    </row>
    <row r="18" spans="1:13" ht="21" customHeight="1" x14ac:dyDescent="0.25">
      <c r="A18" s="516">
        <v>2</v>
      </c>
      <c r="B18" s="608">
        <v>2310689920</v>
      </c>
      <c r="C18" s="506" t="s">
        <v>1108</v>
      </c>
      <c r="D18" s="506" t="s">
        <v>26</v>
      </c>
      <c r="E18" s="15" t="s">
        <v>17</v>
      </c>
      <c r="F18" s="15" t="s">
        <v>1070</v>
      </c>
      <c r="G18" s="15" t="str">
        <f t="shared" si="0"/>
        <v>Rétirédanslesdélais</v>
      </c>
      <c r="H18" s="275" t="s">
        <v>1015</v>
      </c>
      <c r="I18" s="493">
        <v>45925</v>
      </c>
      <c r="J18" s="596">
        <v>0</v>
      </c>
      <c r="K18" s="390"/>
      <c r="L18" s="390"/>
      <c r="M18" s="390"/>
    </row>
    <row r="19" spans="1:13" ht="21" customHeight="1" x14ac:dyDescent="0.25">
      <c r="A19" s="516">
        <v>3</v>
      </c>
      <c r="B19" s="608">
        <v>2310920900</v>
      </c>
      <c r="C19" s="506" t="s">
        <v>1109</v>
      </c>
      <c r="D19" s="506" t="s">
        <v>26</v>
      </c>
      <c r="E19" s="15" t="s">
        <v>17</v>
      </c>
      <c r="F19" s="15" t="s">
        <v>1070</v>
      </c>
      <c r="G19" s="15" t="str">
        <f t="shared" si="0"/>
        <v>Rétirédanslesdélais</v>
      </c>
      <c r="H19" s="275" t="s">
        <v>1009</v>
      </c>
      <c r="I19" s="493">
        <v>45924</v>
      </c>
      <c r="J19" s="596">
        <v>0</v>
      </c>
      <c r="K19" s="390"/>
      <c r="L19" s="390"/>
      <c r="M19" s="390"/>
    </row>
    <row r="20" spans="1:13" ht="21" customHeight="1" x14ac:dyDescent="0.25">
      <c r="A20" s="516">
        <v>9</v>
      </c>
      <c r="B20" s="608">
        <v>4054759790</v>
      </c>
      <c r="C20" s="506" t="s">
        <v>53</v>
      </c>
      <c r="D20" s="506" t="s">
        <v>26</v>
      </c>
      <c r="E20" s="15" t="s">
        <v>17</v>
      </c>
      <c r="F20" s="15" t="s">
        <v>1097</v>
      </c>
      <c r="G20" s="15" t="str">
        <f t="shared" si="0"/>
        <v>Rétirédanslesdélais</v>
      </c>
      <c r="H20" s="275" t="s">
        <v>1026</v>
      </c>
      <c r="I20" s="493">
        <v>45929</v>
      </c>
      <c r="J20" s="596">
        <v>0</v>
      </c>
      <c r="K20" s="390"/>
      <c r="L20" s="390"/>
      <c r="M20" s="390"/>
    </row>
    <row r="21" spans="1:13" ht="21" customHeight="1" x14ac:dyDescent="0.25">
      <c r="A21" s="516">
        <v>11</v>
      </c>
      <c r="B21" s="608">
        <v>4054767080</v>
      </c>
      <c r="C21" s="506" t="s">
        <v>256</v>
      </c>
      <c r="D21" s="506" t="s">
        <v>26</v>
      </c>
      <c r="E21" s="15" t="s">
        <v>17</v>
      </c>
      <c r="F21" s="15" t="s">
        <v>1070</v>
      </c>
      <c r="G21" s="15" t="str">
        <f t="shared" si="0"/>
        <v>Rétirédanslesdélais</v>
      </c>
      <c r="H21" s="275" t="s">
        <v>1020</v>
      </c>
      <c r="I21" s="493">
        <v>45926</v>
      </c>
      <c r="J21" s="596">
        <v>0</v>
      </c>
      <c r="K21" s="390"/>
      <c r="L21" s="390"/>
      <c r="M21" s="390"/>
    </row>
    <row r="22" spans="1:13" ht="21" customHeight="1" x14ac:dyDescent="0.25">
      <c r="A22" s="516">
        <v>13</v>
      </c>
      <c r="B22" s="608">
        <v>4054779680</v>
      </c>
      <c r="C22" s="506" t="s">
        <v>1098</v>
      </c>
      <c r="D22" s="506" t="s">
        <v>26</v>
      </c>
      <c r="E22" s="15" t="s">
        <v>1099</v>
      </c>
      <c r="F22" s="15" t="s">
        <v>1070</v>
      </c>
      <c r="G22" s="15" t="str">
        <f t="shared" si="0"/>
        <v>Rétirédanslesdélais</v>
      </c>
      <c r="H22" s="275" t="s">
        <v>1030</v>
      </c>
      <c r="I22" s="493">
        <v>45930</v>
      </c>
      <c r="J22" s="596">
        <v>0</v>
      </c>
      <c r="K22" s="390"/>
      <c r="L22" s="390"/>
      <c r="M22" s="390"/>
    </row>
    <row r="23" spans="1:13" ht="21" customHeight="1" x14ac:dyDescent="0.25">
      <c r="A23" s="516">
        <v>14</v>
      </c>
      <c r="B23" s="608">
        <v>4054779690</v>
      </c>
      <c r="C23" s="506" t="s">
        <v>1098</v>
      </c>
      <c r="D23" s="506" t="s">
        <v>26</v>
      </c>
      <c r="E23" s="15" t="s">
        <v>1099</v>
      </c>
      <c r="F23" s="15" t="s">
        <v>1070</v>
      </c>
      <c r="G23" s="15" t="str">
        <f t="shared" si="0"/>
        <v>Rétirédanslesdélais</v>
      </c>
      <c r="H23" s="275" t="s">
        <v>1034</v>
      </c>
      <c r="I23" s="493">
        <v>45930</v>
      </c>
      <c r="J23" s="596">
        <v>0</v>
      </c>
      <c r="K23" s="390"/>
      <c r="L23" s="390"/>
      <c r="M23" s="390"/>
    </row>
    <row r="24" spans="1:13" ht="21" customHeight="1" x14ac:dyDescent="0.25">
      <c r="A24" s="516">
        <v>15</v>
      </c>
      <c r="B24" s="608">
        <v>4054779720</v>
      </c>
      <c r="C24" s="506" t="s">
        <v>1098</v>
      </c>
      <c r="D24" s="506" t="s">
        <v>26</v>
      </c>
      <c r="E24" s="15" t="s">
        <v>1099</v>
      </c>
      <c r="F24" s="15" t="s">
        <v>1070</v>
      </c>
      <c r="G24" s="15" t="str">
        <f t="shared" si="0"/>
        <v>Rétirédanslesdélais</v>
      </c>
      <c r="H24" s="275" t="s">
        <v>1035</v>
      </c>
      <c r="I24" s="493">
        <v>45930</v>
      </c>
      <c r="J24" s="596">
        <v>0</v>
      </c>
      <c r="K24" s="390"/>
      <c r="L24" s="390"/>
      <c r="M24" s="390"/>
    </row>
    <row r="25" spans="1:13" ht="21" customHeight="1" x14ac:dyDescent="0.25">
      <c r="A25" s="516">
        <v>16</v>
      </c>
      <c r="B25" s="608">
        <v>4054779730</v>
      </c>
      <c r="C25" s="506" t="s">
        <v>1098</v>
      </c>
      <c r="D25" s="506" t="s">
        <v>26</v>
      </c>
      <c r="E25" s="15" t="s">
        <v>1099</v>
      </c>
      <c r="F25" s="15" t="s">
        <v>1070</v>
      </c>
      <c r="G25" s="15" t="str">
        <f t="shared" si="0"/>
        <v>Rétirédanslesdélais</v>
      </c>
      <c r="H25" s="275" t="s">
        <v>1031</v>
      </c>
      <c r="I25" s="493">
        <v>45930</v>
      </c>
      <c r="J25" s="596">
        <v>0</v>
      </c>
      <c r="K25" s="390"/>
      <c r="L25" s="390"/>
      <c r="M25" s="390"/>
    </row>
    <row r="26" spans="1:13" ht="21" customHeight="1" x14ac:dyDescent="0.25">
      <c r="A26" s="516">
        <v>17</v>
      </c>
      <c r="B26" s="608">
        <v>4054779750</v>
      </c>
      <c r="C26" s="506" t="s">
        <v>1098</v>
      </c>
      <c r="D26" s="506" t="s">
        <v>26</v>
      </c>
      <c r="E26" s="15" t="s">
        <v>1099</v>
      </c>
      <c r="F26" s="15" t="s">
        <v>1070</v>
      </c>
      <c r="G26" s="15" t="str">
        <f t="shared" si="0"/>
        <v>Rétirédanslesdélais</v>
      </c>
      <c r="H26" s="275" t="s">
        <v>1033</v>
      </c>
      <c r="I26" s="493">
        <v>45930</v>
      </c>
      <c r="J26" s="596">
        <v>0</v>
      </c>
      <c r="K26" s="390"/>
      <c r="L26" s="390"/>
      <c r="M26" s="390"/>
    </row>
    <row r="27" spans="1:13" ht="21" customHeight="1" x14ac:dyDescent="0.25">
      <c r="A27" s="516">
        <v>18</v>
      </c>
      <c r="B27" s="608">
        <v>4054782180</v>
      </c>
      <c r="C27" s="506" t="s">
        <v>1076</v>
      </c>
      <c r="D27" s="506" t="s">
        <v>26</v>
      </c>
      <c r="E27" s="15" t="s">
        <v>1110</v>
      </c>
      <c r="F27" s="15" t="s">
        <v>1070</v>
      </c>
      <c r="G27" s="15" t="str">
        <f t="shared" si="0"/>
        <v>Rétirédanslesdélais</v>
      </c>
      <c r="H27" s="275" t="s">
        <v>1039</v>
      </c>
      <c r="I27" s="493">
        <v>45931</v>
      </c>
      <c r="J27" s="596">
        <v>0</v>
      </c>
      <c r="K27" s="390"/>
      <c r="L27" s="390"/>
      <c r="M27" s="390"/>
    </row>
    <row r="28" spans="1:13" ht="21" customHeight="1" x14ac:dyDescent="0.25">
      <c r="A28" s="516">
        <v>19</v>
      </c>
      <c r="B28" s="608">
        <v>4054784170</v>
      </c>
      <c r="C28" s="506" t="s">
        <v>1098</v>
      </c>
      <c r="D28" s="506" t="s">
        <v>26</v>
      </c>
      <c r="E28" s="15" t="s">
        <v>1099</v>
      </c>
      <c r="F28" s="15" t="s">
        <v>1070</v>
      </c>
      <c r="G28" s="15" t="str">
        <f t="shared" si="0"/>
        <v>Rétirédanslesdélais</v>
      </c>
      <c r="H28" s="275" t="s">
        <v>1028</v>
      </c>
      <c r="I28" s="493">
        <v>45930</v>
      </c>
      <c r="J28" s="596">
        <v>0</v>
      </c>
      <c r="K28" s="390"/>
      <c r="L28" s="390"/>
      <c r="M28" s="390"/>
    </row>
    <row r="29" spans="1:13" ht="21" customHeight="1" x14ac:dyDescent="0.25">
      <c r="A29" s="516">
        <v>20</v>
      </c>
      <c r="B29" s="608">
        <v>4054784180</v>
      </c>
      <c r="C29" s="506" t="s">
        <v>1098</v>
      </c>
      <c r="D29" s="506" t="s">
        <v>26</v>
      </c>
      <c r="E29" s="15" t="s">
        <v>1099</v>
      </c>
      <c r="F29" s="15" t="s">
        <v>1097</v>
      </c>
      <c r="G29" s="15" t="str">
        <f t="shared" si="0"/>
        <v>Rétirédanslesdélais</v>
      </c>
      <c r="H29" s="275" t="s">
        <v>1032</v>
      </c>
      <c r="I29" s="493">
        <v>45930</v>
      </c>
      <c r="J29" s="596">
        <v>0</v>
      </c>
      <c r="K29" s="390"/>
      <c r="L29" s="390"/>
      <c r="M29" s="390"/>
    </row>
    <row r="30" spans="1:13" ht="21" customHeight="1" x14ac:dyDescent="0.25">
      <c r="A30" s="516">
        <v>21</v>
      </c>
      <c r="B30" s="608">
        <v>4054784190</v>
      </c>
      <c r="C30" s="506" t="s">
        <v>1098</v>
      </c>
      <c r="D30" s="506" t="s">
        <v>26</v>
      </c>
      <c r="E30" s="15" t="s">
        <v>1099</v>
      </c>
      <c r="F30" s="15" t="s">
        <v>1097</v>
      </c>
      <c r="G30" s="15" t="str">
        <f t="shared" si="0"/>
        <v>Rétirédanslesdélais</v>
      </c>
      <c r="H30" s="275" t="s">
        <v>1029</v>
      </c>
      <c r="I30" s="493">
        <v>45930</v>
      </c>
      <c r="J30" s="596">
        <v>0</v>
      </c>
      <c r="K30" s="390"/>
      <c r="L30" s="390"/>
      <c r="M30" s="390"/>
    </row>
    <row r="31" spans="1:13" ht="21" customHeight="1" x14ac:dyDescent="0.25">
      <c r="A31" s="516">
        <v>22</v>
      </c>
      <c r="B31" s="608">
        <v>4054784200</v>
      </c>
      <c r="C31" s="506" t="s">
        <v>1098</v>
      </c>
      <c r="D31" s="506" t="s">
        <v>26</v>
      </c>
      <c r="E31" s="15" t="s">
        <v>1099</v>
      </c>
      <c r="F31" s="15" t="s">
        <v>1070</v>
      </c>
      <c r="G31" s="15" t="str">
        <f t="shared" si="0"/>
        <v>Rétirédanslesdélais</v>
      </c>
      <c r="H31" s="275" t="s">
        <v>1036</v>
      </c>
      <c r="I31" s="493">
        <v>45930</v>
      </c>
      <c r="J31" s="596">
        <v>0</v>
      </c>
      <c r="K31" s="390"/>
      <c r="L31" s="390"/>
      <c r="M31" s="390"/>
    </row>
    <row r="32" spans="1:13" ht="21" customHeight="1" x14ac:dyDescent="0.25">
      <c r="A32" s="516">
        <v>23</v>
      </c>
      <c r="B32" s="608">
        <v>4054786780</v>
      </c>
      <c r="C32" s="506" t="s">
        <v>1100</v>
      </c>
      <c r="D32" s="506" t="s">
        <v>26</v>
      </c>
      <c r="E32" s="15" t="s">
        <v>17</v>
      </c>
      <c r="F32" s="15" t="s">
        <v>1070</v>
      </c>
      <c r="G32" s="15" t="str">
        <f t="shared" si="0"/>
        <v>Rétirédanslesdélais</v>
      </c>
      <c r="H32" s="275" t="s">
        <v>1019</v>
      </c>
      <c r="I32" s="493">
        <v>45926</v>
      </c>
      <c r="J32" s="596">
        <v>0</v>
      </c>
      <c r="K32" s="390"/>
      <c r="L32" s="390"/>
      <c r="M32" s="418" t="s">
        <v>1101</v>
      </c>
    </row>
    <row r="33" spans="1:13" ht="21" customHeight="1" x14ac:dyDescent="0.25">
      <c r="A33" s="516">
        <v>27</v>
      </c>
      <c r="B33" s="608">
        <v>4054791740</v>
      </c>
      <c r="C33" s="506" t="s">
        <v>1075</v>
      </c>
      <c r="D33" s="506" t="s">
        <v>26</v>
      </c>
      <c r="E33" s="15" t="s">
        <v>17</v>
      </c>
      <c r="F33" s="15" t="s">
        <v>1097</v>
      </c>
      <c r="G33" s="15" t="str">
        <f t="shared" si="0"/>
        <v>Rétirédanslesdélais</v>
      </c>
      <c r="H33" s="275" t="s">
        <v>1040</v>
      </c>
      <c r="I33" s="493">
        <v>45931</v>
      </c>
      <c r="J33" s="596">
        <v>0</v>
      </c>
      <c r="K33" s="390"/>
      <c r="L33" s="390"/>
      <c r="M33" s="390"/>
    </row>
    <row r="34" spans="1:13" ht="21" customHeight="1" x14ac:dyDescent="0.25">
      <c r="A34" s="516">
        <v>29</v>
      </c>
      <c r="B34" s="608">
        <v>4054794240</v>
      </c>
      <c r="C34" s="506" t="s">
        <v>1098</v>
      </c>
      <c r="D34" s="506" t="s">
        <v>26</v>
      </c>
      <c r="E34" s="15" t="s">
        <v>1099</v>
      </c>
      <c r="F34" s="15" t="s">
        <v>1097</v>
      </c>
      <c r="G34" s="15" t="str">
        <f t="shared" si="0"/>
        <v>Rétirédanslesdélais</v>
      </c>
      <c r="H34" s="275" t="s">
        <v>1037</v>
      </c>
      <c r="I34" s="493">
        <v>45930</v>
      </c>
      <c r="J34" s="596">
        <v>0</v>
      </c>
      <c r="K34" s="390"/>
      <c r="L34" s="390"/>
      <c r="M34" s="390"/>
    </row>
    <row r="35" spans="1:13" ht="21" customHeight="1" x14ac:dyDescent="0.25">
      <c r="A35" s="516">
        <v>31</v>
      </c>
      <c r="B35" s="608">
        <v>4054807560</v>
      </c>
      <c r="C35" s="506" t="s">
        <v>1111</v>
      </c>
      <c r="D35" s="506" t="s">
        <v>26</v>
      </c>
      <c r="E35" s="15" t="s">
        <v>17</v>
      </c>
      <c r="F35" s="15" t="s">
        <v>1070</v>
      </c>
      <c r="G35" s="15" t="str">
        <f t="shared" si="0"/>
        <v>Rétirédanslesdélais</v>
      </c>
      <c r="H35" s="275" t="s">
        <v>1014</v>
      </c>
      <c r="I35" s="493">
        <v>45925</v>
      </c>
      <c r="J35" s="596">
        <v>0</v>
      </c>
      <c r="K35" s="390"/>
      <c r="L35" s="390"/>
      <c r="M35" s="420" t="s">
        <v>1854</v>
      </c>
    </row>
    <row r="37" spans="1:13" x14ac:dyDescent="0.3">
      <c r="E37" s="592" t="s">
        <v>1112</v>
      </c>
    </row>
  </sheetData>
  <mergeCells count="2">
    <mergeCell ref="G1:I1"/>
    <mergeCell ref="A2:B2"/>
  </mergeCells>
  <conditionalFormatting sqref="A5:A35 E5:M35">
    <cfRule type="containsText" dxfId="1354" priority="8" operator="containsText" text="Rétiré dans les délais">
      <formula>NOT(ISERROR(SEARCH("Rétiré dans les délais",A5)))</formula>
    </cfRule>
  </conditionalFormatting>
  <conditionalFormatting sqref="B1:B3 B50:B1048576 B36:B48">
    <cfRule type="duplicateValues" dxfId="1353" priority="2042"/>
  </conditionalFormatting>
  <conditionalFormatting sqref="B1:B4 B50:B1048576 B36:B48">
    <cfRule type="duplicateValues" dxfId="1352" priority="2046"/>
  </conditionalFormatting>
  <conditionalFormatting sqref="B5:B35">
    <cfRule type="duplicateValues" dxfId="1351" priority="2035"/>
  </conditionalFormatting>
  <conditionalFormatting sqref="B50:B1048576 B1:B48">
    <cfRule type="duplicateValues" dxfId="1350" priority="1"/>
    <cfRule type="duplicateValues" dxfId="1349" priority="2036"/>
    <cfRule type="duplicateValues" dxfId="1348" priority="2037"/>
  </conditionalFormatting>
  <conditionalFormatting sqref="B50:B1048576 B36:B48">
    <cfRule type="duplicateValues" dxfId="1347" priority="2050"/>
    <cfRule type="duplicateValues" dxfId="1346" priority="2051"/>
  </conditionalFormatting>
  <conditionalFormatting sqref="E5:M35 A5:A35">
    <cfRule type="containsText" dxfId="1345" priority="7" operator="containsText" text="En Attente d'un Retrait Tardif">
      <formula>NOT(ISERROR(SEARCH("En Attente d'un Retrait Tardif",A5)))</formula>
    </cfRule>
  </conditionalFormatting>
  <conditionalFormatting sqref="H50:H1048576 H1:H48">
    <cfRule type="duplicateValues" dxfId="1344" priority="2"/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0EFE-D153-4C7A-8B44-F5536CFF9C25}">
  <sheetPr codeName="Feuil105">
    <tabColor rgb="FF00B050"/>
  </sheetPr>
  <dimension ref="A1:M20"/>
  <sheetViews>
    <sheetView zoomScaleNormal="100" workbookViewId="0">
      <selection activeCell="J9" sqref="J9"/>
    </sheetView>
  </sheetViews>
  <sheetFormatPr baseColWidth="10" defaultRowHeight="15" x14ac:dyDescent="0.25"/>
  <cols>
    <col min="1" max="1" width="7.42578125" customWidth="1"/>
    <col min="2" max="2" width="17.140625" style="105" customWidth="1"/>
    <col min="3" max="3" width="48" customWidth="1"/>
    <col min="4" max="4" width="16.42578125" style="10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1113</v>
      </c>
      <c r="B1" s="431"/>
      <c r="C1" s="288"/>
      <c r="D1" s="431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5"/>
      <c r="D2" s="24"/>
      <c r="E2" s="358">
        <f ca="1">I2-G2</f>
        <v>188</v>
      </c>
      <c r="F2" s="25"/>
      <c r="G2" s="314">
        <v>45908</v>
      </c>
      <c r="H2" s="365">
        <f ca="1">I2-G2</f>
        <v>188</v>
      </c>
      <c r="I2" s="315">
        <f ca="1">TODAY()</f>
        <v>46096</v>
      </c>
      <c r="J2" s="340"/>
      <c r="K2" s="340"/>
      <c r="L2" s="208"/>
    </row>
    <row r="3" spans="1:13" x14ac:dyDescent="0.25">
      <c r="C3" s="292"/>
      <c r="E3" s="292"/>
      <c r="F3" s="292"/>
      <c r="G3" s="105"/>
      <c r="H3" s="105"/>
      <c r="I3" s="208"/>
      <c r="J3" s="208"/>
      <c r="K3" s="208"/>
      <c r="L3" s="369"/>
    </row>
    <row r="4" spans="1:13" ht="15.75" thickBot="1" x14ac:dyDescent="0.3">
      <c r="A4" s="481" t="s">
        <v>1</v>
      </c>
      <c r="B4" s="579" t="s">
        <v>2</v>
      </c>
      <c r="C4" s="579" t="s">
        <v>5</v>
      </c>
      <c r="D4" s="579" t="s">
        <v>3</v>
      </c>
      <c r="E4" s="579" t="s">
        <v>1065</v>
      </c>
      <c r="F4" s="579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22.5" customHeight="1" x14ac:dyDescent="0.25">
      <c r="A5" s="516">
        <v>10</v>
      </c>
      <c r="B5" s="597">
        <v>4054737890</v>
      </c>
      <c r="C5" s="597" t="s">
        <v>1114</v>
      </c>
      <c r="D5" s="597" t="s">
        <v>26</v>
      </c>
      <c r="E5" s="600" t="s">
        <v>1072</v>
      </c>
      <c r="F5" s="598" t="s">
        <v>1070</v>
      </c>
      <c r="G5" s="15" t="str">
        <f t="shared" ref="G5:G18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1021</v>
      </c>
      <c r="I5" s="537">
        <v>45926</v>
      </c>
      <c r="J5" s="538">
        <v>0</v>
      </c>
      <c r="K5" s="539"/>
      <c r="L5" s="539"/>
      <c r="M5" s="540"/>
    </row>
    <row r="6" spans="1:13" s="346" customFormat="1" ht="22.5" customHeight="1" x14ac:dyDescent="0.25">
      <c r="A6" s="516">
        <v>5</v>
      </c>
      <c r="B6" s="479">
        <v>4054771250</v>
      </c>
      <c r="C6" s="479" t="s">
        <v>1115</v>
      </c>
      <c r="D6" s="479" t="s">
        <v>26</v>
      </c>
      <c r="E6" s="599" t="s">
        <v>1116</v>
      </c>
      <c r="F6" s="599" t="s">
        <v>500</v>
      </c>
      <c r="G6" s="15" t="str">
        <f t="shared" si="0"/>
        <v>Rétirétardivement-30000FCFAamende</v>
      </c>
      <c r="H6" s="275" t="s">
        <v>1016</v>
      </c>
      <c r="I6" s="493">
        <v>45926</v>
      </c>
      <c r="J6" s="499">
        <v>0</v>
      </c>
      <c r="K6" s="390"/>
      <c r="L6" s="390"/>
      <c r="M6" s="542"/>
    </row>
    <row r="7" spans="1:13" ht="22.5" customHeight="1" x14ac:dyDescent="0.25">
      <c r="A7" s="516">
        <v>1</v>
      </c>
      <c r="B7" s="479">
        <v>2161691970</v>
      </c>
      <c r="C7" s="479" t="s">
        <v>1117</v>
      </c>
      <c r="D7" s="479" t="s">
        <v>26</v>
      </c>
      <c r="E7" s="479" t="s">
        <v>1065</v>
      </c>
      <c r="F7" s="599" t="s">
        <v>1097</v>
      </c>
      <c r="G7" s="15" t="str">
        <f t="shared" si="0"/>
        <v>Rétirédanslesdélais</v>
      </c>
      <c r="H7" s="275" t="s">
        <v>994</v>
      </c>
      <c r="I7" s="493">
        <v>45915</v>
      </c>
      <c r="J7" s="499">
        <v>0</v>
      </c>
      <c r="K7" s="390"/>
      <c r="L7" s="390"/>
      <c r="M7" s="542"/>
    </row>
    <row r="8" spans="1:13" ht="22.5" customHeight="1" x14ac:dyDescent="0.25">
      <c r="A8" s="516">
        <v>3</v>
      </c>
      <c r="B8" s="479">
        <v>2310891000</v>
      </c>
      <c r="C8" s="479" t="s">
        <v>1118</v>
      </c>
      <c r="D8" s="479" t="s">
        <v>26</v>
      </c>
      <c r="E8" s="479" t="s">
        <v>1065</v>
      </c>
      <c r="F8" s="599" t="s">
        <v>1097</v>
      </c>
      <c r="G8" s="15" t="str">
        <f t="shared" si="0"/>
        <v>Rétirédanslesdélais</v>
      </c>
      <c r="H8" s="275" t="s">
        <v>997</v>
      </c>
      <c r="I8" s="493">
        <v>45917</v>
      </c>
      <c r="J8" s="499">
        <v>0</v>
      </c>
      <c r="K8" s="390"/>
      <c r="L8" s="390"/>
      <c r="M8" s="542"/>
    </row>
    <row r="9" spans="1:13" ht="22.5" customHeight="1" x14ac:dyDescent="0.25">
      <c r="A9" s="516">
        <v>9</v>
      </c>
      <c r="B9" s="479">
        <v>4054681491</v>
      </c>
      <c r="C9" s="479" t="s">
        <v>1119</v>
      </c>
      <c r="D9" s="479" t="s">
        <v>26</v>
      </c>
      <c r="E9" s="599" t="s">
        <v>1110</v>
      </c>
      <c r="F9" s="599" t="s">
        <v>1097</v>
      </c>
      <c r="G9" s="15" t="str">
        <f t="shared" si="0"/>
        <v>Rétirédanslesdélais</v>
      </c>
      <c r="H9" s="275" t="s">
        <v>1006</v>
      </c>
      <c r="I9" s="493">
        <v>45919</v>
      </c>
      <c r="J9" s="499">
        <v>1800000</v>
      </c>
      <c r="K9" s="390"/>
      <c r="L9" s="390"/>
      <c r="M9" s="542"/>
    </row>
    <row r="10" spans="1:13" ht="22.5" customHeight="1" x14ac:dyDescent="0.25">
      <c r="A10" s="516">
        <v>7</v>
      </c>
      <c r="B10" s="479">
        <v>4054681680</v>
      </c>
      <c r="C10" s="479" t="s">
        <v>1119</v>
      </c>
      <c r="D10" s="479" t="s">
        <v>26</v>
      </c>
      <c r="E10" s="599" t="s">
        <v>1120</v>
      </c>
      <c r="F10" s="599" t="s">
        <v>1097</v>
      </c>
      <c r="G10" s="15" t="str">
        <f t="shared" si="0"/>
        <v>Rétirédanslesdélais</v>
      </c>
      <c r="H10" s="275" t="s">
        <v>1005</v>
      </c>
      <c r="I10" s="493">
        <v>45919</v>
      </c>
      <c r="J10" s="499">
        <v>1000000</v>
      </c>
      <c r="K10" s="390"/>
      <c r="L10" s="390"/>
      <c r="M10" s="542"/>
    </row>
    <row r="11" spans="1:13" ht="22.5" customHeight="1" x14ac:dyDescent="0.25">
      <c r="A11" s="516">
        <v>11</v>
      </c>
      <c r="B11" s="479">
        <v>4054747810</v>
      </c>
      <c r="C11" s="479" t="s">
        <v>1121</v>
      </c>
      <c r="D11" s="479" t="s">
        <v>26</v>
      </c>
      <c r="E11" s="479" t="s">
        <v>17</v>
      </c>
      <c r="F11" s="599" t="s">
        <v>1097</v>
      </c>
      <c r="G11" s="15" t="str">
        <f t="shared" si="0"/>
        <v>Rétirédanslesdélais</v>
      </c>
      <c r="H11" s="275" t="s">
        <v>991</v>
      </c>
      <c r="I11" s="493">
        <v>45911</v>
      </c>
      <c r="J11" s="499">
        <v>0</v>
      </c>
      <c r="K11" s="390"/>
      <c r="L11" s="390"/>
      <c r="M11" s="542"/>
    </row>
    <row r="12" spans="1:13" ht="22.5" customHeight="1" x14ac:dyDescent="0.25">
      <c r="A12" s="516">
        <v>4</v>
      </c>
      <c r="B12" s="479">
        <v>4054753380</v>
      </c>
      <c r="C12" s="479" t="s">
        <v>1122</v>
      </c>
      <c r="D12" s="479" t="s">
        <v>26</v>
      </c>
      <c r="E12" s="479" t="s">
        <v>1065</v>
      </c>
      <c r="F12" s="599" t="s">
        <v>1097</v>
      </c>
      <c r="G12" s="15" t="str">
        <f t="shared" si="0"/>
        <v>Rétirédanslesdélais</v>
      </c>
      <c r="H12" s="275" t="s">
        <v>993</v>
      </c>
      <c r="I12" s="493">
        <v>45915</v>
      </c>
      <c r="J12" s="499">
        <v>0</v>
      </c>
      <c r="K12" s="390"/>
      <c r="L12" s="390"/>
      <c r="M12" s="542"/>
    </row>
    <row r="13" spans="1:13" ht="22.5" customHeight="1" x14ac:dyDescent="0.25">
      <c r="A13" s="516">
        <v>12</v>
      </c>
      <c r="B13" s="479">
        <v>4054755830</v>
      </c>
      <c r="C13" s="479" t="s">
        <v>1123</v>
      </c>
      <c r="D13" s="479" t="s">
        <v>26</v>
      </c>
      <c r="E13" s="479" t="s">
        <v>1065</v>
      </c>
      <c r="F13" s="599" t="s">
        <v>1097</v>
      </c>
      <c r="G13" s="15" t="str">
        <f t="shared" si="0"/>
        <v>Rétirédanslesdélais</v>
      </c>
      <c r="H13" s="275" t="s">
        <v>1000</v>
      </c>
      <c r="I13" s="493">
        <v>45917</v>
      </c>
      <c r="J13" s="499">
        <v>0</v>
      </c>
      <c r="K13" s="390"/>
      <c r="L13" s="390"/>
      <c r="M13" s="542"/>
    </row>
    <row r="14" spans="1:13" ht="22.5" customHeight="1" x14ac:dyDescent="0.25">
      <c r="A14" s="516">
        <v>6</v>
      </c>
      <c r="B14" s="479">
        <v>4054755860</v>
      </c>
      <c r="C14" s="479" t="s">
        <v>1124</v>
      </c>
      <c r="D14" s="479" t="s">
        <v>26</v>
      </c>
      <c r="E14" s="479" t="s">
        <v>1065</v>
      </c>
      <c r="F14" s="599" t="s">
        <v>1097</v>
      </c>
      <c r="G14" s="15" t="str">
        <f t="shared" si="0"/>
        <v>Rétirédanslesdélais</v>
      </c>
      <c r="H14" s="275" t="s">
        <v>1001</v>
      </c>
      <c r="I14" s="493">
        <v>45917</v>
      </c>
      <c r="J14" s="499">
        <v>0</v>
      </c>
      <c r="K14" s="390"/>
      <c r="L14" s="390"/>
      <c r="M14" s="542"/>
    </row>
    <row r="15" spans="1:13" ht="22.5" customHeight="1" x14ac:dyDescent="0.25">
      <c r="A15" s="516">
        <v>2</v>
      </c>
      <c r="B15" s="479">
        <v>4054767070</v>
      </c>
      <c r="C15" s="479" t="s">
        <v>1125</v>
      </c>
      <c r="D15" s="479" t="s">
        <v>26</v>
      </c>
      <c r="E15" s="479" t="s">
        <v>1065</v>
      </c>
      <c r="F15" s="599" t="s">
        <v>1097</v>
      </c>
      <c r="G15" s="15" t="str">
        <f t="shared" si="0"/>
        <v>Rétirédanslesdélais</v>
      </c>
      <c r="H15" s="275" t="s">
        <v>998</v>
      </c>
      <c r="I15" s="493">
        <v>45917</v>
      </c>
      <c r="J15" s="499">
        <v>0</v>
      </c>
      <c r="K15" s="390"/>
      <c r="L15" s="390"/>
      <c r="M15" s="542"/>
    </row>
    <row r="16" spans="1:13" ht="22.5" customHeight="1" x14ac:dyDescent="0.25">
      <c r="A16" s="516">
        <v>13</v>
      </c>
      <c r="B16" s="479">
        <v>4054779610</v>
      </c>
      <c r="C16" s="479" t="s">
        <v>1098</v>
      </c>
      <c r="D16" s="479" t="s">
        <v>26</v>
      </c>
      <c r="E16" s="599" t="s">
        <v>1126</v>
      </c>
      <c r="F16" s="599" t="s">
        <v>1097</v>
      </c>
      <c r="G16" s="15" t="str">
        <f t="shared" si="0"/>
        <v>Rétirédanslesdélais</v>
      </c>
      <c r="H16" s="275" t="s">
        <v>1008</v>
      </c>
      <c r="I16" s="493">
        <v>45923</v>
      </c>
      <c r="J16" s="499">
        <v>0</v>
      </c>
      <c r="K16" s="390"/>
      <c r="L16" s="390"/>
      <c r="M16" s="542"/>
    </row>
    <row r="17" spans="1:13" ht="22.5" customHeight="1" x14ac:dyDescent="0.25">
      <c r="A17" s="516">
        <v>14</v>
      </c>
      <c r="B17" s="479">
        <v>4054779630</v>
      </c>
      <c r="C17" s="479" t="s">
        <v>1098</v>
      </c>
      <c r="D17" s="479" t="s">
        <v>26</v>
      </c>
      <c r="E17" s="599" t="s">
        <v>1126</v>
      </c>
      <c r="F17" s="599" t="s">
        <v>1097</v>
      </c>
      <c r="G17" s="15" t="str">
        <f t="shared" si="0"/>
        <v>Rétirédanslesdélais</v>
      </c>
      <c r="H17" s="275" t="s">
        <v>1007</v>
      </c>
      <c r="I17" s="493">
        <v>45923</v>
      </c>
      <c r="J17" s="499">
        <v>0</v>
      </c>
      <c r="K17" s="390"/>
      <c r="L17" s="390"/>
      <c r="M17" s="542"/>
    </row>
    <row r="18" spans="1:13" ht="22.5" customHeight="1" x14ac:dyDescent="0.25">
      <c r="A18" s="516">
        <v>8</v>
      </c>
      <c r="B18" s="479">
        <v>4054710001</v>
      </c>
      <c r="C18" s="479" t="s">
        <v>1127</v>
      </c>
      <c r="D18" s="479" t="s">
        <v>26</v>
      </c>
      <c r="E18" s="479" t="s">
        <v>1072</v>
      </c>
      <c r="F18" s="599" t="s">
        <v>1097</v>
      </c>
      <c r="G18" s="15" t="str">
        <f t="shared" si="0"/>
        <v>Rétirétardivement-30000FCFAamende</v>
      </c>
      <c r="H18" s="275" t="s">
        <v>1012</v>
      </c>
      <c r="I18" s="493">
        <v>45925</v>
      </c>
      <c r="J18" s="499">
        <v>360000</v>
      </c>
      <c r="K18" s="390"/>
      <c r="L18" s="390"/>
      <c r="M18" s="542"/>
    </row>
    <row r="20" spans="1:13" x14ac:dyDescent="0.25">
      <c r="F20" s="105"/>
    </row>
  </sheetData>
  <autoFilter ref="A4:M18" xr:uid="{D559034C-E1A8-4788-A336-55187472940D}">
    <filterColumn colId="12" showButton="0"/>
    <sortState xmlns:xlrd2="http://schemas.microsoft.com/office/spreadsheetml/2017/richdata2" ref="A5:M18">
      <sortCondition ref="G4:G18"/>
    </sortState>
  </autoFilter>
  <mergeCells count="2">
    <mergeCell ref="G1:I1"/>
    <mergeCell ref="A2:B2"/>
  </mergeCells>
  <conditionalFormatting sqref="G5:G18">
    <cfRule type="containsText" dxfId="1343" priority="1" operator="containsText" text="En Attente d'un Retrait Tardif">
      <formula>NOT(ISERROR(SEARCH("En Attente d'un Retrait Tardif",G5)))</formula>
    </cfRule>
    <cfRule type="containsText" dxfId="1342" priority="2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FA7F-F715-4279-838D-4318F16EC60F}">
  <sheetPr codeName="Feuil106">
    <tabColor theme="9"/>
  </sheetPr>
  <dimension ref="A1:M20"/>
  <sheetViews>
    <sheetView zoomScaleNormal="100" workbookViewId="0">
      <selection activeCell="D20" sqref="D20"/>
    </sheetView>
  </sheetViews>
  <sheetFormatPr baseColWidth="10" defaultRowHeight="15" x14ac:dyDescent="0.25"/>
  <cols>
    <col min="1" max="1" width="7.42578125" customWidth="1"/>
    <col min="2" max="2" width="17.140625" style="105" customWidth="1"/>
    <col min="3" max="3" width="16.42578125" style="105" customWidth="1"/>
    <col min="4" max="4" width="50.710937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1128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199</v>
      </c>
      <c r="F2" s="25"/>
      <c r="G2" s="314">
        <v>45897</v>
      </c>
      <c r="H2" s="365">
        <f ca="1">I2-G2</f>
        <v>199</v>
      </c>
      <c r="I2" s="315">
        <f ca="1">TODAY()</f>
        <v>46096</v>
      </c>
      <c r="J2" s="340" t="s">
        <v>1129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19.5" customHeight="1" x14ac:dyDescent="0.25">
      <c r="A5" s="516">
        <v>2</v>
      </c>
      <c r="B5" s="479">
        <v>4054707480</v>
      </c>
      <c r="C5" s="15" t="s">
        <v>26</v>
      </c>
      <c r="D5" s="479" t="s">
        <v>1082</v>
      </c>
      <c r="E5" s="15" t="s">
        <v>17</v>
      </c>
      <c r="F5" s="15" t="s">
        <v>1130</v>
      </c>
      <c r="G5" s="15" t="str">
        <f t="shared" ref="G5:G20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1045</v>
      </c>
      <c r="I5" s="493">
        <v>45938</v>
      </c>
      <c r="J5" s="499">
        <v>0</v>
      </c>
      <c r="K5" s="390"/>
      <c r="L5" s="390"/>
      <c r="M5" s="390"/>
    </row>
    <row r="6" spans="1:13" s="346" customFormat="1" ht="19.5" customHeight="1" x14ac:dyDescent="0.25">
      <c r="A6" s="516">
        <v>12</v>
      </c>
      <c r="B6" s="479">
        <v>4054681490</v>
      </c>
      <c r="C6" s="15" t="s">
        <v>26</v>
      </c>
      <c r="D6" s="479" t="s">
        <v>1131</v>
      </c>
      <c r="E6" s="15" t="s">
        <v>17</v>
      </c>
      <c r="F6" s="15" t="s">
        <v>1132</v>
      </c>
      <c r="G6" s="15" t="str">
        <f t="shared" si="0"/>
        <v>Rétirédanslesdélais</v>
      </c>
      <c r="H6" s="275" t="s">
        <v>989</v>
      </c>
      <c r="I6" s="493">
        <v>45909</v>
      </c>
      <c r="J6" s="499">
        <v>4100000</v>
      </c>
      <c r="K6" s="390" t="s">
        <v>1133</v>
      </c>
      <c r="L6" s="390"/>
      <c r="M6" s="390"/>
    </row>
    <row r="7" spans="1:13" ht="19.5" customHeight="1" x14ac:dyDescent="0.25">
      <c r="A7" s="516">
        <v>9</v>
      </c>
      <c r="B7" s="479">
        <v>4054731130</v>
      </c>
      <c r="C7" s="15" t="s">
        <v>26</v>
      </c>
      <c r="D7" s="479" t="s">
        <v>1134</v>
      </c>
      <c r="E7" s="15" t="s">
        <v>17</v>
      </c>
      <c r="F7" s="15" t="s">
        <v>1135</v>
      </c>
      <c r="G7" s="15" t="str">
        <f t="shared" si="0"/>
        <v>Rétirédanslesdélais</v>
      </c>
      <c r="H7" s="275" t="s">
        <v>979</v>
      </c>
      <c r="I7" s="493">
        <v>45909</v>
      </c>
      <c r="J7" s="499">
        <v>0</v>
      </c>
      <c r="K7" s="390" t="s">
        <v>1133</v>
      </c>
      <c r="L7" s="390"/>
      <c r="M7" s="390"/>
    </row>
    <row r="8" spans="1:13" ht="19.5" customHeight="1" x14ac:dyDescent="0.25">
      <c r="A8" s="516">
        <v>1</v>
      </c>
      <c r="B8" s="479">
        <v>2161168680</v>
      </c>
      <c r="C8" s="15" t="s">
        <v>26</v>
      </c>
      <c r="D8" s="479" t="s">
        <v>1117</v>
      </c>
      <c r="E8" s="15" t="s">
        <v>17</v>
      </c>
      <c r="F8" s="15" t="s">
        <v>1070</v>
      </c>
      <c r="G8" s="15" t="str">
        <f t="shared" si="0"/>
        <v>Rétirédanslesdélais</v>
      </c>
      <c r="H8" s="275" t="s">
        <v>988</v>
      </c>
      <c r="I8" s="493">
        <v>45911</v>
      </c>
      <c r="J8" s="499">
        <v>0</v>
      </c>
      <c r="K8" s="390"/>
      <c r="L8" s="390"/>
      <c r="M8" s="390"/>
    </row>
    <row r="9" spans="1:13" ht="19.5" customHeight="1" x14ac:dyDescent="0.25">
      <c r="A9" s="516">
        <v>4</v>
      </c>
      <c r="B9" s="479">
        <v>4054753400</v>
      </c>
      <c r="C9" s="15" t="s">
        <v>26</v>
      </c>
      <c r="D9" s="479" t="s">
        <v>1125</v>
      </c>
      <c r="E9" s="15" t="s">
        <v>17</v>
      </c>
      <c r="F9" s="15" t="s">
        <v>1070</v>
      </c>
      <c r="G9" s="15" t="str">
        <f t="shared" si="0"/>
        <v>Rétirédanslesdélais</v>
      </c>
      <c r="H9" s="275" t="s">
        <v>972</v>
      </c>
      <c r="I9" s="493">
        <v>45901</v>
      </c>
      <c r="J9" s="499">
        <v>0</v>
      </c>
      <c r="K9" s="390"/>
      <c r="L9" s="390"/>
      <c r="M9" s="390"/>
    </row>
    <row r="10" spans="1:13" ht="19.5" customHeight="1" x14ac:dyDescent="0.25">
      <c r="A10" s="516">
        <v>13</v>
      </c>
      <c r="B10" s="479">
        <v>4054723181</v>
      </c>
      <c r="C10" s="15" t="s">
        <v>26</v>
      </c>
      <c r="D10" s="479" t="s">
        <v>1125</v>
      </c>
      <c r="E10" s="15" t="s">
        <v>17</v>
      </c>
      <c r="F10" s="15" t="s">
        <v>1070</v>
      </c>
      <c r="G10" s="15" t="str">
        <f t="shared" si="0"/>
        <v>Rétirédanslesdélais</v>
      </c>
      <c r="H10" s="275" t="s">
        <v>978</v>
      </c>
      <c r="I10" s="493">
        <v>45903</v>
      </c>
      <c r="J10" s="499">
        <v>0</v>
      </c>
      <c r="K10" s="390"/>
      <c r="L10" s="390"/>
      <c r="M10" s="390"/>
    </row>
    <row r="11" spans="1:13" ht="19.5" customHeight="1" x14ac:dyDescent="0.25">
      <c r="A11" s="516">
        <v>14</v>
      </c>
      <c r="B11" s="479">
        <v>4054747860</v>
      </c>
      <c r="C11" s="15" t="s">
        <v>26</v>
      </c>
      <c r="D11" s="479" t="s">
        <v>1122</v>
      </c>
      <c r="E11" s="15" t="s">
        <v>17</v>
      </c>
      <c r="F11" s="15" t="s">
        <v>1070</v>
      </c>
      <c r="G11" s="15" t="str">
        <f t="shared" si="0"/>
        <v>Rétirédanslesdélais</v>
      </c>
      <c r="H11" s="275" t="s">
        <v>975</v>
      </c>
      <c r="I11" s="493">
        <v>45901</v>
      </c>
      <c r="J11" s="499">
        <v>0</v>
      </c>
      <c r="K11" s="390"/>
      <c r="L11" s="390"/>
      <c r="M11" s="390"/>
    </row>
    <row r="12" spans="1:13" ht="19.5" customHeight="1" x14ac:dyDescent="0.25">
      <c r="A12" s="516">
        <v>15</v>
      </c>
      <c r="B12" s="479">
        <v>4054748220</v>
      </c>
      <c r="C12" s="15" t="s">
        <v>26</v>
      </c>
      <c r="D12" s="479" t="s">
        <v>1122</v>
      </c>
      <c r="E12" s="15" t="s">
        <v>17</v>
      </c>
      <c r="F12" s="15" t="s">
        <v>1070</v>
      </c>
      <c r="G12" s="15" t="str">
        <f t="shared" si="0"/>
        <v>Rétirédanslesdélais</v>
      </c>
      <c r="H12" s="275" t="s">
        <v>974</v>
      </c>
      <c r="I12" s="493">
        <v>45901</v>
      </c>
      <c r="J12" s="499">
        <v>0</v>
      </c>
      <c r="K12" s="390"/>
      <c r="L12" s="390"/>
      <c r="M12" s="390"/>
    </row>
    <row r="13" spans="1:13" ht="19.5" customHeight="1" x14ac:dyDescent="0.25">
      <c r="A13" s="516">
        <v>5</v>
      </c>
      <c r="B13" s="479">
        <v>4054748260</v>
      </c>
      <c r="C13" s="15" t="s">
        <v>26</v>
      </c>
      <c r="D13" s="479" t="s">
        <v>1122</v>
      </c>
      <c r="E13" s="15" t="s">
        <v>17</v>
      </c>
      <c r="F13" s="15" t="s">
        <v>1070</v>
      </c>
      <c r="G13" s="15" t="str">
        <f t="shared" si="0"/>
        <v>Rétirédanslesdélais</v>
      </c>
      <c r="H13" s="275" t="s">
        <v>976</v>
      </c>
      <c r="I13" s="493">
        <v>45901</v>
      </c>
      <c r="J13" s="499">
        <v>0</v>
      </c>
      <c r="K13" s="390"/>
      <c r="L13" s="390"/>
      <c r="M13" s="390"/>
    </row>
    <row r="14" spans="1:13" ht="19.5" customHeight="1" x14ac:dyDescent="0.25">
      <c r="A14" s="516">
        <v>3</v>
      </c>
      <c r="B14" s="479">
        <v>4054748280</v>
      </c>
      <c r="C14" s="15" t="s">
        <v>26</v>
      </c>
      <c r="D14" s="479" t="s">
        <v>1122</v>
      </c>
      <c r="E14" s="15" t="s">
        <v>17</v>
      </c>
      <c r="F14" s="15" t="s">
        <v>1070</v>
      </c>
      <c r="G14" s="15" t="str">
        <f t="shared" si="0"/>
        <v>Rétirédanslesdélais</v>
      </c>
      <c r="H14" s="275" t="s">
        <v>977</v>
      </c>
      <c r="I14" s="493">
        <v>45901</v>
      </c>
      <c r="J14" s="499">
        <v>0</v>
      </c>
      <c r="K14" s="390"/>
      <c r="L14" s="390"/>
      <c r="M14" s="390"/>
    </row>
    <row r="15" spans="1:13" ht="19.5" customHeight="1" x14ac:dyDescent="0.25">
      <c r="A15" s="516">
        <v>7</v>
      </c>
      <c r="B15" s="479">
        <v>4054758800</v>
      </c>
      <c r="C15" s="15" t="s">
        <v>26</v>
      </c>
      <c r="D15" s="479" t="s">
        <v>1124</v>
      </c>
      <c r="E15" s="15" t="s">
        <v>17</v>
      </c>
      <c r="F15" s="15" t="s">
        <v>1070</v>
      </c>
      <c r="G15" s="15" t="str">
        <f t="shared" si="0"/>
        <v>Rétirédanslesdélais</v>
      </c>
      <c r="H15" s="275" t="s">
        <v>981</v>
      </c>
      <c r="I15" s="493">
        <v>45909</v>
      </c>
      <c r="J15" s="499">
        <v>0</v>
      </c>
      <c r="K15" s="390"/>
      <c r="L15" s="390"/>
      <c r="M15" s="390"/>
    </row>
    <row r="16" spans="1:13" ht="19.5" customHeight="1" x14ac:dyDescent="0.25">
      <c r="A16" s="516">
        <v>8</v>
      </c>
      <c r="B16" s="479">
        <v>4054758830</v>
      </c>
      <c r="C16" s="15" t="s">
        <v>26</v>
      </c>
      <c r="D16" s="479" t="s">
        <v>1124</v>
      </c>
      <c r="E16" s="15" t="s">
        <v>17</v>
      </c>
      <c r="F16" s="15" t="s">
        <v>1070</v>
      </c>
      <c r="G16" s="15" t="str">
        <f t="shared" si="0"/>
        <v>Rétirédanslesdélais</v>
      </c>
      <c r="H16" s="275" t="s">
        <v>982</v>
      </c>
      <c r="I16" s="493">
        <v>45909</v>
      </c>
      <c r="J16" s="499">
        <v>0</v>
      </c>
      <c r="K16" s="390"/>
      <c r="L16" s="390"/>
      <c r="M16" s="390"/>
    </row>
    <row r="17" spans="1:13" ht="19.5" customHeight="1" x14ac:dyDescent="0.25">
      <c r="A17" s="516">
        <v>6</v>
      </c>
      <c r="B17" s="479">
        <v>4054759340</v>
      </c>
      <c r="C17" s="15" t="s">
        <v>26</v>
      </c>
      <c r="D17" s="479" t="s">
        <v>1124</v>
      </c>
      <c r="E17" s="15" t="s">
        <v>17</v>
      </c>
      <c r="F17" s="15" t="s">
        <v>1070</v>
      </c>
      <c r="G17" s="15" t="str">
        <f t="shared" si="0"/>
        <v>Rétirédanslesdélais</v>
      </c>
      <c r="H17" s="275" t="s">
        <v>983</v>
      </c>
      <c r="I17" s="493">
        <v>45909</v>
      </c>
      <c r="J17" s="499">
        <v>0</v>
      </c>
      <c r="K17" s="390"/>
      <c r="L17" s="390"/>
      <c r="M17" s="390"/>
    </row>
    <row r="18" spans="1:13" ht="19.5" customHeight="1" x14ac:dyDescent="0.25">
      <c r="A18" s="516">
        <v>11</v>
      </c>
      <c r="B18" s="479">
        <v>4054710009</v>
      </c>
      <c r="C18" s="15" t="s">
        <v>26</v>
      </c>
      <c r="D18" s="479" t="s">
        <v>1136</v>
      </c>
      <c r="E18" s="15" t="s">
        <v>17</v>
      </c>
      <c r="F18" s="15" t="s">
        <v>1137</v>
      </c>
      <c r="G18" s="15" t="str">
        <f t="shared" si="0"/>
        <v>Rétirétardivement-30000FCFAamende</v>
      </c>
      <c r="H18" s="275" t="s">
        <v>1013</v>
      </c>
      <c r="I18" s="493">
        <v>45925</v>
      </c>
      <c r="J18" s="499">
        <v>140000</v>
      </c>
      <c r="K18" s="390" t="s">
        <v>1133</v>
      </c>
      <c r="L18" s="390"/>
      <c r="M18" s="390"/>
    </row>
    <row r="19" spans="1:13" ht="19.5" customHeight="1" x14ac:dyDescent="0.25">
      <c r="A19" s="516">
        <v>10</v>
      </c>
      <c r="B19" s="479">
        <v>4054710000</v>
      </c>
      <c r="C19" s="15" t="s">
        <v>26</v>
      </c>
      <c r="D19" s="479" t="s">
        <v>1136</v>
      </c>
      <c r="E19" s="15" t="s">
        <v>17</v>
      </c>
      <c r="F19" s="15" t="s">
        <v>1137</v>
      </c>
      <c r="G19" s="15" t="str">
        <f t="shared" si="0"/>
        <v>Rétirétardivement-30000FCFAamende</v>
      </c>
      <c r="H19" s="275" t="s">
        <v>1011</v>
      </c>
      <c r="I19" s="493">
        <v>45925</v>
      </c>
      <c r="J19" s="499">
        <v>180000</v>
      </c>
      <c r="K19" s="390" t="s">
        <v>1133</v>
      </c>
      <c r="L19" s="390"/>
      <c r="M19" s="390"/>
    </row>
    <row r="20" spans="1:13" ht="19.5" customHeight="1" x14ac:dyDescent="0.25">
      <c r="A20" s="516">
        <v>16</v>
      </c>
      <c r="B20" s="479">
        <v>4054720830</v>
      </c>
      <c r="C20" s="15" t="s">
        <v>458</v>
      </c>
      <c r="D20" s="479" t="s">
        <v>1138</v>
      </c>
      <c r="E20" s="15" t="s">
        <v>17</v>
      </c>
      <c r="F20" s="15" t="s">
        <v>1070</v>
      </c>
      <c r="G20" s="15" t="str">
        <f t="shared" si="0"/>
        <v>Rétirétardivement-30000FCFAamende</v>
      </c>
      <c r="H20" s="275" t="s">
        <v>995</v>
      </c>
      <c r="I20" s="493">
        <v>45915</v>
      </c>
      <c r="J20" s="499">
        <v>0</v>
      </c>
      <c r="K20" s="390"/>
      <c r="L20" s="390"/>
      <c r="M20" s="390"/>
    </row>
  </sheetData>
  <autoFilter ref="A4:M20" xr:uid="{D559034C-E1A8-4788-A336-55187472940D}">
    <filterColumn colId="12" showButton="0"/>
    <sortState xmlns:xlrd2="http://schemas.microsoft.com/office/spreadsheetml/2017/richdata2" ref="A5:M20">
      <sortCondition ref="G4:G20"/>
    </sortState>
  </autoFilter>
  <mergeCells count="2">
    <mergeCell ref="G1:I1"/>
    <mergeCell ref="A2:B2"/>
  </mergeCells>
  <conditionalFormatting sqref="B21:B23 B25:B1048576 B1:B3">
    <cfRule type="duplicateValues" dxfId="1341" priority="1974"/>
  </conditionalFormatting>
  <conditionalFormatting sqref="B21:B23 B25:B1048576 B1:B4">
    <cfRule type="duplicateValues" dxfId="1340" priority="1978"/>
  </conditionalFormatting>
  <conditionalFormatting sqref="B21:B23 B25:B1048576">
    <cfRule type="duplicateValues" dxfId="1339" priority="1982"/>
  </conditionalFormatting>
  <conditionalFormatting sqref="B25:B1048576 B1:B23">
    <cfRule type="duplicateValues" dxfId="1338" priority="1"/>
  </conditionalFormatting>
  <conditionalFormatting sqref="E5:M16 A5:A20 C5:C20 I16:I20 H17 J17:M17 E17:G20 H18:M20">
    <cfRule type="containsText" dxfId="1337" priority="2" operator="containsText" text="En Attente d'un Retrait Tardif">
      <formula>NOT(ISERROR(SEARCH("En Attente d'un Retrait Tardif",A5)))</formula>
    </cfRule>
    <cfRule type="containsText" dxfId="1336" priority="3" operator="containsText" text="Rétiré dans les délais">
      <formula>NOT(ISERROR(SEARCH("Rétiré dans les délais",A5)))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7B3A-5DCD-4737-B6E5-EDAEB8D608CE}">
  <sheetPr codeName="Feuil107">
    <tabColor rgb="FFFFFF00"/>
  </sheetPr>
  <dimension ref="A1:FB151"/>
  <sheetViews>
    <sheetView zoomScaleNormal="100" workbookViewId="0">
      <selection activeCell="J25" sqref="J25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6.42578125" style="105" customWidth="1"/>
    <col min="4" max="4" width="36.5703125" customWidth="1"/>
    <col min="5" max="5" width="13.140625" customWidth="1"/>
    <col min="6" max="6" width="14.140625" customWidth="1"/>
    <col min="7" max="7" width="38.7109375" customWidth="1"/>
    <col min="8" max="8" width="24.140625" style="208" customWidth="1"/>
    <col min="9" max="9" width="19.28515625" customWidth="1"/>
    <col min="10" max="10" width="24.7109375" style="60" customWidth="1"/>
    <col min="11" max="11" width="22" customWidth="1"/>
    <col min="13" max="13" width="27.28515625" customWidth="1"/>
  </cols>
  <sheetData>
    <row r="1" spans="1:158" ht="19.5" thickBot="1" x14ac:dyDescent="0.35">
      <c r="A1" s="348" t="s">
        <v>1139</v>
      </c>
      <c r="B1" s="431"/>
      <c r="C1" s="431"/>
      <c r="D1" s="288"/>
      <c r="E1" s="288"/>
      <c r="F1" s="288"/>
      <c r="G1" s="729"/>
      <c r="H1" s="729"/>
      <c r="I1" s="729"/>
      <c r="K1" s="208"/>
      <c r="L1" s="208"/>
    </row>
    <row r="2" spans="1:158" ht="24" thickBot="1" x14ac:dyDescent="0.3">
      <c r="A2" s="730" t="s">
        <v>0</v>
      </c>
      <c r="B2" s="730"/>
      <c r="C2" s="24"/>
      <c r="D2" s="25"/>
      <c r="E2" s="358">
        <f ca="1">I2-G2</f>
        <v>216</v>
      </c>
      <c r="F2" s="25"/>
      <c r="G2" s="314">
        <v>45880</v>
      </c>
      <c r="H2" s="365">
        <f ca="1">I2-G2</f>
        <v>216</v>
      </c>
      <c r="I2" s="315">
        <f ca="1">TODAY()</f>
        <v>46096</v>
      </c>
      <c r="J2" s="340" t="s">
        <v>1129</v>
      </c>
      <c r="K2" s="340"/>
      <c r="L2" s="208"/>
    </row>
    <row r="3" spans="1:158" ht="15.75" thickBot="1" x14ac:dyDescent="0.3">
      <c r="D3" s="292"/>
      <c r="E3" s="292"/>
      <c r="F3" s="292"/>
      <c r="G3" s="105"/>
      <c r="H3" s="105"/>
      <c r="I3" s="208"/>
      <c r="K3" s="208"/>
      <c r="L3" s="208"/>
    </row>
    <row r="4" spans="1:158" ht="15.75" thickBot="1" x14ac:dyDescent="0.3">
      <c r="A4" s="567" t="s">
        <v>1</v>
      </c>
      <c r="B4" s="568" t="s">
        <v>2</v>
      </c>
      <c r="C4" s="568" t="s">
        <v>3</v>
      </c>
      <c r="D4" s="568" t="s">
        <v>5</v>
      </c>
      <c r="E4" s="568" t="s">
        <v>1065</v>
      </c>
      <c r="F4" s="569" t="s">
        <v>1066</v>
      </c>
      <c r="G4" s="570" t="s">
        <v>1067</v>
      </c>
      <c r="H4" s="568" t="s">
        <v>167</v>
      </c>
      <c r="I4" s="568" t="s">
        <v>1068</v>
      </c>
      <c r="J4" s="568" t="s">
        <v>8</v>
      </c>
      <c r="K4" s="568" t="s">
        <v>9</v>
      </c>
      <c r="L4" s="568" t="s">
        <v>10</v>
      </c>
      <c r="M4" s="569" t="s">
        <v>11</v>
      </c>
    </row>
    <row r="5" spans="1:158" s="558" customFormat="1" ht="20.25" customHeight="1" x14ac:dyDescent="0.25">
      <c r="A5" s="516">
        <v>17</v>
      </c>
      <c r="B5" s="581">
        <v>4054717430</v>
      </c>
      <c r="C5" s="398" t="s">
        <v>26</v>
      </c>
      <c r="D5" s="571" t="s">
        <v>1140</v>
      </c>
      <c r="E5" s="275" t="s">
        <v>17</v>
      </c>
      <c r="F5" s="573" t="s">
        <v>1070</v>
      </c>
      <c r="G5" s="15" t="str">
        <f t="shared" ref="G5:G25" ca="1" si="0">IF(I5="",IF($E$2&lt;=15,"EnattentedeRetrait","EnAttented'unRetraitTardif"),IF(I5-$G$2&lt;=15,"Rétirédanslesdélais",IF(I5-$G$2&gt;15,"Rétirétardivement-30000FCFAamende")))</f>
        <v>EnAttented'unRetraitTardif</v>
      </c>
      <c r="H5" s="275"/>
      <c r="I5" s="493"/>
      <c r="J5" s="574">
        <v>0</v>
      </c>
      <c r="K5" s="420"/>
      <c r="L5" s="390"/>
      <c r="M5" s="390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</row>
    <row r="6" spans="1:158" s="346" customFormat="1" ht="20.25" customHeight="1" x14ac:dyDescent="0.25">
      <c r="A6" s="516">
        <v>1</v>
      </c>
      <c r="B6" s="581">
        <v>4054738010</v>
      </c>
      <c r="C6" s="398" t="s">
        <v>24</v>
      </c>
      <c r="D6" s="571" t="s">
        <v>1141</v>
      </c>
      <c r="E6" s="275" t="s">
        <v>17</v>
      </c>
      <c r="F6" s="275" t="s">
        <v>1097</v>
      </c>
      <c r="G6" s="15" t="str">
        <f t="shared" ca="1" si="0"/>
        <v>EnAttented'unRetraitTardif</v>
      </c>
      <c r="H6" s="275"/>
      <c r="I6" s="493"/>
      <c r="J6" s="574">
        <v>0</v>
      </c>
      <c r="K6" s="390"/>
      <c r="L6" s="390"/>
      <c r="M6" s="390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</row>
    <row r="7" spans="1:158" ht="20.25" customHeight="1" x14ac:dyDescent="0.25">
      <c r="A7" s="516">
        <v>3</v>
      </c>
      <c r="B7" s="581">
        <v>4054700780</v>
      </c>
      <c r="C7" s="398" t="s">
        <v>26</v>
      </c>
      <c r="D7" s="571" t="s">
        <v>1124</v>
      </c>
      <c r="E7" s="275" t="s">
        <v>17</v>
      </c>
      <c r="F7" s="275" t="s">
        <v>1097</v>
      </c>
      <c r="G7" s="15" t="str">
        <f t="shared" si="0"/>
        <v>Rétirédanslesdélais</v>
      </c>
      <c r="H7" s="339" t="s">
        <v>987</v>
      </c>
      <c r="I7" s="493">
        <v>45888</v>
      </c>
      <c r="J7" s="574">
        <v>0</v>
      </c>
      <c r="K7" s="390"/>
      <c r="L7" s="390"/>
      <c r="M7" s="390" t="s">
        <v>1142</v>
      </c>
    </row>
    <row r="8" spans="1:158" ht="20.25" customHeight="1" x14ac:dyDescent="0.25">
      <c r="A8" s="516">
        <v>8</v>
      </c>
      <c r="B8" s="590">
        <v>4054711700</v>
      </c>
      <c r="C8" s="398" t="s">
        <v>26</v>
      </c>
      <c r="D8" s="571" t="s">
        <v>1122</v>
      </c>
      <c r="E8" s="275" t="s">
        <v>17</v>
      </c>
      <c r="F8" s="573" t="s">
        <v>1070</v>
      </c>
      <c r="G8" s="15" t="str">
        <f t="shared" si="0"/>
        <v>Rétirédanslesdélais</v>
      </c>
      <c r="H8" s="275" t="s">
        <v>1002</v>
      </c>
      <c r="I8" s="493">
        <v>45883</v>
      </c>
      <c r="J8" s="574">
        <v>0</v>
      </c>
      <c r="K8" s="390"/>
      <c r="L8" s="390"/>
      <c r="M8" s="390"/>
    </row>
    <row r="9" spans="1:158" ht="20.25" customHeight="1" x14ac:dyDescent="0.25">
      <c r="A9" s="516">
        <v>21</v>
      </c>
      <c r="B9" s="590">
        <v>4054711720</v>
      </c>
      <c r="C9" s="398" t="s">
        <v>26</v>
      </c>
      <c r="D9" s="571" t="s">
        <v>1105</v>
      </c>
      <c r="E9" s="275" t="s">
        <v>17</v>
      </c>
      <c r="F9" s="275" t="s">
        <v>1097</v>
      </c>
      <c r="G9" s="15" t="str">
        <f t="shared" si="0"/>
        <v>Rétirédanslesdélais</v>
      </c>
      <c r="H9" s="275" t="s">
        <v>1003</v>
      </c>
      <c r="I9" s="493">
        <v>45883</v>
      </c>
      <c r="J9" s="574">
        <v>0</v>
      </c>
      <c r="K9" s="373"/>
      <c r="L9" s="373"/>
      <c r="M9" s="373"/>
    </row>
    <row r="10" spans="1:158" ht="20.25" customHeight="1" x14ac:dyDescent="0.25">
      <c r="A10" s="516">
        <v>9</v>
      </c>
      <c r="B10" s="590">
        <v>4054711730</v>
      </c>
      <c r="C10" s="398" t="s">
        <v>26</v>
      </c>
      <c r="D10" s="571" t="s">
        <v>1122</v>
      </c>
      <c r="E10" s="275" t="s">
        <v>17</v>
      </c>
      <c r="F10" s="573" t="s">
        <v>1070</v>
      </c>
      <c r="G10" s="15" t="str">
        <f t="shared" si="0"/>
        <v>Rétirédanslesdélais</v>
      </c>
      <c r="H10" s="275" t="s">
        <v>1004</v>
      </c>
      <c r="I10" s="493">
        <v>45883</v>
      </c>
      <c r="J10" s="574">
        <v>0</v>
      </c>
      <c r="K10" s="390"/>
      <c r="L10" s="390"/>
      <c r="M10" s="390"/>
    </row>
    <row r="11" spans="1:158" ht="20.25" customHeight="1" x14ac:dyDescent="0.25">
      <c r="A11" s="516">
        <v>10</v>
      </c>
      <c r="B11" s="572">
        <v>2309893780</v>
      </c>
      <c r="C11" s="398" t="s">
        <v>26</v>
      </c>
      <c r="D11" s="571" t="s">
        <v>1118</v>
      </c>
      <c r="E11" s="275" t="s">
        <v>1143</v>
      </c>
      <c r="F11" s="573" t="s">
        <v>1070</v>
      </c>
      <c r="G11" s="15" t="str">
        <f t="shared" si="0"/>
        <v>Rétirédanslesdélais</v>
      </c>
      <c r="H11" s="275" t="s">
        <v>916</v>
      </c>
      <c r="I11" s="493">
        <v>45882</v>
      </c>
      <c r="J11" s="574">
        <v>0</v>
      </c>
      <c r="K11" s="390"/>
      <c r="L11" s="390"/>
      <c r="M11" s="390"/>
    </row>
    <row r="12" spans="1:158" ht="20.25" customHeight="1" x14ac:dyDescent="0.25">
      <c r="A12" s="516">
        <v>11</v>
      </c>
      <c r="B12" s="572">
        <v>2309911270</v>
      </c>
      <c r="C12" s="398" t="s">
        <v>26</v>
      </c>
      <c r="D12" s="571" t="s">
        <v>1118</v>
      </c>
      <c r="E12" s="275" t="s">
        <v>1143</v>
      </c>
      <c r="F12" s="573" t="s">
        <v>1070</v>
      </c>
      <c r="G12" s="15" t="str">
        <f t="shared" si="0"/>
        <v>Rétirédanslesdélais</v>
      </c>
      <c r="H12" s="275" t="s">
        <v>917</v>
      </c>
      <c r="I12" s="493">
        <v>45882</v>
      </c>
      <c r="J12" s="574">
        <v>0</v>
      </c>
      <c r="K12" s="390"/>
      <c r="L12" s="390"/>
      <c r="M12" s="390"/>
    </row>
    <row r="13" spans="1:158" ht="20.25" customHeight="1" x14ac:dyDescent="0.25">
      <c r="A13" s="516">
        <v>19</v>
      </c>
      <c r="B13" s="572">
        <v>4054666330</v>
      </c>
      <c r="C13" s="398" t="s">
        <v>26</v>
      </c>
      <c r="D13" s="571" t="s">
        <v>1144</v>
      </c>
      <c r="E13" s="275" t="s">
        <v>17</v>
      </c>
      <c r="F13" s="573" t="s">
        <v>1070</v>
      </c>
      <c r="G13" s="15" t="str">
        <f t="shared" si="0"/>
        <v>Rétirédanslesdélais</v>
      </c>
      <c r="H13" s="275" t="s">
        <v>935</v>
      </c>
      <c r="I13" s="493">
        <v>45882</v>
      </c>
      <c r="J13" s="589" t="s">
        <v>1145</v>
      </c>
      <c r="K13" s="420"/>
      <c r="L13" s="390"/>
      <c r="M13" s="390"/>
    </row>
    <row r="14" spans="1:158" ht="20.25" customHeight="1" x14ac:dyDescent="0.25">
      <c r="A14" s="516">
        <v>14</v>
      </c>
      <c r="B14" s="572">
        <v>4054703550</v>
      </c>
      <c r="C14" s="398" t="s">
        <v>26</v>
      </c>
      <c r="D14" s="571" t="s">
        <v>1146</v>
      </c>
      <c r="E14" s="275" t="s">
        <v>17</v>
      </c>
      <c r="F14" s="275" t="s">
        <v>1097</v>
      </c>
      <c r="G14" s="15" t="str">
        <f t="shared" si="0"/>
        <v>Rétirédanslesdélais</v>
      </c>
      <c r="H14" s="275" t="s">
        <v>938</v>
      </c>
      <c r="I14" s="493">
        <v>45888</v>
      </c>
      <c r="J14" s="574">
        <v>0</v>
      </c>
      <c r="K14" s="323" t="s">
        <v>1147</v>
      </c>
      <c r="L14" s="390"/>
      <c r="M14" s="390"/>
    </row>
    <row r="15" spans="1:158" ht="20.25" customHeight="1" x14ac:dyDescent="0.25">
      <c r="A15" s="516">
        <v>18</v>
      </c>
      <c r="B15" s="572">
        <v>4054723160</v>
      </c>
      <c r="C15" s="398" t="s">
        <v>26</v>
      </c>
      <c r="D15" s="571" t="s">
        <v>1148</v>
      </c>
      <c r="E15" s="275" t="s">
        <v>17</v>
      </c>
      <c r="F15" s="275" t="s">
        <v>1097</v>
      </c>
      <c r="G15" s="15" t="str">
        <f t="shared" si="0"/>
        <v>Rétirédanslesdélais</v>
      </c>
      <c r="H15" s="275" t="s">
        <v>949</v>
      </c>
      <c r="I15" s="493">
        <v>45890</v>
      </c>
      <c r="J15" s="574">
        <v>0</v>
      </c>
      <c r="K15" s="420" t="s">
        <v>1149</v>
      </c>
      <c r="L15" s="390"/>
      <c r="M15" s="586" t="s">
        <v>1150</v>
      </c>
    </row>
    <row r="16" spans="1:158" ht="20.25" customHeight="1" x14ac:dyDescent="0.25">
      <c r="A16" s="516">
        <v>5</v>
      </c>
      <c r="B16" s="572">
        <v>4054725220</v>
      </c>
      <c r="C16" s="398" t="s">
        <v>26</v>
      </c>
      <c r="D16" s="571" t="s">
        <v>1124</v>
      </c>
      <c r="E16" s="275" t="s">
        <v>17</v>
      </c>
      <c r="F16" s="573" t="s">
        <v>1070</v>
      </c>
      <c r="G16" s="15" t="str">
        <f t="shared" si="0"/>
        <v>Rétirédanslesdélais</v>
      </c>
      <c r="H16" s="275" t="s">
        <v>914</v>
      </c>
      <c r="I16" s="493">
        <v>45882</v>
      </c>
      <c r="J16" s="574">
        <v>0</v>
      </c>
      <c r="K16" s="420" t="s">
        <v>1149</v>
      </c>
      <c r="L16" s="390"/>
      <c r="M16" s="390" t="s">
        <v>1142</v>
      </c>
    </row>
    <row r="17" spans="1:13" ht="20.25" customHeight="1" x14ac:dyDescent="0.25">
      <c r="A17" s="516">
        <v>16</v>
      </c>
      <c r="B17" s="572">
        <v>4054726890</v>
      </c>
      <c r="C17" s="398" t="s">
        <v>26</v>
      </c>
      <c r="D17" s="571" t="s">
        <v>1151</v>
      </c>
      <c r="E17" s="275" t="s">
        <v>17</v>
      </c>
      <c r="F17" s="573" t="s">
        <v>1070</v>
      </c>
      <c r="G17" s="15" t="str">
        <f t="shared" si="0"/>
        <v>Rétirédanslesdélais</v>
      </c>
      <c r="H17" s="275" t="s">
        <v>912</v>
      </c>
      <c r="I17" s="493">
        <v>45882</v>
      </c>
      <c r="J17" s="574">
        <v>0</v>
      </c>
      <c r="K17" s="390"/>
      <c r="L17" s="390"/>
      <c r="M17" s="390"/>
    </row>
    <row r="18" spans="1:13" ht="20.25" customHeight="1" x14ac:dyDescent="0.25">
      <c r="A18" s="516">
        <v>15</v>
      </c>
      <c r="B18" s="572">
        <v>4054732200</v>
      </c>
      <c r="C18" s="398" t="s">
        <v>26</v>
      </c>
      <c r="D18" s="571" t="s">
        <v>14</v>
      </c>
      <c r="E18" s="275" t="s">
        <v>17</v>
      </c>
      <c r="F18" s="573" t="s">
        <v>1070</v>
      </c>
      <c r="G18" s="15" t="str">
        <f t="shared" si="0"/>
        <v>Rétirédanslesdélais</v>
      </c>
      <c r="H18" s="275" t="s">
        <v>911</v>
      </c>
      <c r="I18" s="493">
        <v>45882</v>
      </c>
      <c r="J18" s="574">
        <v>0</v>
      </c>
      <c r="K18" s="390"/>
      <c r="L18" s="390"/>
      <c r="M18" s="390"/>
    </row>
    <row r="19" spans="1:13" ht="20.25" customHeight="1" x14ac:dyDescent="0.25">
      <c r="A19" s="516">
        <v>6</v>
      </c>
      <c r="B19" s="572">
        <v>4054737950</v>
      </c>
      <c r="C19" s="398" t="s">
        <v>26</v>
      </c>
      <c r="D19" s="571" t="s">
        <v>1124</v>
      </c>
      <c r="E19" s="275" t="s">
        <v>17</v>
      </c>
      <c r="F19" s="573" t="s">
        <v>1070</v>
      </c>
      <c r="G19" s="15" t="str">
        <f t="shared" si="0"/>
        <v>Rétirédanslesdélais</v>
      </c>
      <c r="H19" s="275" t="s">
        <v>915</v>
      </c>
      <c r="I19" s="493">
        <v>45882</v>
      </c>
      <c r="J19" s="574">
        <v>0</v>
      </c>
      <c r="K19" s="420" t="s">
        <v>1149</v>
      </c>
      <c r="L19" s="390"/>
      <c r="M19" s="390" t="s">
        <v>1142</v>
      </c>
    </row>
    <row r="20" spans="1:13" ht="20.25" customHeight="1" x14ac:dyDescent="0.25">
      <c r="A20" s="516">
        <v>13</v>
      </c>
      <c r="B20" s="572">
        <v>4054690551</v>
      </c>
      <c r="C20" s="398" t="s">
        <v>26</v>
      </c>
      <c r="D20" s="571" t="s">
        <v>1152</v>
      </c>
      <c r="E20" s="362" t="s">
        <v>259</v>
      </c>
      <c r="F20" s="573" t="s">
        <v>1070</v>
      </c>
      <c r="G20" s="15" t="str">
        <f t="shared" si="0"/>
        <v>Rétirédanslesdélais</v>
      </c>
      <c r="H20" s="275" t="s">
        <v>961</v>
      </c>
      <c r="I20" s="493">
        <v>45894</v>
      </c>
      <c r="J20" s="574">
        <v>0</v>
      </c>
      <c r="K20" s="390"/>
      <c r="L20" s="390"/>
      <c r="M20" s="390"/>
    </row>
    <row r="21" spans="1:13" ht="20.25" customHeight="1" x14ac:dyDescent="0.25">
      <c r="A21" s="516">
        <v>20</v>
      </c>
      <c r="B21" s="572">
        <v>4054737990</v>
      </c>
      <c r="C21" s="398" t="s">
        <v>26</v>
      </c>
      <c r="D21" s="571" t="s">
        <v>1153</v>
      </c>
      <c r="E21" s="275" t="s">
        <v>17</v>
      </c>
      <c r="F21" s="275" t="s">
        <v>1097</v>
      </c>
      <c r="G21" s="15" t="str">
        <f t="shared" si="0"/>
        <v>Rétirédanslesdélais</v>
      </c>
      <c r="H21" s="275" t="s">
        <v>962</v>
      </c>
      <c r="I21" s="493">
        <v>45895</v>
      </c>
      <c r="J21" s="574">
        <v>0</v>
      </c>
      <c r="K21" s="390"/>
      <c r="L21" s="390"/>
      <c r="M21" s="390"/>
    </row>
    <row r="22" spans="1:13" ht="20.25" customHeight="1" x14ac:dyDescent="0.25">
      <c r="A22" s="516">
        <v>2</v>
      </c>
      <c r="B22" s="572">
        <v>4054738100</v>
      </c>
      <c r="C22" s="398" t="s">
        <v>24</v>
      </c>
      <c r="D22" s="571" t="s">
        <v>1076</v>
      </c>
      <c r="E22" s="275" t="s">
        <v>1154</v>
      </c>
      <c r="F22" s="275" t="s">
        <v>1097</v>
      </c>
      <c r="G22" s="15" t="str">
        <f t="shared" si="0"/>
        <v>Rétirédanslesdélais</v>
      </c>
      <c r="H22" s="275" t="s">
        <v>960</v>
      </c>
      <c r="I22" s="493">
        <v>45894</v>
      </c>
      <c r="J22" s="574">
        <v>0</v>
      </c>
      <c r="K22" s="390"/>
      <c r="L22" s="390"/>
      <c r="M22" s="586" t="s">
        <v>1155</v>
      </c>
    </row>
    <row r="23" spans="1:13" ht="20.25" customHeight="1" x14ac:dyDescent="0.25">
      <c r="A23" s="516">
        <v>4</v>
      </c>
      <c r="B23" s="572">
        <v>4054738070</v>
      </c>
      <c r="C23" s="398" t="s">
        <v>26</v>
      </c>
      <c r="D23" s="571" t="s">
        <v>1124</v>
      </c>
      <c r="E23" s="275" t="s">
        <v>17</v>
      </c>
      <c r="F23" s="275" t="s">
        <v>1097</v>
      </c>
      <c r="G23" s="545" t="str">
        <f t="shared" si="0"/>
        <v>Rétirétardivement-30000FCFAamende</v>
      </c>
      <c r="H23" s="275" t="s">
        <v>980</v>
      </c>
      <c r="I23" s="493">
        <v>45909</v>
      </c>
      <c r="J23" s="574">
        <v>0</v>
      </c>
      <c r="K23" s="420" t="s">
        <v>1149</v>
      </c>
      <c r="L23" s="390"/>
      <c r="M23" s="390" t="s">
        <v>1142</v>
      </c>
    </row>
    <row r="24" spans="1:13" ht="20.25" customHeight="1" x14ac:dyDescent="0.25">
      <c r="A24" s="516">
        <v>7</v>
      </c>
      <c r="B24" s="572">
        <v>4054740210</v>
      </c>
      <c r="C24" s="398" t="s">
        <v>26</v>
      </c>
      <c r="D24" s="571" t="s">
        <v>1124</v>
      </c>
      <c r="E24" s="275" t="s">
        <v>17</v>
      </c>
      <c r="F24" s="275" t="s">
        <v>1097</v>
      </c>
      <c r="G24" s="15" t="str">
        <f t="shared" si="0"/>
        <v>Rétirétardivement-30000FCFAamende</v>
      </c>
      <c r="H24" s="275" t="s">
        <v>990</v>
      </c>
      <c r="I24" s="493">
        <v>45911</v>
      </c>
      <c r="J24" s="574">
        <v>0</v>
      </c>
      <c r="K24" s="420" t="s">
        <v>1149</v>
      </c>
      <c r="L24" s="390"/>
      <c r="M24" s="390" t="s">
        <v>1142</v>
      </c>
    </row>
    <row r="25" spans="1:13" ht="20.25" customHeight="1" x14ac:dyDescent="0.25">
      <c r="A25" s="516">
        <v>12</v>
      </c>
      <c r="B25" s="572">
        <v>2308858750</v>
      </c>
      <c r="C25" s="398" t="s">
        <v>26</v>
      </c>
      <c r="D25" s="571" t="s">
        <v>1118</v>
      </c>
      <c r="E25" s="275" t="s">
        <v>17</v>
      </c>
      <c r="F25" s="275" t="s">
        <v>1097</v>
      </c>
      <c r="G25" s="15" t="str">
        <f t="shared" si="0"/>
        <v>Rétirétardivement-30000FCFAamende</v>
      </c>
      <c r="H25" s="275" t="s">
        <v>969</v>
      </c>
      <c r="I25" s="493">
        <v>45898</v>
      </c>
      <c r="J25" s="589" t="s">
        <v>1156</v>
      </c>
      <c r="K25" s="420"/>
      <c r="L25" s="566"/>
      <c r="M25" s="390"/>
    </row>
    <row r="26" spans="1:13" x14ac:dyDescent="0.25">
      <c r="B26"/>
    </row>
    <row r="27" spans="1:13" x14ac:dyDescent="0.25">
      <c r="B27"/>
    </row>
    <row r="28" spans="1:13" x14ac:dyDescent="0.25">
      <c r="B28"/>
    </row>
    <row r="29" spans="1:13" x14ac:dyDescent="0.25">
      <c r="B29" s="229"/>
    </row>
    <row r="30" spans="1:13" x14ac:dyDescent="0.25">
      <c r="B30" s="229"/>
    </row>
    <row r="31" spans="1:13" x14ac:dyDescent="0.25">
      <c r="B31" s="229"/>
    </row>
    <row r="32" spans="1:13" x14ac:dyDescent="0.25">
      <c r="B32" s="229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</sheetData>
  <autoFilter ref="A4:M25" xr:uid="{D559034C-E1A8-4788-A336-55187472940D}">
    <filterColumn colId="12" showButton="0"/>
  </autoFilter>
  <mergeCells count="2">
    <mergeCell ref="G1:I1"/>
    <mergeCell ref="A2:B2"/>
  </mergeCells>
  <conditionalFormatting sqref="B1:B1048576">
    <cfRule type="duplicateValues" dxfId="1335" priority="2"/>
  </conditionalFormatting>
  <conditionalFormatting sqref="B28 B55:B1048576 B1:B26">
    <cfRule type="duplicateValues" dxfId="1334" priority="7"/>
  </conditionalFormatting>
  <conditionalFormatting sqref="B55:B1048576 B1:B28">
    <cfRule type="duplicateValues" dxfId="1333" priority="3"/>
  </conditionalFormatting>
  <conditionalFormatting sqref="B152:B1048576 B1:B3">
    <cfRule type="duplicateValues" dxfId="1332" priority="30"/>
  </conditionalFormatting>
  <conditionalFormatting sqref="B152:B1048576 B1:B4">
    <cfRule type="duplicateValues" dxfId="1331" priority="23"/>
  </conditionalFormatting>
  <conditionalFormatting sqref="B152:B1048576 B1:B25">
    <cfRule type="duplicateValues" dxfId="1330" priority="21"/>
  </conditionalFormatting>
  <conditionalFormatting sqref="B152:B1048576">
    <cfRule type="duplicateValues" dxfId="1329" priority="24"/>
    <cfRule type="duplicateValues" dxfId="1328" priority="27"/>
    <cfRule type="duplicateValues" dxfId="1327" priority="32"/>
  </conditionalFormatting>
  <conditionalFormatting sqref="E5:M24 A5:A25 J5:J25 E25:G25">
    <cfRule type="containsText" dxfId="1326" priority="28" operator="containsText" text="En Attente d'un Retrait Tardif">
      <formula>NOT(ISERROR(SEARCH("En Attente d'un Retrait Tardif",A5)))</formula>
    </cfRule>
    <cfRule type="containsText" dxfId="1325" priority="29" operator="containsText" text="Rétiré dans les délais">
      <formula>NOT(ISERROR(SEARCH("Rétiré dans les délais",A5)))</formula>
    </cfRule>
  </conditionalFormatting>
  <conditionalFormatting sqref="H1:H1048576">
    <cfRule type="duplicateValues" dxfId="1324" priority="22"/>
  </conditionalFormatting>
  <conditionalFormatting sqref="K18">
    <cfRule type="duplicateValues" dxfId="1323" priority="1"/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85F8-E0DD-4F6A-85FC-EA198697395B}">
  <sheetPr codeName="Feuil109">
    <tabColor rgb="FFFFFF00"/>
  </sheetPr>
  <dimension ref="A1:FB87"/>
  <sheetViews>
    <sheetView topLeftCell="A31" zoomScaleNormal="100" workbookViewId="0">
      <selection activeCell="J47" sqref="J47"/>
    </sheetView>
  </sheetViews>
  <sheetFormatPr baseColWidth="10" defaultRowHeight="15" x14ac:dyDescent="0.25"/>
  <cols>
    <col min="1" max="1" width="7.42578125" customWidth="1"/>
    <col min="2" max="2" width="20.5703125" style="105" customWidth="1"/>
    <col min="3" max="3" width="16.42578125" style="105" customWidth="1"/>
    <col min="4" max="4" width="56.28515625" customWidth="1"/>
    <col min="5" max="5" width="13.140625" customWidth="1"/>
    <col min="6" max="6" width="14.140625" customWidth="1"/>
    <col min="7" max="7" width="41.7109375" customWidth="1"/>
    <col min="8" max="8" width="24.140625" style="208" customWidth="1"/>
    <col min="9" max="9" width="19.28515625" customWidth="1"/>
    <col min="10" max="10" width="18.5703125" style="105" customWidth="1"/>
    <col min="13" max="13" width="27.28515625" customWidth="1"/>
  </cols>
  <sheetData>
    <row r="1" spans="1:158" ht="19.5" thickBot="1" x14ac:dyDescent="0.35">
      <c r="A1" s="348" t="s">
        <v>1162</v>
      </c>
      <c r="B1" s="431"/>
      <c r="C1" s="578"/>
      <c r="D1" s="288"/>
      <c r="E1" s="288"/>
      <c r="F1" s="288"/>
      <c r="G1" s="729"/>
      <c r="H1" s="729"/>
      <c r="I1" s="729"/>
      <c r="K1" s="208"/>
      <c r="L1" s="208"/>
    </row>
    <row r="2" spans="1:158" ht="24" thickBot="1" x14ac:dyDescent="0.3">
      <c r="A2" s="730" t="s">
        <v>0</v>
      </c>
      <c r="B2" s="730"/>
      <c r="C2" s="24"/>
      <c r="D2" s="25"/>
      <c r="E2" s="358">
        <f ca="1">I2-G2</f>
        <v>230</v>
      </c>
      <c r="F2" s="25"/>
      <c r="G2" s="314">
        <v>45866</v>
      </c>
      <c r="H2" s="365">
        <f ca="1">I2-G2</f>
        <v>230</v>
      </c>
      <c r="I2" s="315">
        <f ca="1">TODAY()</f>
        <v>46096</v>
      </c>
      <c r="J2" s="340" t="s">
        <v>1163</v>
      </c>
      <c r="K2" s="340"/>
      <c r="L2" s="208"/>
    </row>
    <row r="3" spans="1:158" x14ac:dyDescent="0.25">
      <c r="D3" s="292"/>
      <c r="E3" s="292"/>
      <c r="F3" s="292"/>
      <c r="G3" s="105"/>
      <c r="H3" s="105"/>
      <c r="I3" s="208"/>
      <c r="K3" s="208"/>
      <c r="L3" s="369"/>
    </row>
    <row r="4" spans="1:158" ht="15.75" thickBot="1" x14ac:dyDescent="0.3">
      <c r="A4" s="481" t="s">
        <v>1</v>
      </c>
      <c r="B4" s="481" t="s">
        <v>2</v>
      </c>
      <c r="C4" s="579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58" s="558" customFormat="1" ht="17.25" customHeight="1" x14ac:dyDescent="0.25">
      <c r="A5" s="516">
        <v>1</v>
      </c>
      <c r="B5" s="545">
        <v>2160477150</v>
      </c>
      <c r="C5" s="266" t="s">
        <v>26</v>
      </c>
      <c r="D5" s="323" t="s">
        <v>53</v>
      </c>
      <c r="E5" s="275" t="s">
        <v>17</v>
      </c>
      <c r="F5" s="275" t="s">
        <v>1097</v>
      </c>
      <c r="G5" s="15" t="str">
        <f t="shared" ref="G5:G36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884</v>
      </c>
      <c r="I5" s="493">
        <v>45870</v>
      </c>
      <c r="J5" s="499">
        <v>0</v>
      </c>
      <c r="K5" s="390"/>
      <c r="L5" s="390"/>
      <c r="M5" s="390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</row>
    <row r="6" spans="1:158" s="346" customFormat="1" ht="17.25" customHeight="1" x14ac:dyDescent="0.25">
      <c r="A6" s="516">
        <v>2</v>
      </c>
      <c r="B6" s="545">
        <v>2309910580</v>
      </c>
      <c r="C6" s="266" t="s">
        <v>26</v>
      </c>
      <c r="D6" s="323" t="s">
        <v>1164</v>
      </c>
      <c r="E6" s="362" t="s">
        <v>17</v>
      </c>
      <c r="F6" s="362" t="s">
        <v>1097</v>
      </c>
      <c r="G6" s="545" t="str">
        <f t="shared" si="0"/>
        <v>Rétirédanslesdélais</v>
      </c>
      <c r="H6" s="275" t="s">
        <v>897</v>
      </c>
      <c r="I6" s="493">
        <v>45874</v>
      </c>
      <c r="J6" s="499">
        <v>0</v>
      </c>
      <c r="K6" s="390"/>
      <c r="L6" s="390"/>
      <c r="M6" s="533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</row>
    <row r="7" spans="1:158" ht="17.25" customHeight="1" x14ac:dyDescent="0.25">
      <c r="A7" s="516">
        <v>3</v>
      </c>
      <c r="B7" s="545">
        <v>2759728100</v>
      </c>
      <c r="C7" s="266" t="s">
        <v>26</v>
      </c>
      <c r="D7" s="323" t="s">
        <v>1165</v>
      </c>
      <c r="E7" s="275" t="s">
        <v>17</v>
      </c>
      <c r="F7" s="275" t="s">
        <v>1097</v>
      </c>
      <c r="G7" s="15" t="str">
        <f t="shared" si="0"/>
        <v>Rétirédanslesdélais</v>
      </c>
      <c r="H7" s="275" t="s">
        <v>896</v>
      </c>
      <c r="I7" s="493">
        <v>45874</v>
      </c>
      <c r="J7" s="574">
        <v>4800000</v>
      </c>
      <c r="K7" s="420" t="s">
        <v>1166</v>
      </c>
      <c r="L7" s="390"/>
      <c r="M7" s="390"/>
    </row>
    <row r="8" spans="1:158" ht="17.25" customHeight="1" x14ac:dyDescent="0.25">
      <c r="A8" s="516">
        <v>4</v>
      </c>
      <c r="B8" s="545">
        <v>4054408921</v>
      </c>
      <c r="C8" s="266" t="s">
        <v>26</v>
      </c>
      <c r="D8" s="323" t="s">
        <v>1167</v>
      </c>
      <c r="E8" s="275" t="s">
        <v>1168</v>
      </c>
      <c r="F8" s="275" t="s">
        <v>17</v>
      </c>
      <c r="G8" s="15" t="str">
        <f t="shared" si="0"/>
        <v>Rétirétardivement-30000FCFAamende</v>
      </c>
      <c r="H8" s="275" t="s">
        <v>968</v>
      </c>
      <c r="I8" s="493">
        <v>45898</v>
      </c>
      <c r="J8" s="588" t="s">
        <v>1169</v>
      </c>
      <c r="K8" s="390"/>
      <c r="L8" s="390"/>
      <c r="M8" s="390"/>
    </row>
    <row r="9" spans="1:158" ht="17.25" customHeight="1" x14ac:dyDescent="0.25">
      <c r="A9" s="516">
        <v>5</v>
      </c>
      <c r="B9" s="545">
        <v>4054611060</v>
      </c>
      <c r="C9" s="266" t="s">
        <v>26</v>
      </c>
      <c r="D9" s="323" t="s">
        <v>53</v>
      </c>
      <c r="E9" s="275" t="s">
        <v>17</v>
      </c>
      <c r="F9" s="275" t="s">
        <v>1097</v>
      </c>
      <c r="G9" s="15" t="str">
        <f t="shared" si="0"/>
        <v>Rétirédanslesdélais</v>
      </c>
      <c r="H9" s="275" t="s">
        <v>908</v>
      </c>
      <c r="I9" s="493">
        <v>45880</v>
      </c>
      <c r="J9" s="499">
        <v>0</v>
      </c>
      <c r="K9" s="390"/>
      <c r="L9" s="390"/>
      <c r="M9" s="390"/>
    </row>
    <row r="10" spans="1:158" ht="17.25" customHeight="1" x14ac:dyDescent="0.25">
      <c r="A10" s="516">
        <v>6</v>
      </c>
      <c r="B10" s="545">
        <v>4054612873</v>
      </c>
      <c r="C10" s="266" t="s">
        <v>26</v>
      </c>
      <c r="D10" s="323" t="s">
        <v>1170</v>
      </c>
      <c r="E10" s="275" t="s">
        <v>17</v>
      </c>
      <c r="F10" s="275" t="s">
        <v>870</v>
      </c>
      <c r="G10" s="15" t="str">
        <f t="shared" si="0"/>
        <v>Rétirétardivement-30000FCFAamende</v>
      </c>
      <c r="H10" s="275" t="s">
        <v>941</v>
      </c>
      <c r="I10" s="493">
        <v>45889</v>
      </c>
      <c r="J10" s="499">
        <v>14000000</v>
      </c>
      <c r="K10" s="390"/>
      <c r="L10" s="390"/>
      <c r="M10" s="390"/>
    </row>
    <row r="11" spans="1:158" ht="17.25" customHeight="1" x14ac:dyDescent="0.25">
      <c r="A11" s="516">
        <v>7</v>
      </c>
      <c r="B11" s="545">
        <v>4054612880</v>
      </c>
      <c r="C11" s="266" t="s">
        <v>26</v>
      </c>
      <c r="D11" s="323" t="s">
        <v>1170</v>
      </c>
      <c r="E11" s="275" t="s">
        <v>17</v>
      </c>
      <c r="F11" s="275" t="s">
        <v>870</v>
      </c>
      <c r="G11" s="15" t="str">
        <f t="shared" si="0"/>
        <v>Rétirétardivement-30000FCFAamende</v>
      </c>
      <c r="H11" s="275" t="s">
        <v>943</v>
      </c>
      <c r="I11" s="493">
        <v>45889</v>
      </c>
      <c r="J11" s="499">
        <v>4800000</v>
      </c>
      <c r="K11" s="390"/>
      <c r="L11" s="390"/>
      <c r="M11" s="390"/>
    </row>
    <row r="12" spans="1:158" ht="17.25" customHeight="1" x14ac:dyDescent="0.25">
      <c r="A12" s="516">
        <v>8</v>
      </c>
      <c r="B12" s="545">
        <v>4054632831</v>
      </c>
      <c r="C12" s="266" t="s">
        <v>26</v>
      </c>
      <c r="D12" s="323" t="s">
        <v>1170</v>
      </c>
      <c r="E12" s="275" t="s">
        <v>17</v>
      </c>
      <c r="F12" s="275" t="s">
        <v>870</v>
      </c>
      <c r="G12" s="15" t="str">
        <f t="shared" si="0"/>
        <v>Rétirétardivement-30000FCFAamende</v>
      </c>
      <c r="H12" s="275" t="s">
        <v>942</v>
      </c>
      <c r="I12" s="493">
        <v>45889</v>
      </c>
      <c r="J12" s="499">
        <v>2440000</v>
      </c>
      <c r="K12" s="390"/>
      <c r="L12" s="390"/>
      <c r="M12" s="390"/>
    </row>
    <row r="13" spans="1:158" ht="17.25" customHeight="1" x14ac:dyDescent="0.25">
      <c r="A13" s="516">
        <v>9</v>
      </c>
      <c r="B13" s="545">
        <v>4054632851</v>
      </c>
      <c r="C13" s="266" t="s">
        <v>26</v>
      </c>
      <c r="D13" s="323" t="s">
        <v>1170</v>
      </c>
      <c r="E13" s="275" t="s">
        <v>17</v>
      </c>
      <c r="F13" s="275" t="s">
        <v>17</v>
      </c>
      <c r="G13" s="15" t="str">
        <f t="shared" si="0"/>
        <v>Rétirétardivement-30000FCFAamende</v>
      </c>
      <c r="H13" s="275" t="s">
        <v>940</v>
      </c>
      <c r="I13" s="493">
        <v>45889</v>
      </c>
      <c r="J13" s="574">
        <v>6880000</v>
      </c>
      <c r="K13" s="390"/>
      <c r="L13" s="390"/>
      <c r="M13" s="390"/>
    </row>
    <row r="14" spans="1:158" ht="17.25" customHeight="1" x14ac:dyDescent="0.25">
      <c r="A14" s="516">
        <v>10</v>
      </c>
      <c r="B14" s="545">
        <v>4054644960</v>
      </c>
      <c r="C14" s="266" t="s">
        <v>26</v>
      </c>
      <c r="D14" s="511" t="s">
        <v>1171</v>
      </c>
      <c r="E14" s="275" t="s">
        <v>1168</v>
      </c>
      <c r="F14" s="275" t="s">
        <v>1097</v>
      </c>
      <c r="G14" s="15" t="str">
        <f t="shared" si="0"/>
        <v>Rétirétardivement-30000FCFAamende</v>
      </c>
      <c r="H14" s="275" t="s">
        <v>946</v>
      </c>
      <c r="I14" s="493">
        <v>45890</v>
      </c>
      <c r="J14" s="574">
        <v>100000</v>
      </c>
      <c r="K14" s="390"/>
      <c r="L14" s="390"/>
      <c r="M14" s="390"/>
    </row>
    <row r="15" spans="1:158" ht="17.25" customHeight="1" x14ac:dyDescent="0.25">
      <c r="A15" s="516">
        <v>11</v>
      </c>
      <c r="B15" s="545">
        <v>4054645693</v>
      </c>
      <c r="C15" s="266" t="s">
        <v>26</v>
      </c>
      <c r="D15" s="323" t="s">
        <v>1172</v>
      </c>
      <c r="E15" s="275" t="s">
        <v>17</v>
      </c>
      <c r="F15" s="275" t="s">
        <v>1097</v>
      </c>
      <c r="G15" s="15" t="str">
        <f t="shared" si="0"/>
        <v>Rétirédanslesdélais</v>
      </c>
      <c r="H15" s="275" t="s">
        <v>902</v>
      </c>
      <c r="I15" s="493">
        <v>45874</v>
      </c>
      <c r="J15" s="574">
        <v>3520000</v>
      </c>
      <c r="K15" s="420" t="s">
        <v>1173</v>
      </c>
      <c r="L15" s="566"/>
      <c r="M15" s="390"/>
    </row>
    <row r="16" spans="1:158" ht="17.25" customHeight="1" x14ac:dyDescent="0.25">
      <c r="A16" s="516">
        <v>12</v>
      </c>
      <c r="B16" s="545">
        <v>4054645841</v>
      </c>
      <c r="C16" s="266" t="s">
        <v>26</v>
      </c>
      <c r="D16" s="323" t="s">
        <v>1170</v>
      </c>
      <c r="E16" s="275" t="s">
        <v>17</v>
      </c>
      <c r="F16" s="275" t="s">
        <v>17</v>
      </c>
      <c r="G16" s="15" t="str">
        <f t="shared" si="0"/>
        <v>Rétirétardivement-30000FCFAamende</v>
      </c>
      <c r="H16" s="275" t="s">
        <v>950</v>
      </c>
      <c r="I16" s="493">
        <v>45890</v>
      </c>
      <c r="J16" s="574">
        <v>4680000</v>
      </c>
      <c r="K16" s="390"/>
      <c r="L16" s="390"/>
      <c r="M16" s="390"/>
    </row>
    <row r="17" spans="1:13" ht="17.25" customHeight="1" x14ac:dyDescent="0.25">
      <c r="A17" s="516">
        <v>13</v>
      </c>
      <c r="B17" s="545">
        <v>4054645851</v>
      </c>
      <c r="C17" s="266" t="s">
        <v>26</v>
      </c>
      <c r="D17" s="323" t="s">
        <v>1170</v>
      </c>
      <c r="E17" s="275" t="s">
        <v>17</v>
      </c>
      <c r="F17" s="275" t="s">
        <v>17</v>
      </c>
      <c r="G17" s="15" t="str">
        <f t="shared" si="0"/>
        <v>Rétirétardivement-30000FCFAamende</v>
      </c>
      <c r="H17" s="275" t="s">
        <v>951</v>
      </c>
      <c r="I17" s="493">
        <v>45890</v>
      </c>
      <c r="J17" s="574">
        <v>960000</v>
      </c>
      <c r="K17" s="390"/>
      <c r="L17" s="390"/>
      <c r="M17" s="390"/>
    </row>
    <row r="18" spans="1:13" ht="17.25" customHeight="1" x14ac:dyDescent="0.25">
      <c r="A18" s="516">
        <v>14</v>
      </c>
      <c r="B18" s="545">
        <v>4054656440</v>
      </c>
      <c r="C18" s="266" t="s">
        <v>26</v>
      </c>
      <c r="D18" s="323" t="s">
        <v>1105</v>
      </c>
      <c r="E18" s="275" t="s">
        <v>17</v>
      </c>
      <c r="F18" s="275" t="s">
        <v>870</v>
      </c>
      <c r="G18" s="15" t="str">
        <f t="shared" si="0"/>
        <v>Rétirédanslesdélais</v>
      </c>
      <c r="H18" s="275" t="s">
        <v>877</v>
      </c>
      <c r="I18" s="493">
        <v>45868</v>
      </c>
      <c r="J18" s="499">
        <v>0</v>
      </c>
      <c r="K18" s="390"/>
      <c r="L18" s="390"/>
      <c r="M18" s="390"/>
    </row>
    <row r="19" spans="1:13" ht="17.25" customHeight="1" x14ac:dyDescent="0.25">
      <c r="A19" s="516">
        <v>15</v>
      </c>
      <c r="B19" s="545">
        <v>4054656520</v>
      </c>
      <c r="C19" s="266" t="s">
        <v>26</v>
      </c>
      <c r="D19" s="323" t="s">
        <v>1105</v>
      </c>
      <c r="E19" s="275" t="s">
        <v>17</v>
      </c>
      <c r="F19" s="275" t="s">
        <v>17</v>
      </c>
      <c r="G19" s="15" t="str">
        <f t="shared" si="0"/>
        <v>Rétirédanslesdélais</v>
      </c>
      <c r="H19" s="275" t="s">
        <v>878</v>
      </c>
      <c r="I19" s="493">
        <v>45868</v>
      </c>
      <c r="J19" s="499">
        <v>0</v>
      </c>
      <c r="K19" s="390"/>
      <c r="L19" s="390"/>
      <c r="M19" s="390"/>
    </row>
    <row r="20" spans="1:13" ht="17.25" customHeight="1" x14ac:dyDescent="0.25">
      <c r="A20" s="516">
        <v>16</v>
      </c>
      <c r="B20" s="545">
        <v>4054656700</v>
      </c>
      <c r="C20" s="266" t="s">
        <v>26</v>
      </c>
      <c r="D20" s="323" t="s">
        <v>1105</v>
      </c>
      <c r="E20" s="275" t="s">
        <v>17</v>
      </c>
      <c r="F20" s="275" t="s">
        <v>17</v>
      </c>
      <c r="G20" s="15" t="str">
        <f t="shared" si="0"/>
        <v>Rétirédanslesdélais</v>
      </c>
      <c r="H20" s="275" t="s">
        <v>904</v>
      </c>
      <c r="I20" s="493">
        <v>45875</v>
      </c>
      <c r="J20" s="574">
        <v>200000</v>
      </c>
      <c r="K20" s="420" t="s">
        <v>1174</v>
      </c>
      <c r="L20" s="390"/>
      <c r="M20" s="390"/>
    </row>
    <row r="21" spans="1:13" ht="17.25" customHeight="1" x14ac:dyDescent="0.25">
      <c r="A21" s="516">
        <v>17</v>
      </c>
      <c r="B21" s="545">
        <v>4054658720</v>
      </c>
      <c r="C21" s="266" t="s">
        <v>26</v>
      </c>
      <c r="D21" s="323" t="s">
        <v>1175</v>
      </c>
      <c r="E21" s="275" t="s">
        <v>17</v>
      </c>
      <c r="F21" s="275" t="s">
        <v>1097</v>
      </c>
      <c r="G21" s="15" t="str">
        <f t="shared" si="0"/>
        <v>Rétirétardivement-30000FCFAamende</v>
      </c>
      <c r="H21" s="275" t="s">
        <v>934</v>
      </c>
      <c r="I21" s="493">
        <v>45882</v>
      </c>
      <c r="J21" s="580" t="s">
        <v>1176</v>
      </c>
      <c r="K21" s="390"/>
      <c r="L21" s="390"/>
      <c r="M21" s="390"/>
    </row>
    <row r="22" spans="1:13" ht="17.25" customHeight="1" x14ac:dyDescent="0.25">
      <c r="A22" s="516">
        <v>18</v>
      </c>
      <c r="B22" s="545">
        <v>4054665411</v>
      </c>
      <c r="C22" s="266" t="s">
        <v>26</v>
      </c>
      <c r="D22" s="323" t="s">
        <v>1172</v>
      </c>
      <c r="E22" s="275" t="s">
        <v>17</v>
      </c>
      <c r="F22" s="275" t="s">
        <v>17</v>
      </c>
      <c r="G22" s="15" t="str">
        <f t="shared" si="0"/>
        <v>Rétirédanslesdélais</v>
      </c>
      <c r="H22" s="275" t="s">
        <v>903</v>
      </c>
      <c r="I22" s="493">
        <v>45874</v>
      </c>
      <c r="J22" s="574">
        <v>6800000</v>
      </c>
      <c r="K22" s="420" t="s">
        <v>1173</v>
      </c>
      <c r="L22" s="390"/>
      <c r="M22" s="390"/>
    </row>
    <row r="23" spans="1:13" ht="17.25" customHeight="1" x14ac:dyDescent="0.25">
      <c r="A23" s="516">
        <v>19</v>
      </c>
      <c r="B23" s="545">
        <v>4054666290</v>
      </c>
      <c r="C23" s="266" t="s">
        <v>26</v>
      </c>
      <c r="D23" s="323" t="s">
        <v>1172</v>
      </c>
      <c r="E23" s="275" t="s">
        <v>17</v>
      </c>
      <c r="F23" s="275" t="s">
        <v>17</v>
      </c>
      <c r="G23" s="15" t="str">
        <f t="shared" si="0"/>
        <v>Rétirédanslesdélais</v>
      </c>
      <c r="H23" s="275" t="s">
        <v>901</v>
      </c>
      <c r="I23" s="493">
        <v>45874</v>
      </c>
      <c r="J23" s="499">
        <v>0</v>
      </c>
      <c r="K23" s="390"/>
      <c r="L23" s="390"/>
      <c r="M23" s="390"/>
    </row>
    <row r="24" spans="1:13" ht="17.25" customHeight="1" x14ac:dyDescent="0.25">
      <c r="A24" s="516">
        <v>20</v>
      </c>
      <c r="B24" s="545">
        <v>4054666299</v>
      </c>
      <c r="C24" s="266" t="s">
        <v>26</v>
      </c>
      <c r="D24" s="323" t="s">
        <v>1172</v>
      </c>
      <c r="E24" s="275" t="s">
        <v>17</v>
      </c>
      <c r="F24" s="275" t="s">
        <v>17</v>
      </c>
      <c r="G24" s="15" t="str">
        <f t="shared" si="0"/>
        <v>Rétirédanslesdélais</v>
      </c>
      <c r="H24" s="275" t="s">
        <v>900</v>
      </c>
      <c r="I24" s="493">
        <v>45874</v>
      </c>
      <c r="J24" s="499">
        <v>0</v>
      </c>
      <c r="K24" s="390"/>
      <c r="L24" s="390"/>
      <c r="M24" s="390"/>
    </row>
    <row r="25" spans="1:13" ht="17.25" customHeight="1" x14ac:dyDescent="0.25">
      <c r="A25" s="516">
        <v>21</v>
      </c>
      <c r="B25" s="545">
        <v>4054666430</v>
      </c>
      <c r="C25" s="266" t="s">
        <v>872</v>
      </c>
      <c r="D25" s="323" t="s">
        <v>1177</v>
      </c>
      <c r="E25" s="275" t="s">
        <v>17</v>
      </c>
      <c r="F25" s="275" t="s">
        <v>17</v>
      </c>
      <c r="G25" s="15" t="str">
        <f t="shared" si="0"/>
        <v>Rétirétardivement-30000FCFAamende</v>
      </c>
      <c r="H25" s="275" t="s">
        <v>956</v>
      </c>
      <c r="I25" s="493">
        <v>45891</v>
      </c>
      <c r="J25" s="499">
        <v>0</v>
      </c>
      <c r="K25" s="390"/>
      <c r="L25" s="390"/>
      <c r="M25" s="390"/>
    </row>
    <row r="26" spans="1:13" ht="17.25" customHeight="1" x14ac:dyDescent="0.25">
      <c r="A26" s="516">
        <v>22</v>
      </c>
      <c r="B26" s="545">
        <v>4054676120</v>
      </c>
      <c r="C26" s="266" t="s">
        <v>26</v>
      </c>
      <c r="D26" s="323" t="s">
        <v>1178</v>
      </c>
      <c r="E26" s="275" t="s">
        <v>17</v>
      </c>
      <c r="F26" s="275" t="s">
        <v>1168</v>
      </c>
      <c r="G26" s="15" t="str">
        <f t="shared" si="0"/>
        <v>Rétirédanslesdélais</v>
      </c>
      <c r="H26" s="275" t="s">
        <v>899</v>
      </c>
      <c r="I26" s="493">
        <v>45874</v>
      </c>
      <c r="J26" s="499">
        <v>0</v>
      </c>
      <c r="K26" s="390"/>
      <c r="L26" s="390"/>
      <c r="M26" s="390"/>
    </row>
    <row r="27" spans="1:13" ht="17.25" customHeight="1" x14ac:dyDescent="0.25">
      <c r="A27" s="516">
        <v>23</v>
      </c>
      <c r="B27" s="545">
        <v>4054676130</v>
      </c>
      <c r="C27" s="266" t="s">
        <v>26</v>
      </c>
      <c r="D27" s="323" t="s">
        <v>1178</v>
      </c>
      <c r="E27" s="275" t="s">
        <v>17</v>
      </c>
      <c r="F27" s="275" t="s">
        <v>1168</v>
      </c>
      <c r="G27" s="15" t="str">
        <f t="shared" si="0"/>
        <v>Rétirédanslesdélais</v>
      </c>
      <c r="H27" s="275" t="s">
        <v>898</v>
      </c>
      <c r="I27" s="493">
        <v>45874</v>
      </c>
      <c r="J27" s="499">
        <v>0</v>
      </c>
      <c r="K27" s="390"/>
      <c r="L27" s="390"/>
      <c r="M27" s="390"/>
    </row>
    <row r="28" spans="1:13" ht="17.25" customHeight="1" x14ac:dyDescent="0.25">
      <c r="A28" s="516">
        <v>24</v>
      </c>
      <c r="B28" s="545">
        <v>4054681690</v>
      </c>
      <c r="C28" s="266" t="s">
        <v>872</v>
      </c>
      <c r="D28" s="323" t="s">
        <v>1075</v>
      </c>
      <c r="E28" s="275" t="s">
        <v>17</v>
      </c>
      <c r="F28" s="275" t="s">
        <v>1097</v>
      </c>
      <c r="G28" s="15" t="str">
        <f t="shared" si="0"/>
        <v>Rétirédanslesdélais</v>
      </c>
      <c r="H28" s="275" t="s">
        <v>882</v>
      </c>
      <c r="I28" s="493">
        <v>45870</v>
      </c>
      <c r="J28" s="499">
        <v>0</v>
      </c>
      <c r="K28" s="390"/>
      <c r="L28" s="390"/>
      <c r="M28" s="390"/>
    </row>
    <row r="29" spans="1:13" ht="17.25" customHeight="1" x14ac:dyDescent="0.25">
      <c r="A29" s="516">
        <v>25</v>
      </c>
      <c r="B29" s="545">
        <v>4054690880</v>
      </c>
      <c r="C29" s="266" t="s">
        <v>26</v>
      </c>
      <c r="D29" s="323" t="s">
        <v>1179</v>
      </c>
      <c r="E29" s="275" t="s">
        <v>17</v>
      </c>
      <c r="F29" s="275" t="s">
        <v>17</v>
      </c>
      <c r="G29" s="15" t="str">
        <f t="shared" si="0"/>
        <v>Rétirédanslesdélais</v>
      </c>
      <c r="H29" s="275" t="s">
        <v>910</v>
      </c>
      <c r="I29" s="493">
        <v>45880</v>
      </c>
      <c r="J29" s="499">
        <v>0</v>
      </c>
      <c r="K29" s="390"/>
      <c r="L29" s="390"/>
      <c r="M29" s="390"/>
    </row>
    <row r="30" spans="1:13" ht="17.25" customHeight="1" x14ac:dyDescent="0.25">
      <c r="A30" s="516">
        <v>26</v>
      </c>
      <c r="B30" s="545">
        <v>4054699250</v>
      </c>
      <c r="C30" s="266" t="s">
        <v>872</v>
      </c>
      <c r="D30" s="323" t="s">
        <v>1180</v>
      </c>
      <c r="E30" s="275" t="s">
        <v>1168</v>
      </c>
      <c r="F30" s="362" t="s">
        <v>1097</v>
      </c>
      <c r="G30" s="15" t="str">
        <f t="shared" si="0"/>
        <v>Rétirétardivement-30000FCFAamende</v>
      </c>
      <c r="H30" s="275" t="s">
        <v>945</v>
      </c>
      <c r="I30" s="493">
        <v>45889</v>
      </c>
      <c r="J30" s="574">
        <v>300000</v>
      </c>
      <c r="K30" s="390"/>
      <c r="L30" s="390"/>
      <c r="M30" s="390"/>
    </row>
    <row r="31" spans="1:13" ht="17.25" customHeight="1" x14ac:dyDescent="0.25">
      <c r="A31" s="516">
        <v>27</v>
      </c>
      <c r="B31" s="545">
        <v>4054700560</v>
      </c>
      <c r="C31" s="266" t="s">
        <v>26</v>
      </c>
      <c r="D31" s="559" t="s">
        <v>1181</v>
      </c>
      <c r="E31" s="275" t="s">
        <v>17</v>
      </c>
      <c r="F31" s="275" t="s">
        <v>1097</v>
      </c>
      <c r="G31" s="15" t="str">
        <f t="shared" si="0"/>
        <v>Rétirédanslesdélais</v>
      </c>
      <c r="H31" s="275" t="s">
        <v>986</v>
      </c>
      <c r="I31" s="493">
        <v>45874</v>
      </c>
      <c r="J31" s="499">
        <v>0</v>
      </c>
      <c r="K31" s="390"/>
      <c r="L31" s="390"/>
      <c r="M31" s="390"/>
    </row>
    <row r="32" spans="1:13" ht="17.25" customHeight="1" x14ac:dyDescent="0.25">
      <c r="A32" s="516">
        <v>28</v>
      </c>
      <c r="B32" s="545">
        <v>4054700590</v>
      </c>
      <c r="C32" s="266" t="s">
        <v>26</v>
      </c>
      <c r="D32" s="323" t="s">
        <v>1121</v>
      </c>
      <c r="E32" s="275" t="s">
        <v>17</v>
      </c>
      <c r="F32" s="275" t="s">
        <v>1097</v>
      </c>
      <c r="G32" s="15" t="str">
        <f t="shared" si="0"/>
        <v>Rétirédanslesdélais</v>
      </c>
      <c r="H32" s="275" t="s">
        <v>883</v>
      </c>
      <c r="I32" s="493">
        <v>45870</v>
      </c>
      <c r="J32" s="499">
        <v>0</v>
      </c>
      <c r="K32" s="390"/>
      <c r="L32" s="390"/>
      <c r="M32" s="390"/>
    </row>
    <row r="33" spans="1:158" ht="17.25" customHeight="1" x14ac:dyDescent="0.25">
      <c r="A33" s="516">
        <v>29</v>
      </c>
      <c r="B33" s="545">
        <v>4054708340</v>
      </c>
      <c r="C33" s="266" t="s">
        <v>26</v>
      </c>
      <c r="D33" s="323" t="s">
        <v>1182</v>
      </c>
      <c r="E33" s="275" t="s">
        <v>17</v>
      </c>
      <c r="F33" s="275" t="s">
        <v>870</v>
      </c>
      <c r="G33" s="15" t="str">
        <f t="shared" si="0"/>
        <v>Rétirédanslesdélais</v>
      </c>
      <c r="H33" s="275" t="s">
        <v>999</v>
      </c>
      <c r="I33" s="493">
        <v>45873</v>
      </c>
      <c r="J33" s="499">
        <v>0</v>
      </c>
      <c r="K33" s="390"/>
      <c r="L33" s="390"/>
      <c r="M33" s="390"/>
    </row>
    <row r="34" spans="1:158" ht="17.25" customHeight="1" x14ac:dyDescent="0.25">
      <c r="A34" s="516">
        <v>30</v>
      </c>
      <c r="B34" s="545">
        <v>4054709190</v>
      </c>
      <c r="C34" s="266" t="s">
        <v>26</v>
      </c>
      <c r="D34" s="323" t="s">
        <v>1075</v>
      </c>
      <c r="E34" s="275" t="s">
        <v>17</v>
      </c>
      <c r="F34" s="275" t="s">
        <v>1097</v>
      </c>
      <c r="G34" s="15" t="str">
        <f t="shared" si="0"/>
        <v>Rétirédanslesdélais</v>
      </c>
      <c r="H34" s="275" t="s">
        <v>881</v>
      </c>
      <c r="I34" s="493">
        <v>45868</v>
      </c>
      <c r="J34" s="499">
        <v>0</v>
      </c>
      <c r="K34" s="390"/>
      <c r="L34" s="390"/>
      <c r="M34" s="390"/>
    </row>
    <row r="35" spans="1:158" ht="17.25" customHeight="1" x14ac:dyDescent="0.25">
      <c r="A35" s="516">
        <v>31</v>
      </c>
      <c r="B35" s="545">
        <v>4054709510</v>
      </c>
      <c r="C35" s="266" t="s">
        <v>458</v>
      </c>
      <c r="D35" s="323" t="s">
        <v>1183</v>
      </c>
      <c r="E35" s="275" t="s">
        <v>17</v>
      </c>
      <c r="F35" s="275" t="s">
        <v>1097</v>
      </c>
      <c r="G35" s="15" t="str">
        <f t="shared" si="0"/>
        <v>Rétirédanslesdélais</v>
      </c>
      <c r="H35" s="275" t="s">
        <v>906</v>
      </c>
      <c r="I35" s="493">
        <v>45880</v>
      </c>
      <c r="J35" s="499">
        <v>0</v>
      </c>
      <c r="K35" s="390"/>
      <c r="L35" s="390"/>
      <c r="M35" s="390"/>
    </row>
    <row r="36" spans="1:158" ht="17.25" customHeight="1" x14ac:dyDescent="0.25">
      <c r="A36" s="516">
        <v>32</v>
      </c>
      <c r="B36" s="545">
        <v>4054709540</v>
      </c>
      <c r="C36" s="266" t="s">
        <v>26</v>
      </c>
      <c r="D36" s="323" t="s">
        <v>1075</v>
      </c>
      <c r="E36" s="275" t="s">
        <v>17</v>
      </c>
      <c r="F36" s="275" t="s">
        <v>1097</v>
      </c>
      <c r="G36" s="15" t="str">
        <f t="shared" si="0"/>
        <v>Rétirédanslesdélais</v>
      </c>
      <c r="H36" s="275" t="s">
        <v>880</v>
      </c>
      <c r="I36" s="493">
        <v>45868</v>
      </c>
      <c r="J36" s="499">
        <v>0</v>
      </c>
      <c r="K36" s="390"/>
      <c r="L36" s="390"/>
      <c r="M36" s="390"/>
    </row>
    <row r="37" spans="1:158" ht="17.25" customHeight="1" x14ac:dyDescent="0.25">
      <c r="A37" s="516">
        <v>33</v>
      </c>
      <c r="B37" s="545">
        <v>4054709890</v>
      </c>
      <c r="C37" s="266" t="s">
        <v>26</v>
      </c>
      <c r="D37" s="323" t="s">
        <v>1184</v>
      </c>
      <c r="E37" s="275" t="s">
        <v>17</v>
      </c>
      <c r="F37" s="275" t="s">
        <v>1097</v>
      </c>
      <c r="G37" s="15" t="str">
        <f t="shared" ref="G37:G58" si="1">IF(I37="",IF($E$2&lt;=15,"EnattentedeRetrait","EnAttented'unRetraitTardif"),IF(I37-$G$2&lt;=15,"Rétirédanslesdélais",IF(I37-$G$2&gt;15,"Rétirétardivement-30000FCFAamende")))</f>
        <v>Rétirédanslesdélais</v>
      </c>
      <c r="H37" s="275" t="s">
        <v>905</v>
      </c>
      <c r="I37" s="493">
        <v>45880</v>
      </c>
      <c r="J37" s="499">
        <v>0</v>
      </c>
      <c r="K37" s="390"/>
      <c r="L37" s="390"/>
      <c r="M37" s="390"/>
    </row>
    <row r="38" spans="1:158" ht="17.25" customHeight="1" x14ac:dyDescent="0.25">
      <c r="A38" s="516">
        <v>34</v>
      </c>
      <c r="B38" s="545">
        <v>4054711680</v>
      </c>
      <c r="C38" s="266" t="s">
        <v>26</v>
      </c>
      <c r="D38" s="323" t="s">
        <v>1105</v>
      </c>
      <c r="E38" s="275" t="s">
        <v>17</v>
      </c>
      <c r="F38" s="275" t="s">
        <v>17</v>
      </c>
      <c r="G38" s="15" t="str">
        <f t="shared" si="1"/>
        <v>Rétirédanslesdélais</v>
      </c>
      <c r="H38" s="275" t="s">
        <v>879</v>
      </c>
      <c r="I38" s="493">
        <v>45868</v>
      </c>
      <c r="J38" s="499">
        <v>0</v>
      </c>
      <c r="K38" s="390"/>
      <c r="L38" s="390"/>
      <c r="M38" s="390"/>
    </row>
    <row r="39" spans="1:158" ht="17.25" customHeight="1" x14ac:dyDescent="0.25">
      <c r="A39" s="516">
        <v>35</v>
      </c>
      <c r="B39" s="545">
        <v>4054726970</v>
      </c>
      <c r="C39" s="266" t="s">
        <v>26</v>
      </c>
      <c r="D39" s="323" t="s">
        <v>1185</v>
      </c>
      <c r="E39" s="275" t="s">
        <v>17</v>
      </c>
      <c r="F39" s="275" t="s">
        <v>870</v>
      </c>
      <c r="G39" s="15" t="str">
        <f t="shared" si="1"/>
        <v>Rétirétardivement-30000FCFAamende</v>
      </c>
      <c r="H39" s="275" t="s">
        <v>948</v>
      </c>
      <c r="I39" s="493">
        <v>45890</v>
      </c>
      <c r="J39" s="499">
        <v>0</v>
      </c>
      <c r="K39" s="390"/>
      <c r="L39" s="390"/>
      <c r="M39" s="390" t="s">
        <v>1186</v>
      </c>
    </row>
    <row r="40" spans="1:158" ht="17.25" customHeight="1" x14ac:dyDescent="0.25">
      <c r="A40" s="516">
        <v>36</v>
      </c>
      <c r="B40" s="545">
        <v>4054611061</v>
      </c>
      <c r="C40" s="266" t="s">
        <v>26</v>
      </c>
      <c r="D40" s="323" t="s">
        <v>53</v>
      </c>
      <c r="E40" s="275"/>
      <c r="F40" s="275" t="s">
        <v>259</v>
      </c>
      <c r="G40" s="15" t="str">
        <f t="shared" si="1"/>
        <v>Rétirédanslesdélais</v>
      </c>
      <c r="H40" s="275" t="s">
        <v>907</v>
      </c>
      <c r="I40" s="493">
        <v>45880</v>
      </c>
      <c r="J40" s="499">
        <v>0</v>
      </c>
      <c r="K40" s="390"/>
      <c r="L40" s="390"/>
      <c r="M40" s="390"/>
    </row>
    <row r="41" spans="1:158" ht="17.25" customHeight="1" x14ac:dyDescent="0.25">
      <c r="A41" s="516">
        <v>37</v>
      </c>
      <c r="B41" s="545">
        <v>4054690550</v>
      </c>
      <c r="C41" s="266" t="s">
        <v>26</v>
      </c>
      <c r="D41" s="323" t="s">
        <v>1187</v>
      </c>
      <c r="E41" s="275" t="s">
        <v>17</v>
      </c>
      <c r="F41" s="275" t="s">
        <v>17</v>
      </c>
      <c r="G41" s="15" t="str">
        <f t="shared" si="1"/>
        <v>Rétirétardivement-30000FCFAamende</v>
      </c>
      <c r="H41" s="275" t="s">
        <v>918</v>
      </c>
      <c r="I41" s="493">
        <v>45882</v>
      </c>
      <c r="J41" s="499">
        <v>0</v>
      </c>
      <c r="K41" s="390"/>
      <c r="L41" s="390"/>
      <c r="M41" s="390"/>
    </row>
    <row r="42" spans="1:158" ht="17.25" customHeight="1" x14ac:dyDescent="0.25">
      <c r="A42" s="516">
        <v>38</v>
      </c>
      <c r="B42" s="545">
        <v>4054706010</v>
      </c>
      <c r="C42" s="266" t="s">
        <v>26</v>
      </c>
      <c r="D42" s="323" t="s">
        <v>1188</v>
      </c>
      <c r="E42" s="275" t="s">
        <v>17</v>
      </c>
      <c r="F42" s="275" t="s">
        <v>17</v>
      </c>
      <c r="G42" s="15" t="str">
        <f t="shared" si="1"/>
        <v>Rétirédanslesdélais</v>
      </c>
      <c r="H42" s="275" t="s">
        <v>909</v>
      </c>
      <c r="I42" s="493">
        <v>45880</v>
      </c>
      <c r="J42" s="499">
        <v>0</v>
      </c>
      <c r="K42" s="390"/>
      <c r="L42" s="390"/>
      <c r="M42" s="390"/>
    </row>
    <row r="43" spans="1:158" ht="17.25" customHeight="1" x14ac:dyDescent="0.25">
      <c r="A43" s="516">
        <v>39</v>
      </c>
      <c r="B43" s="545">
        <v>4054708950</v>
      </c>
      <c r="C43" s="266" t="s">
        <v>26</v>
      </c>
      <c r="D43" s="323" t="s">
        <v>1187</v>
      </c>
      <c r="E43" s="275" t="s">
        <v>17</v>
      </c>
      <c r="F43" s="275" t="s">
        <v>17</v>
      </c>
      <c r="G43" s="15" t="str">
        <f t="shared" si="1"/>
        <v>Rétirétardivement-30000FCFAamende</v>
      </c>
      <c r="H43" s="275" t="s">
        <v>921</v>
      </c>
      <c r="I43" s="493">
        <v>45882</v>
      </c>
      <c r="J43" s="499">
        <v>0</v>
      </c>
      <c r="K43" s="390"/>
      <c r="L43" s="390"/>
      <c r="M43" s="390"/>
    </row>
    <row r="44" spans="1:158" ht="17.25" customHeight="1" x14ac:dyDescent="0.25">
      <c r="A44" s="516">
        <v>40</v>
      </c>
      <c r="B44" s="545">
        <v>4054708980</v>
      </c>
      <c r="C44" s="266" t="s">
        <v>26</v>
      </c>
      <c r="D44" s="323" t="s">
        <v>1187</v>
      </c>
      <c r="E44" s="275" t="s">
        <v>17</v>
      </c>
      <c r="F44" s="275" t="s">
        <v>17</v>
      </c>
      <c r="G44" s="15" t="str">
        <f t="shared" si="1"/>
        <v>Rétirétardivement-30000FCFAamende</v>
      </c>
      <c r="H44" s="275" t="s">
        <v>925</v>
      </c>
      <c r="I44" s="493">
        <v>45882</v>
      </c>
      <c r="J44" s="499">
        <v>0</v>
      </c>
      <c r="K44" s="390"/>
      <c r="L44" s="390"/>
      <c r="M44" s="390"/>
    </row>
    <row r="45" spans="1:158" ht="17.25" customHeight="1" x14ac:dyDescent="0.25">
      <c r="A45" s="516">
        <v>41</v>
      </c>
      <c r="B45" s="545">
        <v>4054713180</v>
      </c>
      <c r="C45" s="266" t="s">
        <v>26</v>
      </c>
      <c r="D45" s="323" t="s">
        <v>1187</v>
      </c>
      <c r="E45" s="275" t="s">
        <v>17</v>
      </c>
      <c r="F45" s="275" t="s">
        <v>17</v>
      </c>
      <c r="G45" s="15" t="str">
        <f t="shared" si="1"/>
        <v>Rétirétardivement-30000FCFAamende</v>
      </c>
      <c r="H45" s="275" t="s">
        <v>929</v>
      </c>
      <c r="I45" s="493">
        <v>45882</v>
      </c>
      <c r="J45" s="499">
        <v>0</v>
      </c>
      <c r="K45" s="390"/>
      <c r="L45" s="390"/>
      <c r="M45" s="390"/>
    </row>
    <row r="46" spans="1:158" s="47" customFormat="1" ht="17.25" customHeight="1" thickBot="1" x14ac:dyDescent="0.3">
      <c r="A46" s="516">
        <v>42</v>
      </c>
      <c r="B46" s="545">
        <v>4054713190</v>
      </c>
      <c r="C46" s="266" t="s">
        <v>26</v>
      </c>
      <c r="D46" s="323" t="s">
        <v>1187</v>
      </c>
      <c r="E46" s="275" t="s">
        <v>17</v>
      </c>
      <c r="F46" s="275" t="s">
        <v>17</v>
      </c>
      <c r="G46" s="15" t="str">
        <f t="shared" si="1"/>
        <v>Rétirétardivement-30000FCFAamende</v>
      </c>
      <c r="H46" s="275" t="s">
        <v>932</v>
      </c>
      <c r="I46" s="493">
        <v>45882</v>
      </c>
      <c r="J46" s="499">
        <v>0</v>
      </c>
      <c r="K46" s="390"/>
      <c r="L46" s="390"/>
      <c r="M46" s="390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</row>
    <row r="47" spans="1:158" ht="17.25" customHeight="1" x14ac:dyDescent="0.25">
      <c r="A47" s="516">
        <v>43</v>
      </c>
      <c r="B47" s="545">
        <v>4054626980</v>
      </c>
      <c r="C47" s="266" t="s">
        <v>26</v>
      </c>
      <c r="D47" s="323" t="s">
        <v>1189</v>
      </c>
      <c r="E47" s="275" t="s">
        <v>1168</v>
      </c>
      <c r="F47" s="275" t="s">
        <v>1097</v>
      </c>
      <c r="G47" s="15" t="str">
        <f t="shared" si="1"/>
        <v>Rétirétardivement-30000FCFAamende</v>
      </c>
      <c r="H47" s="275" t="s">
        <v>1010</v>
      </c>
      <c r="I47" s="493">
        <v>45924</v>
      </c>
      <c r="J47" s="499">
        <v>360000</v>
      </c>
      <c r="K47" s="390"/>
      <c r="L47" s="390"/>
      <c r="M47" s="418" t="s">
        <v>1190</v>
      </c>
    </row>
    <row r="48" spans="1:158" ht="17.25" customHeight="1" x14ac:dyDescent="0.25">
      <c r="A48" s="516">
        <v>44</v>
      </c>
      <c r="B48" s="545">
        <v>4054690558</v>
      </c>
      <c r="C48" s="266" t="s">
        <v>26</v>
      </c>
      <c r="D48" s="323" t="s">
        <v>1187</v>
      </c>
      <c r="E48" s="275" t="s">
        <v>17</v>
      </c>
      <c r="F48" s="275" t="s">
        <v>17</v>
      </c>
      <c r="G48" s="15" t="str">
        <f t="shared" si="1"/>
        <v>Rétirétardivement-30000FCFAamende</v>
      </c>
      <c r="H48" s="275" t="s">
        <v>919</v>
      </c>
      <c r="I48" s="493">
        <v>45882</v>
      </c>
      <c r="J48" s="499">
        <v>0</v>
      </c>
      <c r="K48" s="390"/>
      <c r="L48" s="390"/>
      <c r="M48" s="390"/>
    </row>
    <row r="49" spans="1:13" ht="17.25" customHeight="1" x14ac:dyDescent="0.25">
      <c r="A49" s="516">
        <v>45</v>
      </c>
      <c r="B49" s="545">
        <v>4054690559</v>
      </c>
      <c r="C49" s="266" t="s">
        <v>26</v>
      </c>
      <c r="D49" s="323" t="s">
        <v>1187</v>
      </c>
      <c r="E49" s="275" t="s">
        <v>17</v>
      </c>
      <c r="F49" s="275" t="s">
        <v>17</v>
      </c>
      <c r="G49" s="15" t="str">
        <f t="shared" si="1"/>
        <v>Rétirétardivement-30000FCFAamende</v>
      </c>
      <c r="H49" s="275" t="s">
        <v>920</v>
      </c>
      <c r="I49" s="493">
        <v>45882</v>
      </c>
      <c r="J49" s="499">
        <v>0</v>
      </c>
      <c r="K49" s="390"/>
      <c r="L49" s="390"/>
      <c r="M49" s="390"/>
    </row>
    <row r="50" spans="1:13" ht="17.25" customHeight="1" x14ac:dyDescent="0.25">
      <c r="A50" s="516">
        <v>46</v>
      </c>
      <c r="B50" s="545">
        <v>4054708957</v>
      </c>
      <c r="C50" s="266" t="s">
        <v>26</v>
      </c>
      <c r="D50" s="323" t="s">
        <v>1187</v>
      </c>
      <c r="E50" s="275" t="s">
        <v>17</v>
      </c>
      <c r="F50" s="275" t="s">
        <v>17</v>
      </c>
      <c r="G50" s="15" t="str">
        <f t="shared" si="1"/>
        <v>Rétirétardivement-30000FCFAamende</v>
      </c>
      <c r="H50" s="275" t="s">
        <v>922</v>
      </c>
      <c r="I50" s="493">
        <v>45882</v>
      </c>
      <c r="J50" s="499">
        <v>0</v>
      </c>
      <c r="K50" s="390"/>
      <c r="L50" s="390"/>
      <c r="M50" s="390"/>
    </row>
    <row r="51" spans="1:13" ht="17.25" customHeight="1" x14ac:dyDescent="0.25">
      <c r="A51" s="516">
        <v>47</v>
      </c>
      <c r="B51" s="545">
        <v>4054708958</v>
      </c>
      <c r="C51" s="266" t="s">
        <v>26</v>
      </c>
      <c r="D51" s="323" t="s">
        <v>1187</v>
      </c>
      <c r="E51" s="275" t="s">
        <v>17</v>
      </c>
      <c r="F51" s="275" t="s">
        <v>17</v>
      </c>
      <c r="G51" s="15" t="str">
        <f t="shared" si="1"/>
        <v>Rétirétardivement-30000FCFAamende</v>
      </c>
      <c r="H51" s="275" t="s">
        <v>923</v>
      </c>
      <c r="I51" s="493">
        <v>45882</v>
      </c>
      <c r="J51" s="499">
        <v>0</v>
      </c>
      <c r="K51" s="390"/>
      <c r="L51" s="390"/>
      <c r="M51" s="390"/>
    </row>
    <row r="52" spans="1:13" ht="17.25" customHeight="1" x14ac:dyDescent="0.25">
      <c r="A52" s="516">
        <v>48</v>
      </c>
      <c r="B52" s="545">
        <v>4054708959</v>
      </c>
      <c r="C52" s="266" t="s">
        <v>26</v>
      </c>
      <c r="D52" s="323" t="s">
        <v>1187</v>
      </c>
      <c r="E52" s="275" t="s">
        <v>17</v>
      </c>
      <c r="F52" s="275" t="s">
        <v>17</v>
      </c>
      <c r="G52" s="15" t="str">
        <f t="shared" si="1"/>
        <v>Rétirétardivement-30000FCFAamende</v>
      </c>
      <c r="H52" s="275" t="s">
        <v>924</v>
      </c>
      <c r="I52" s="493">
        <v>45882</v>
      </c>
      <c r="J52" s="499">
        <v>0</v>
      </c>
      <c r="K52" s="390"/>
      <c r="L52" s="390"/>
      <c r="M52" s="390"/>
    </row>
    <row r="53" spans="1:13" ht="17.25" customHeight="1" x14ac:dyDescent="0.25">
      <c r="A53" s="516">
        <v>49</v>
      </c>
      <c r="B53" s="545">
        <v>4054708987</v>
      </c>
      <c r="C53" s="266" t="s">
        <v>26</v>
      </c>
      <c r="D53" s="323" t="s">
        <v>1187</v>
      </c>
      <c r="E53" s="275" t="s">
        <v>17</v>
      </c>
      <c r="F53" s="275" t="s">
        <v>17</v>
      </c>
      <c r="G53" s="15" t="str">
        <f t="shared" si="1"/>
        <v>Rétirétardivement-30000FCFAamende</v>
      </c>
      <c r="H53" s="275" t="s">
        <v>926</v>
      </c>
      <c r="I53" s="493">
        <v>45882</v>
      </c>
      <c r="J53" s="499">
        <v>0</v>
      </c>
      <c r="K53" s="390"/>
      <c r="L53" s="390"/>
      <c r="M53" s="390"/>
    </row>
    <row r="54" spans="1:13" ht="17.25" customHeight="1" x14ac:dyDescent="0.25">
      <c r="A54" s="516">
        <v>50</v>
      </c>
      <c r="B54" s="545">
        <v>4054708988</v>
      </c>
      <c r="C54" s="266" t="s">
        <v>26</v>
      </c>
      <c r="D54" s="323" t="s">
        <v>1187</v>
      </c>
      <c r="E54" s="275" t="s">
        <v>17</v>
      </c>
      <c r="F54" s="275" t="s">
        <v>17</v>
      </c>
      <c r="G54" s="15" t="str">
        <f t="shared" si="1"/>
        <v>Rétirétardivement-30000FCFAamende</v>
      </c>
      <c r="H54" s="275" t="s">
        <v>927</v>
      </c>
      <c r="I54" s="493">
        <v>45882</v>
      </c>
      <c r="J54" s="499">
        <v>0</v>
      </c>
      <c r="K54" s="390"/>
      <c r="L54" s="390"/>
      <c r="M54" s="390"/>
    </row>
    <row r="55" spans="1:13" ht="17.25" customHeight="1" x14ac:dyDescent="0.25">
      <c r="A55" s="516">
        <v>51</v>
      </c>
      <c r="B55" s="545">
        <v>4054708989</v>
      </c>
      <c r="C55" s="266" t="s">
        <v>26</v>
      </c>
      <c r="D55" s="323" t="s">
        <v>1187</v>
      </c>
      <c r="E55" s="275" t="s">
        <v>17</v>
      </c>
      <c r="F55" s="275" t="s">
        <v>17</v>
      </c>
      <c r="G55" s="15" t="str">
        <f t="shared" si="1"/>
        <v>Rétirétardivement-30000FCFAamende</v>
      </c>
      <c r="H55" s="275" t="s">
        <v>928</v>
      </c>
      <c r="I55" s="493">
        <v>45882</v>
      </c>
      <c r="J55" s="499">
        <v>0</v>
      </c>
      <c r="K55" s="390"/>
      <c r="L55" s="390"/>
      <c r="M55" s="390"/>
    </row>
    <row r="56" spans="1:13" ht="17.25" customHeight="1" x14ac:dyDescent="0.25">
      <c r="A56" s="516">
        <v>52</v>
      </c>
      <c r="B56" s="545">
        <v>4054713188</v>
      </c>
      <c r="C56" s="266" t="s">
        <v>26</v>
      </c>
      <c r="D56" s="323" t="s">
        <v>1187</v>
      </c>
      <c r="E56" s="275" t="s">
        <v>17</v>
      </c>
      <c r="F56" s="275" t="s">
        <v>17</v>
      </c>
      <c r="G56" s="15" t="str">
        <f t="shared" si="1"/>
        <v>Rétirétardivement-30000FCFAamende</v>
      </c>
      <c r="H56" s="275" t="s">
        <v>930</v>
      </c>
      <c r="I56" s="493">
        <v>45882</v>
      </c>
      <c r="J56" s="499">
        <v>0</v>
      </c>
      <c r="K56" s="390"/>
      <c r="L56" s="390"/>
      <c r="M56" s="390"/>
    </row>
    <row r="57" spans="1:13" ht="17.25" customHeight="1" x14ac:dyDescent="0.25">
      <c r="A57" s="516">
        <v>53</v>
      </c>
      <c r="B57" s="545">
        <v>4054713189</v>
      </c>
      <c r="C57" s="266" t="s">
        <v>26</v>
      </c>
      <c r="D57" s="323" t="s">
        <v>1187</v>
      </c>
      <c r="E57" s="275" t="s">
        <v>17</v>
      </c>
      <c r="F57" s="275" t="s">
        <v>17</v>
      </c>
      <c r="G57" s="15" t="str">
        <f t="shared" si="1"/>
        <v>Rétirétardivement-30000FCFAamende</v>
      </c>
      <c r="H57" s="275" t="s">
        <v>931</v>
      </c>
      <c r="I57" s="493">
        <v>45882</v>
      </c>
      <c r="J57" s="499">
        <v>0</v>
      </c>
      <c r="K57" s="390"/>
      <c r="L57" s="390"/>
      <c r="M57" s="390"/>
    </row>
    <row r="58" spans="1:13" ht="17.25" customHeight="1" x14ac:dyDescent="0.25">
      <c r="A58" s="516">
        <v>54</v>
      </c>
      <c r="B58" s="545">
        <v>4054713199</v>
      </c>
      <c r="C58" s="266" t="s">
        <v>26</v>
      </c>
      <c r="D58" s="323" t="s">
        <v>1187</v>
      </c>
      <c r="E58" s="275" t="s">
        <v>17</v>
      </c>
      <c r="F58" s="275" t="s">
        <v>17</v>
      </c>
      <c r="G58" s="15" t="str">
        <f t="shared" si="1"/>
        <v>Rétirétardivement-30000FCFAamende</v>
      </c>
      <c r="H58" s="275" t="s">
        <v>933</v>
      </c>
      <c r="I58" s="493">
        <v>45882</v>
      </c>
      <c r="J58" s="499">
        <v>0</v>
      </c>
      <c r="K58" s="390"/>
      <c r="L58" s="390"/>
      <c r="M58" s="390"/>
    </row>
    <row r="59" spans="1:13" x14ac:dyDescent="0.25">
      <c r="B59"/>
    </row>
    <row r="60" spans="1:13" x14ac:dyDescent="0.25">
      <c r="B60"/>
    </row>
    <row r="61" spans="1:13" x14ac:dyDescent="0.25">
      <c r="B61"/>
    </row>
    <row r="64" spans="1:13" x14ac:dyDescent="0.25">
      <c r="B64" s="229"/>
    </row>
    <row r="65" spans="2:6" x14ac:dyDescent="0.25">
      <c r="B65" s="229"/>
    </row>
    <row r="66" spans="2:6" x14ac:dyDescent="0.25">
      <c r="B66" s="229"/>
    </row>
    <row r="67" spans="2:6" x14ac:dyDescent="0.25">
      <c r="B67" s="229"/>
    </row>
    <row r="68" spans="2:6" x14ac:dyDescent="0.25">
      <c r="B68" s="577"/>
    </row>
    <row r="69" spans="2:6" x14ac:dyDescent="0.25">
      <c r="E69" s="664"/>
      <c r="F69" s="664"/>
    </row>
    <row r="70" spans="2:6" x14ac:dyDescent="0.25">
      <c r="B70" s="576"/>
    </row>
    <row r="71" spans="2:6" x14ac:dyDescent="0.25">
      <c r="B71" s="576"/>
    </row>
    <row r="72" spans="2:6" x14ac:dyDescent="0.25">
      <c r="B72" s="576"/>
    </row>
    <row r="73" spans="2:6" x14ac:dyDescent="0.25">
      <c r="B73" s="576"/>
    </row>
    <row r="74" spans="2:6" x14ac:dyDescent="0.25">
      <c r="B74" s="576"/>
    </row>
    <row r="75" spans="2:6" x14ac:dyDescent="0.25">
      <c r="B75" s="576"/>
    </row>
    <row r="76" spans="2:6" x14ac:dyDescent="0.25">
      <c r="B76" s="576"/>
    </row>
    <row r="77" spans="2:6" x14ac:dyDescent="0.25">
      <c r="B77" s="576"/>
    </row>
    <row r="78" spans="2:6" x14ac:dyDescent="0.25">
      <c r="B78" s="576"/>
    </row>
    <row r="79" spans="2:6" x14ac:dyDescent="0.25">
      <c r="B79" s="576"/>
    </row>
    <row r="80" spans="2:6" x14ac:dyDescent="0.25">
      <c r="B80" s="576"/>
    </row>
    <row r="81" spans="2:2" x14ac:dyDescent="0.25">
      <c r="B81" s="576"/>
    </row>
    <row r="82" spans="2:2" x14ac:dyDescent="0.25">
      <c r="B82" s="576"/>
    </row>
    <row r="83" spans="2:2" x14ac:dyDescent="0.25">
      <c r="B83" s="576"/>
    </row>
    <row r="84" spans="2:2" x14ac:dyDescent="0.25">
      <c r="B84" s="576"/>
    </row>
    <row r="85" spans="2:2" x14ac:dyDescent="0.25">
      <c r="B85" s="576"/>
    </row>
    <row r="86" spans="2:2" x14ac:dyDescent="0.25">
      <c r="B86" s="576"/>
    </row>
    <row r="87" spans="2:2" x14ac:dyDescent="0.25">
      <c r="B87" s="576"/>
    </row>
  </sheetData>
  <autoFilter ref="A4:M58" xr:uid="{D559034C-E1A8-4788-A336-55187472940D}">
    <filterColumn colId="12" showButton="0"/>
    <sortState xmlns:xlrd2="http://schemas.microsoft.com/office/spreadsheetml/2017/richdata2" ref="A5:M58">
      <sortCondition ref="A4:A58"/>
    </sortState>
  </autoFilter>
  <mergeCells count="2">
    <mergeCell ref="G1:I1"/>
    <mergeCell ref="A2:B2"/>
  </mergeCells>
  <phoneticPr fontId="81" type="noConversion"/>
  <conditionalFormatting sqref="A5:B58">
    <cfRule type="containsText" dxfId="1322" priority="22" operator="containsText" text="En Attente d'un Retrait Tardif">
      <formula>NOT(ISERROR(SEARCH("En Attente d'un Retrait Tardif",A5)))</formula>
    </cfRule>
    <cfRule type="containsText" dxfId="1321" priority="23" operator="containsText" text="Rétiré dans les délais">
      <formula>NOT(ISERROR(SEARCH("Rétiré dans les délais",A5)))</formula>
    </cfRule>
  </conditionalFormatting>
  <conditionalFormatting sqref="B1:B3 B62 B88:B1048576">
    <cfRule type="duplicateValues" dxfId="1320" priority="1879"/>
  </conditionalFormatting>
  <conditionalFormatting sqref="B1:B4 B62 B88:B1048576">
    <cfRule type="duplicateValues" dxfId="1319" priority="1882"/>
  </conditionalFormatting>
  <conditionalFormatting sqref="B1:B1048576">
    <cfRule type="duplicateValues" dxfId="1318" priority="2"/>
  </conditionalFormatting>
  <conditionalFormatting sqref="B62 B88:B1048576 B1:B58">
    <cfRule type="duplicateValues" dxfId="1317" priority="1888"/>
  </conditionalFormatting>
  <conditionalFormatting sqref="B62 B88:B1048576">
    <cfRule type="duplicateValues" dxfId="1316" priority="1891"/>
    <cfRule type="duplicateValues" dxfId="1315" priority="1892"/>
  </conditionalFormatting>
  <conditionalFormatting sqref="B68:B1048576 B1:B63">
    <cfRule type="duplicateValues" dxfId="1314" priority="3"/>
  </conditionalFormatting>
  <conditionalFormatting sqref="B70:B87">
    <cfRule type="duplicateValues" dxfId="1313" priority="6"/>
  </conditionalFormatting>
  <conditionalFormatting sqref="B70:B1048576 B1:B62">
    <cfRule type="duplicateValues" dxfId="1312" priority="4"/>
    <cfRule type="duplicateValues" dxfId="1311" priority="5"/>
  </conditionalFormatting>
  <conditionalFormatting sqref="B88:B1048576 B1:B62">
    <cfRule type="duplicateValues" dxfId="1310" priority="20"/>
  </conditionalFormatting>
  <conditionalFormatting sqref="D59:D61">
    <cfRule type="duplicateValues" dxfId="1309" priority="1895"/>
    <cfRule type="duplicateValues" dxfId="1308" priority="1896"/>
    <cfRule type="duplicateValues" dxfId="1307" priority="1897"/>
    <cfRule type="duplicateValues" dxfId="1306" priority="1898"/>
    <cfRule type="duplicateValues" dxfId="1305" priority="1899"/>
    <cfRule type="duplicateValues" dxfId="1304" priority="1900"/>
  </conditionalFormatting>
  <conditionalFormatting sqref="D5:M58">
    <cfRule type="containsText" dxfId="1303" priority="27" operator="containsText" text="En Attente d'un Retrait Tardif">
      <formula>NOT(ISERROR(SEARCH("En Attente d'un Retrait Tardif",D5)))</formula>
    </cfRule>
    <cfRule type="containsText" dxfId="1302" priority="28" operator="containsText" text="Rétiré dans les délais">
      <formula>NOT(ISERROR(SEARCH("Rétiré dans les délais",D5)))</formula>
    </cfRule>
  </conditionalFormatting>
  <conditionalFormatting sqref="H1:H1048576">
    <cfRule type="duplicateValues" dxfId="1301" priority="1"/>
    <cfRule type="duplicateValues" dxfId="1300" priority="19"/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3725-62E9-4740-BAA0-563644E33577}">
  <sheetPr codeName="Feuil110">
    <tabColor rgb="FFFFFF00"/>
  </sheetPr>
  <dimension ref="A1:M17"/>
  <sheetViews>
    <sheetView zoomScaleNormal="100" workbookViewId="0">
      <selection activeCell="G18" sqref="G18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6.42578125" style="105" customWidth="1"/>
    <col min="4" max="4" width="50.710937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1191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209</v>
      </c>
      <c r="F2" s="25"/>
      <c r="G2" s="314">
        <v>45887</v>
      </c>
      <c r="H2" s="365">
        <f ca="1">I2-G2</f>
        <v>209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25.5" customHeight="1" x14ac:dyDescent="0.25">
      <c r="A5" s="516">
        <v>1</v>
      </c>
      <c r="B5" s="587">
        <v>4054656430</v>
      </c>
      <c r="C5" s="15" t="s">
        <v>26</v>
      </c>
      <c r="D5" s="582" t="s">
        <v>1105</v>
      </c>
      <c r="E5" s="15" t="s">
        <v>17</v>
      </c>
      <c r="F5" s="15" t="s">
        <v>1070</v>
      </c>
      <c r="G5" s="15" t="str">
        <f t="shared" ref="G5:G15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955</v>
      </c>
      <c r="I5" s="493">
        <v>45891</v>
      </c>
      <c r="J5" s="499">
        <v>0</v>
      </c>
      <c r="K5" s="390"/>
      <c r="L5" s="390"/>
      <c r="M5" s="390"/>
    </row>
    <row r="6" spans="1:13" s="346" customFormat="1" ht="25.5" customHeight="1" x14ac:dyDescent="0.25">
      <c r="A6" s="516">
        <v>2</v>
      </c>
      <c r="B6" s="587">
        <v>4054656460</v>
      </c>
      <c r="C6" s="15" t="s">
        <v>26</v>
      </c>
      <c r="D6" s="582" t="s">
        <v>1105</v>
      </c>
      <c r="E6" s="15" t="s">
        <v>17</v>
      </c>
      <c r="F6" s="15" t="s">
        <v>1070</v>
      </c>
      <c r="G6" s="15" t="str">
        <f t="shared" si="0"/>
        <v>Rétirédanslesdélais</v>
      </c>
      <c r="H6" s="275" t="s">
        <v>954</v>
      </c>
      <c r="I6" s="493">
        <v>45891</v>
      </c>
      <c r="J6" s="499" t="s">
        <v>1192</v>
      </c>
      <c r="K6" s="390"/>
      <c r="L6" s="390"/>
      <c r="M6" s="390"/>
    </row>
    <row r="7" spans="1:13" ht="25.5" customHeight="1" x14ac:dyDescent="0.25">
      <c r="A7" s="516">
        <v>3</v>
      </c>
      <c r="B7" s="587">
        <v>4054666420</v>
      </c>
      <c r="C7" s="15" t="s">
        <v>645</v>
      </c>
      <c r="D7" s="582" t="s">
        <v>1177</v>
      </c>
      <c r="E7" s="575" t="s">
        <v>259</v>
      </c>
      <c r="F7" s="15" t="s">
        <v>1070</v>
      </c>
      <c r="G7" s="15" t="str">
        <f t="shared" si="0"/>
        <v>Rétirétardivement-30000FCFAamende</v>
      </c>
      <c r="H7" s="275" t="s">
        <v>996</v>
      </c>
      <c r="I7" s="493">
        <v>45915</v>
      </c>
      <c r="J7" s="499">
        <v>0</v>
      </c>
      <c r="K7" s="390"/>
      <c r="L7" s="390"/>
      <c r="M7" s="390"/>
    </row>
    <row r="8" spans="1:13" ht="25.5" customHeight="1" x14ac:dyDescent="0.25">
      <c r="A8" s="516">
        <v>4</v>
      </c>
      <c r="B8" s="587">
        <v>4054706420</v>
      </c>
      <c r="C8" s="15" t="s">
        <v>26</v>
      </c>
      <c r="D8" s="582" t="s">
        <v>937</v>
      </c>
      <c r="E8" s="15" t="s">
        <v>17</v>
      </c>
      <c r="F8" s="575" t="s">
        <v>816</v>
      </c>
      <c r="G8" s="15" t="str">
        <f t="shared" si="0"/>
        <v>Rétirétardivement-30000FCFAamende</v>
      </c>
      <c r="H8" s="275" t="s">
        <v>992</v>
      </c>
      <c r="I8" s="493">
        <v>45912</v>
      </c>
      <c r="J8" s="499">
        <v>0</v>
      </c>
      <c r="K8" s="390"/>
      <c r="L8" s="390"/>
      <c r="M8" s="390"/>
    </row>
    <row r="9" spans="1:13" ht="25.5" customHeight="1" x14ac:dyDescent="0.25">
      <c r="A9" s="516">
        <v>5</v>
      </c>
      <c r="B9" s="587">
        <v>4054708360</v>
      </c>
      <c r="C9" s="15" t="s">
        <v>26</v>
      </c>
      <c r="D9" s="582" t="s">
        <v>1182</v>
      </c>
      <c r="E9" s="15" t="s">
        <v>17</v>
      </c>
      <c r="F9" s="15" t="s">
        <v>1070</v>
      </c>
      <c r="G9" s="15" t="str">
        <f t="shared" si="0"/>
        <v>Rétirédanslesdélais</v>
      </c>
      <c r="H9" s="275" t="s">
        <v>963</v>
      </c>
      <c r="I9" s="493">
        <v>45897</v>
      </c>
      <c r="J9" s="499">
        <v>0</v>
      </c>
      <c r="K9" s="390"/>
      <c r="L9" s="390"/>
      <c r="M9" s="390"/>
    </row>
    <row r="10" spans="1:13" ht="25.5" customHeight="1" x14ac:dyDescent="0.25">
      <c r="A10" s="516">
        <v>6</v>
      </c>
      <c r="B10" s="587">
        <v>4054723180</v>
      </c>
      <c r="C10" s="15" t="s">
        <v>26</v>
      </c>
      <c r="D10" s="582" t="s">
        <v>1182</v>
      </c>
      <c r="E10" s="15" t="s">
        <v>17</v>
      </c>
      <c r="F10" s="15" t="s">
        <v>1070</v>
      </c>
      <c r="G10" s="15" t="str">
        <f t="shared" si="0"/>
        <v>Rétirédanslesdélais</v>
      </c>
      <c r="H10" s="275" t="s">
        <v>964</v>
      </c>
      <c r="I10" s="493">
        <v>45897</v>
      </c>
      <c r="J10" s="499">
        <v>0</v>
      </c>
      <c r="K10" s="390"/>
      <c r="L10" s="390"/>
      <c r="M10" s="390"/>
    </row>
    <row r="11" spans="1:13" ht="25.5" customHeight="1" x14ac:dyDescent="0.25">
      <c r="A11" s="516">
        <v>7</v>
      </c>
      <c r="B11" s="587">
        <v>4054723190</v>
      </c>
      <c r="C11" s="15" t="s">
        <v>26</v>
      </c>
      <c r="D11" s="582" t="s">
        <v>1182</v>
      </c>
      <c r="E11" s="15" t="s">
        <v>17</v>
      </c>
      <c r="F11" s="15" t="s">
        <v>1070</v>
      </c>
      <c r="G11" s="15" t="str">
        <f t="shared" si="0"/>
        <v>Rétirédanslesdélais</v>
      </c>
      <c r="H11" s="275" t="s">
        <v>965</v>
      </c>
      <c r="I11" s="493">
        <v>45897</v>
      </c>
      <c r="J11" s="499">
        <v>0</v>
      </c>
      <c r="K11" s="390"/>
      <c r="L11" s="390"/>
      <c r="M11" s="390"/>
    </row>
    <row r="12" spans="1:13" ht="25.5" customHeight="1" x14ac:dyDescent="0.25">
      <c r="A12" s="516">
        <v>8</v>
      </c>
      <c r="B12" s="587">
        <v>4054728860</v>
      </c>
      <c r="C12" s="15" t="s">
        <v>26</v>
      </c>
      <c r="D12" s="583" t="s">
        <v>1193</v>
      </c>
      <c r="E12" s="15" t="s">
        <v>17</v>
      </c>
      <c r="F12" s="15" t="s">
        <v>1070</v>
      </c>
      <c r="G12" s="15" t="str">
        <f t="shared" si="0"/>
        <v>Rétirédanslesdélais</v>
      </c>
      <c r="H12" s="275" t="s">
        <v>970</v>
      </c>
      <c r="I12" s="493">
        <v>45901</v>
      </c>
      <c r="J12" s="499">
        <v>0</v>
      </c>
      <c r="K12" s="390" t="s">
        <v>1194</v>
      </c>
      <c r="L12" s="390"/>
      <c r="M12" s="390"/>
    </row>
    <row r="13" spans="1:13" ht="25.5" customHeight="1" x14ac:dyDescent="0.25">
      <c r="A13" s="516">
        <v>9</v>
      </c>
      <c r="B13" s="587">
        <v>4054733050</v>
      </c>
      <c r="C13" s="15" t="s">
        <v>26</v>
      </c>
      <c r="D13" s="583" t="s">
        <v>1195</v>
      </c>
      <c r="E13" s="15" t="s">
        <v>17</v>
      </c>
      <c r="F13" s="15" t="s">
        <v>1070</v>
      </c>
      <c r="G13" s="15" t="str">
        <f t="shared" si="0"/>
        <v>Rétirédanslesdélais</v>
      </c>
      <c r="H13" s="275" t="s">
        <v>947</v>
      </c>
      <c r="I13" s="493">
        <v>45890</v>
      </c>
      <c r="J13" s="499">
        <v>0</v>
      </c>
      <c r="K13" s="390"/>
      <c r="L13" s="390"/>
      <c r="M13" s="390"/>
    </row>
    <row r="14" spans="1:13" ht="25.5" customHeight="1" x14ac:dyDescent="0.25">
      <c r="A14" s="516">
        <v>10</v>
      </c>
      <c r="B14" s="587">
        <v>4054741250</v>
      </c>
      <c r="C14" s="15" t="s">
        <v>26</v>
      </c>
      <c r="D14" s="583" t="s">
        <v>1196</v>
      </c>
      <c r="E14" s="15" t="s">
        <v>17</v>
      </c>
      <c r="F14" s="15" t="s">
        <v>1070</v>
      </c>
      <c r="G14" s="15" t="str">
        <f t="shared" si="0"/>
        <v>Rétirédanslesdélais</v>
      </c>
      <c r="H14" s="275" t="s">
        <v>971</v>
      </c>
      <c r="I14" s="493">
        <v>45901</v>
      </c>
      <c r="J14" s="499">
        <v>0</v>
      </c>
      <c r="K14" s="390" t="s">
        <v>1194</v>
      </c>
      <c r="L14" s="390"/>
      <c r="M14" s="390"/>
    </row>
    <row r="15" spans="1:13" ht="25.5" customHeight="1" x14ac:dyDescent="0.25">
      <c r="A15" s="516">
        <v>11</v>
      </c>
      <c r="B15" s="587">
        <v>4054743390</v>
      </c>
      <c r="C15" s="15" t="s">
        <v>26</v>
      </c>
      <c r="D15" s="582" t="s">
        <v>1197</v>
      </c>
      <c r="E15" s="15" t="s">
        <v>17</v>
      </c>
      <c r="F15" s="15" t="s">
        <v>1070</v>
      </c>
      <c r="G15" s="15" t="str">
        <f t="shared" si="0"/>
        <v>Rétirédanslesdélais</v>
      </c>
      <c r="H15" s="275" t="s">
        <v>944</v>
      </c>
      <c r="I15" s="493">
        <v>45889</v>
      </c>
      <c r="J15" s="499">
        <v>0</v>
      </c>
      <c r="K15" s="390"/>
      <c r="L15" s="390"/>
      <c r="M15" s="390"/>
    </row>
    <row r="17" spans="4:4" x14ac:dyDescent="0.25">
      <c r="D17" s="208"/>
    </row>
  </sheetData>
  <autoFilter ref="A4:M15" xr:uid="{D559034C-E1A8-4788-A336-55187472940D}">
    <filterColumn colId="12" showButton="0"/>
  </autoFilter>
  <mergeCells count="2">
    <mergeCell ref="G1:I1"/>
    <mergeCell ref="A2:B2"/>
  </mergeCells>
  <conditionalFormatting sqref="A5:M15">
    <cfRule type="containsText" dxfId="1299" priority="7" operator="containsText" text="En Attente d'un Retrait Tardif">
      <formula>NOT(ISERROR(SEARCH("En Attente d'un Retrait Tardif",A5)))</formula>
    </cfRule>
    <cfRule type="containsText" dxfId="1298" priority="8" operator="containsText" text="Rétiré dans les délais">
      <formula>NOT(ISERROR(SEARCH("Rétiré dans les délais",A5)))</formula>
    </cfRule>
  </conditionalFormatting>
  <conditionalFormatting sqref="B16:B1048576 B1:B3">
    <cfRule type="duplicateValues" dxfId="1297" priority="1967"/>
  </conditionalFormatting>
  <conditionalFormatting sqref="B16:B1048576 B1:B4">
    <cfRule type="duplicateValues" dxfId="1296" priority="1970"/>
  </conditionalFormatting>
  <conditionalFormatting sqref="B16:B1048576">
    <cfRule type="duplicateValues" dxfId="1295" priority="1973"/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8252-C6C4-42FF-B60C-66A3763AFA89}">
  <sheetPr codeName="Feuil111">
    <tabColor rgb="FFFFFF00"/>
  </sheetPr>
  <dimension ref="A1:O9"/>
  <sheetViews>
    <sheetView zoomScaleNormal="100" workbookViewId="0">
      <selection activeCell="D21" sqref="D21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42.7109375" customWidth="1"/>
    <col min="4" max="4" width="19.7109375" style="105" customWidth="1"/>
    <col min="5" max="6" width="18.42578125" customWidth="1"/>
    <col min="7" max="7" width="13.140625" customWidth="1"/>
    <col min="8" max="8" width="14.140625" customWidth="1"/>
    <col min="9" max="9" width="41.7109375" customWidth="1"/>
    <col min="10" max="15" width="16.28515625" customWidth="1"/>
  </cols>
  <sheetData>
    <row r="1" spans="1:15" ht="19.5" thickBot="1" x14ac:dyDescent="0.35">
      <c r="A1" s="348" t="s">
        <v>1198</v>
      </c>
      <c r="B1" s="431"/>
      <c r="C1" s="288"/>
      <c r="D1" s="431"/>
      <c r="E1" s="288"/>
      <c r="F1" s="288"/>
      <c r="G1" s="288"/>
      <c r="H1" s="288"/>
      <c r="I1" s="729"/>
      <c r="J1" s="729"/>
      <c r="K1" s="729"/>
      <c r="L1" s="208"/>
      <c r="M1" s="208"/>
      <c r="N1" s="208"/>
    </row>
    <row r="2" spans="1:15" ht="24" thickBot="1" x14ac:dyDescent="0.3">
      <c r="A2" s="730" t="s">
        <v>0</v>
      </c>
      <c r="B2" s="730"/>
      <c r="C2" s="25"/>
      <c r="D2" s="24"/>
      <c r="E2" s="25"/>
      <c r="F2" s="25"/>
      <c r="G2" s="358">
        <f ca="1">K2-I2</f>
        <v>210</v>
      </c>
      <c r="H2" s="25"/>
      <c r="I2" s="314">
        <v>45886</v>
      </c>
      <c r="J2" s="365">
        <f ca="1">K2-I2</f>
        <v>210</v>
      </c>
      <c r="K2" s="315">
        <f ca="1">TODAY()</f>
        <v>46096</v>
      </c>
      <c r="L2" s="340" t="s">
        <v>1199</v>
      </c>
      <c r="M2" s="340"/>
      <c r="N2" s="208"/>
    </row>
    <row r="3" spans="1:15" x14ac:dyDescent="0.25">
      <c r="C3" s="292"/>
      <c r="E3" s="292"/>
      <c r="F3" s="292"/>
      <c r="G3" s="292"/>
      <c r="H3" s="292"/>
      <c r="I3" s="105"/>
      <c r="J3" s="105"/>
      <c r="K3" s="208"/>
      <c r="L3" s="208"/>
      <c r="M3" s="208"/>
      <c r="N3" s="369"/>
    </row>
    <row r="4" spans="1:15" ht="26.25" customHeight="1" x14ac:dyDescent="0.25">
      <c r="A4" s="481" t="s">
        <v>1</v>
      </c>
      <c r="B4" s="481" t="s">
        <v>2</v>
      </c>
      <c r="C4" s="481" t="s">
        <v>5</v>
      </c>
      <c r="D4" s="481" t="s">
        <v>3</v>
      </c>
      <c r="E4" s="585" t="s">
        <v>1200</v>
      </c>
      <c r="F4" s="585" t="s">
        <v>1201</v>
      </c>
      <c r="G4" s="481" t="s">
        <v>1065</v>
      </c>
      <c r="H4" s="481" t="s">
        <v>1066</v>
      </c>
      <c r="I4" s="481" t="s">
        <v>1067</v>
      </c>
      <c r="J4" s="481" t="s">
        <v>167</v>
      </c>
      <c r="K4" s="481" t="s">
        <v>1068</v>
      </c>
      <c r="L4" s="481" t="s">
        <v>8</v>
      </c>
      <c r="M4" s="481" t="s">
        <v>9</v>
      </c>
      <c r="N4" s="481" t="s">
        <v>10</v>
      </c>
      <c r="O4" s="481" t="s">
        <v>11</v>
      </c>
    </row>
    <row r="5" spans="1:15" s="346" customFormat="1" ht="23.25" customHeight="1" x14ac:dyDescent="0.25">
      <c r="A5" s="516">
        <v>1</v>
      </c>
      <c r="B5" s="545">
        <v>2161545660</v>
      </c>
      <c r="C5" s="323" t="s">
        <v>1202</v>
      </c>
      <c r="D5" s="15" t="s">
        <v>355</v>
      </c>
      <c r="E5" s="323"/>
      <c r="F5" s="323"/>
      <c r="G5" s="275" t="s">
        <v>1143</v>
      </c>
      <c r="H5" s="275" t="s">
        <v>1070</v>
      </c>
      <c r="I5" s="15" t="str">
        <f>IF(K5="",IF($G$2&lt;=15,"EnattentedeRetrait","EnAttented'unRetraitTardif"),IF(K5-$I$2&lt;=15,"Rétirédanslesdélais",IF(K5-$I$2&gt;15,"Rétirétardivement-30000FCFAamende")))</f>
        <v>Rétirédanslesdélais</v>
      </c>
      <c r="J5" s="275" t="s">
        <v>953</v>
      </c>
      <c r="K5" s="493">
        <v>45890</v>
      </c>
      <c r="L5" s="499">
        <v>0</v>
      </c>
      <c r="M5" s="390"/>
      <c r="N5" s="390"/>
      <c r="O5" s="390"/>
    </row>
    <row r="6" spans="1:15" s="346" customFormat="1" ht="23.25" customHeight="1" x14ac:dyDescent="0.25">
      <c r="A6" s="516">
        <v>2</v>
      </c>
      <c r="B6" s="545">
        <v>4054651360</v>
      </c>
      <c r="C6" s="323" t="s">
        <v>1079</v>
      </c>
      <c r="D6" s="15" t="s">
        <v>465</v>
      </c>
      <c r="E6" s="323"/>
      <c r="F6" s="323"/>
      <c r="G6" s="275" t="s">
        <v>1143</v>
      </c>
      <c r="H6" s="275" t="s">
        <v>1070</v>
      </c>
      <c r="I6" s="15" t="str">
        <f>IF(K6="",IF($G$2&lt;=15,"EnattentedeRetrait","EnAttented'unRetraitTardif"),IF(K6-$I$2&lt;=15,"Rétirédanslesdélais",IF(K6-$I$2&gt;15,"Rétirétardivement-30000FCFAamende")))</f>
        <v>Rétirédanslesdélais</v>
      </c>
      <c r="J6" s="275" t="s">
        <v>959</v>
      </c>
      <c r="K6" s="493">
        <v>45894</v>
      </c>
      <c r="L6" s="499">
        <v>0</v>
      </c>
      <c r="M6" s="390"/>
      <c r="N6" s="390"/>
      <c r="O6" s="390"/>
    </row>
    <row r="7" spans="1:15" ht="23.25" customHeight="1" x14ac:dyDescent="0.25">
      <c r="A7" s="516">
        <v>3</v>
      </c>
      <c r="B7" s="545">
        <v>4054690020</v>
      </c>
      <c r="C7" s="323" t="s">
        <v>1121</v>
      </c>
      <c r="D7" s="15" t="s">
        <v>465</v>
      </c>
      <c r="E7" s="323"/>
      <c r="F7" s="323"/>
      <c r="G7" s="275" t="s">
        <v>1143</v>
      </c>
      <c r="H7" s="275" t="s">
        <v>1070</v>
      </c>
      <c r="I7" s="15" t="str">
        <f>IF(K7="",IF($G$2&lt;=15,"EnattentedeRetrait","EnAttented'unRetraitTardif"),IF(K7-$I$2&lt;=15,"Rétirédanslesdélais",IF(K7-$I$2&gt;15,"Rétirétardivement-30000FCFAamende")))</f>
        <v>Rétirétardivement-30000FCFAamende</v>
      </c>
      <c r="J7" s="275" t="s">
        <v>984</v>
      </c>
      <c r="K7" s="493">
        <v>45910</v>
      </c>
      <c r="L7" s="499">
        <v>2680000</v>
      </c>
      <c r="M7" s="390"/>
      <c r="N7" s="390"/>
      <c r="O7" s="390"/>
    </row>
    <row r="8" spans="1:15" ht="23.25" customHeight="1" x14ac:dyDescent="0.25">
      <c r="A8" s="516">
        <v>4</v>
      </c>
      <c r="B8" s="545">
        <v>4054747560</v>
      </c>
      <c r="C8" s="584" t="s">
        <v>204</v>
      </c>
      <c r="D8" s="15" t="s">
        <v>465</v>
      </c>
      <c r="E8" s="323"/>
      <c r="F8" s="323"/>
      <c r="G8" s="275" t="s">
        <v>1143</v>
      </c>
      <c r="H8" s="275" t="s">
        <v>1070</v>
      </c>
      <c r="I8" s="15" t="str">
        <f>IF(K8="",IF($G$2&lt;=15,"EnattentedeRetrait","EnAttented'unRetraitTardif"),IF(K8-$I$2&lt;=15,"Rétirédanslesdélais",IF(K8-$I$2&gt;15,"Rétirétardivement-30000FCFAamende")))</f>
        <v>Rétirédanslesdélais</v>
      </c>
      <c r="J8" s="275" t="s">
        <v>966</v>
      </c>
      <c r="K8" s="493">
        <v>45897</v>
      </c>
      <c r="L8" s="499">
        <v>0</v>
      </c>
      <c r="M8" s="390"/>
      <c r="N8" s="390"/>
      <c r="O8" s="390"/>
    </row>
    <row r="9" spans="1:15" ht="23.25" customHeight="1" x14ac:dyDescent="0.25">
      <c r="A9" s="516">
        <v>5</v>
      </c>
      <c r="B9" s="545">
        <v>4054752880</v>
      </c>
      <c r="C9" s="323" t="s">
        <v>67</v>
      </c>
      <c r="D9" s="15" t="s">
        <v>465</v>
      </c>
      <c r="E9" s="323"/>
      <c r="F9" s="323"/>
      <c r="G9" s="275" t="s">
        <v>1143</v>
      </c>
      <c r="H9" s="275" t="s">
        <v>1070</v>
      </c>
      <c r="I9" s="15" t="str">
        <f>IF(K9="",IF($G$2&lt;=15,"EnattentedeRetrait","EnAttented'unRetraitTardif"),IF(K9-$I$2&lt;=15,"Rétirédanslesdélais",IF(K9-$I$2&gt;15,"Rétirétardivement-30000FCFAamende")))</f>
        <v>Rétirétardivement-30000FCFAamende</v>
      </c>
      <c r="J9" s="275" t="s">
        <v>985</v>
      </c>
      <c r="K9" s="493">
        <v>45910</v>
      </c>
      <c r="L9" s="499">
        <v>0</v>
      </c>
      <c r="M9" s="390"/>
      <c r="N9" s="390"/>
      <c r="O9" s="390"/>
    </row>
  </sheetData>
  <autoFilter ref="A4:O9" xr:uid="{D559034C-E1A8-4788-A336-55187472940D}">
    <filterColumn colId="14" showButton="0"/>
  </autoFilter>
  <mergeCells count="2">
    <mergeCell ref="I1:K1"/>
    <mergeCell ref="A2:B2"/>
  </mergeCells>
  <conditionalFormatting sqref="A5:O9">
    <cfRule type="containsText" dxfId="1294" priority="1" operator="containsText" text="En Attente d'un Retrait Tardif">
      <formula>NOT(ISERROR(SEARCH("En Attente d'un Retrait Tardif",A5)))</formula>
    </cfRule>
    <cfRule type="containsText" dxfId="1293" priority="2" operator="containsText" text="Rétiré dans les délais">
      <formula>NOT(ISERROR(SEARCH("Rétiré dans les délais",A5)))</formula>
    </cfRule>
  </conditionalFormatting>
  <conditionalFormatting sqref="B1:B3 B10:B1048576">
    <cfRule type="duplicateValues" dxfId="1292" priority="1960"/>
  </conditionalFormatting>
  <conditionalFormatting sqref="B10:B1048576 B1:B4">
    <cfRule type="duplicateValues" dxfId="1291" priority="1963"/>
  </conditionalFormatting>
  <conditionalFormatting sqref="B10:B1048576">
    <cfRule type="duplicateValues" dxfId="1290" priority="1966"/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6964-C220-4F6F-B32B-2C55D63C5C21}">
  <sheetPr codeName="Feuil112">
    <tabColor rgb="FFFFFF00"/>
  </sheetPr>
  <dimension ref="A1:M8"/>
  <sheetViews>
    <sheetView zoomScaleNormal="100" workbookViewId="0">
      <selection activeCell="H22" sqref="H22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6.42578125" style="105" customWidth="1"/>
    <col min="4" max="4" width="42.710937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1203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232</v>
      </c>
      <c r="F2" s="25"/>
      <c r="G2" s="314">
        <v>45864</v>
      </c>
      <c r="H2" s="365">
        <f ca="1">I2-G2</f>
        <v>232</v>
      </c>
      <c r="I2" s="315">
        <f ca="1">TODAY()</f>
        <v>46096</v>
      </c>
      <c r="J2" s="340"/>
      <c r="K2" s="340" t="s">
        <v>1129</v>
      </c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5.75" thickBot="1" x14ac:dyDescent="0.3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21.75" customHeight="1" x14ac:dyDescent="0.25">
      <c r="A5" s="535">
        <v>1</v>
      </c>
      <c r="B5" s="555">
        <v>4054637540</v>
      </c>
      <c r="C5" s="266" t="s">
        <v>355</v>
      </c>
      <c r="D5" s="556" t="s">
        <v>1204</v>
      </c>
      <c r="E5" s="536" t="s">
        <v>17</v>
      </c>
      <c r="F5" s="536" t="s">
        <v>1205</v>
      </c>
      <c r="G5" s="30" t="str">
        <f>IF(I5="",IF($E$2&lt;=15,"EnattentedeRetrait","EnAttented'unRetraitTardif"),IF(I5-$G$2&lt;=15,"Rétirédanslesdélais",IF(I5-$G$2&gt;15,"Rétirétardivement-30000FCFAamende")))</f>
        <v>Rétirédanslesdélais</v>
      </c>
      <c r="H5" s="536" t="s">
        <v>894</v>
      </c>
      <c r="I5" s="537">
        <v>45874</v>
      </c>
      <c r="J5" s="538">
        <v>0</v>
      </c>
      <c r="K5" s="539"/>
      <c r="L5" s="539"/>
      <c r="M5" s="540"/>
    </row>
    <row r="6" spans="1:13" s="346" customFormat="1" ht="21.75" customHeight="1" x14ac:dyDescent="0.25">
      <c r="A6" s="541">
        <v>2</v>
      </c>
      <c r="B6" s="557">
        <v>4054647520</v>
      </c>
      <c r="C6" s="266" t="s">
        <v>355</v>
      </c>
      <c r="D6" s="323" t="s">
        <v>1206</v>
      </c>
      <c r="E6" s="275" t="s">
        <v>17</v>
      </c>
      <c r="F6" s="275" t="s">
        <v>1207</v>
      </c>
      <c r="G6" s="15" t="str">
        <f>IF(I6="",IF($E$2&lt;=15,"EnattentedeRetrait","EnAttented'unRetraitTardif"),IF(I6-$G$2&lt;=15,"Rétirédanslesdélais",IF(I6-$G$2&gt;15,"Rétirétardivement-30000FCFAamende")))</f>
        <v>Rétirédanslesdélais</v>
      </c>
      <c r="H6" s="275" t="s">
        <v>874</v>
      </c>
      <c r="I6" s="493">
        <v>45867</v>
      </c>
      <c r="J6" s="499">
        <v>0</v>
      </c>
      <c r="K6" s="390"/>
      <c r="L6" s="390"/>
      <c r="M6" s="542"/>
    </row>
    <row r="7" spans="1:13" ht="21.75" customHeight="1" x14ac:dyDescent="0.25">
      <c r="A7" s="541">
        <v>3</v>
      </c>
      <c r="B7" s="557">
        <v>4054647530</v>
      </c>
      <c r="C7" s="266" t="s">
        <v>355</v>
      </c>
      <c r="D7" s="323" t="s">
        <v>1206</v>
      </c>
      <c r="E7" s="275" t="s">
        <v>17</v>
      </c>
      <c r="F7" s="275" t="s">
        <v>1207</v>
      </c>
      <c r="G7" s="15" t="str">
        <f>IF(I7="",IF($E$2&lt;=15,"EnattentedeRetrait","EnAttented'unRetraitTardif"),IF(I7-$G$2&lt;=15,"Rétirédanslesdélais",IF(I7-$G$2&gt;15,"Rétirétardivement-30000FCFAamende")))</f>
        <v>Rétirédanslesdélais</v>
      </c>
      <c r="H7" s="275" t="s">
        <v>885</v>
      </c>
      <c r="I7" s="493">
        <v>45867</v>
      </c>
      <c r="J7" s="499">
        <v>0</v>
      </c>
      <c r="K7" s="390"/>
      <c r="L7" s="390"/>
      <c r="M7" s="542"/>
    </row>
    <row r="8" spans="1:13" ht="21.75" customHeight="1" x14ac:dyDescent="0.25">
      <c r="A8" s="541">
        <v>4</v>
      </c>
      <c r="B8" s="557">
        <v>4054675600</v>
      </c>
      <c r="C8" s="266" t="s">
        <v>355</v>
      </c>
      <c r="D8" s="323" t="s">
        <v>831</v>
      </c>
      <c r="E8" s="275" t="s">
        <v>17</v>
      </c>
      <c r="F8" s="275" t="s">
        <v>1143</v>
      </c>
      <c r="G8" s="15" t="str">
        <f>IF(I8="",IF($E$2&lt;=15,"EnattentedeRetrait","EnAttented'unRetraitTardif"),IF(I8-$G$2&lt;=15,"Rétirédanslesdélais",IF(I8-$G$2&gt;15,"Rétirétardivement-30000FCFAamende")))</f>
        <v>Rétirédanslesdélais</v>
      </c>
      <c r="H8" s="275" t="s">
        <v>873</v>
      </c>
      <c r="I8" s="493">
        <v>45867</v>
      </c>
      <c r="J8" s="499">
        <v>0</v>
      </c>
      <c r="K8" s="390"/>
      <c r="L8" s="390"/>
      <c r="M8" s="542"/>
    </row>
  </sheetData>
  <autoFilter ref="A4:M8" xr:uid="{D559034C-E1A8-4788-A336-55187472940D}">
    <filterColumn colId="12" showButton="0"/>
  </autoFilter>
  <mergeCells count="2">
    <mergeCell ref="G1:I1"/>
    <mergeCell ref="A2:B2"/>
  </mergeCells>
  <conditionalFormatting sqref="A5:A8 D5:M8">
    <cfRule type="containsText" dxfId="1289" priority="2" operator="containsText" text="En Attente d'un Retrait Tardif">
      <formula>NOT(ISERROR(SEARCH("En Attente d'un Retrait Tardif",A5)))</formula>
    </cfRule>
    <cfRule type="containsText" dxfId="1288" priority="3" operator="containsText" text="Rétiré dans les délais">
      <formula>NOT(ISERROR(SEARCH("Rétiré dans les délais",A5)))</formula>
    </cfRule>
  </conditionalFormatting>
  <conditionalFormatting sqref="B1:B3 B9:B1048576">
    <cfRule type="duplicateValues" dxfId="1287" priority="1829"/>
  </conditionalFormatting>
  <conditionalFormatting sqref="B1:B4 B9:B1048576">
    <cfRule type="duplicateValues" dxfId="1286" priority="1832"/>
  </conditionalFormatting>
  <conditionalFormatting sqref="B1:B1048576">
    <cfRule type="duplicateValues" dxfId="1285" priority="1835"/>
  </conditionalFormatting>
  <conditionalFormatting sqref="B9:B1048576">
    <cfRule type="duplicateValues" dxfId="1284" priority="1838"/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D395-1502-4877-AD8E-A7FFC39D09AB}">
  <sheetPr codeName="Feuil113">
    <tabColor rgb="FFFFFF00"/>
  </sheetPr>
  <dimension ref="A1:M41"/>
  <sheetViews>
    <sheetView zoomScaleNormal="100" workbookViewId="0">
      <selection activeCell="J6" sqref="J6"/>
    </sheetView>
  </sheetViews>
  <sheetFormatPr baseColWidth="10" defaultRowHeight="15" x14ac:dyDescent="0.25"/>
  <cols>
    <col min="1" max="1" width="7.42578125" customWidth="1"/>
    <col min="2" max="2" width="15" style="562" bestFit="1" customWidth="1"/>
    <col min="3" max="3" width="16.42578125" style="105" customWidth="1"/>
    <col min="4" max="4" width="42.71093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1208</v>
      </c>
      <c r="B1" s="56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1"/>
      <c r="C2" s="24"/>
      <c r="D2" s="25"/>
      <c r="E2" s="358">
        <f ca="1">I2-G2</f>
        <v>238</v>
      </c>
      <c r="F2" s="25"/>
      <c r="G2" s="314">
        <v>45858</v>
      </c>
      <c r="H2" s="365">
        <f ca="1">I2-G2</f>
        <v>238</v>
      </c>
      <c r="I2" s="315">
        <f ca="1">TODAY()</f>
        <v>46096</v>
      </c>
      <c r="J2" s="340" t="s">
        <v>1129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5.75" thickBot="1" x14ac:dyDescent="0.3">
      <c r="A4" s="481" t="s">
        <v>1</v>
      </c>
      <c r="B4" s="563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21.75" customHeight="1" x14ac:dyDescent="0.25">
      <c r="A5" s="535">
        <v>1</v>
      </c>
      <c r="B5" s="15">
        <v>2160275190</v>
      </c>
      <c r="C5" s="421" t="s">
        <v>26</v>
      </c>
      <c r="D5" s="323" t="s">
        <v>1209</v>
      </c>
      <c r="E5" s="536" t="s">
        <v>49</v>
      </c>
      <c r="F5" s="536" t="s">
        <v>1210</v>
      </c>
      <c r="G5" s="30" t="str">
        <f t="shared" ref="G5:G25" si="0">IF(I5="",IF($E$2&lt;=15,"EnattentedeRetrait","EnAttented'unRetraitTardif"),IF(I5-$G$2&lt;=15,"Rétirédanslesdélais",IF(I5-$G$2&gt;15,"Rétirétardivement-30000FCFAamende")))</f>
        <v>Rétirédanslesdélais</v>
      </c>
      <c r="H5" s="536" t="s">
        <v>856</v>
      </c>
      <c r="I5" s="537">
        <v>45860</v>
      </c>
      <c r="J5" s="538">
        <v>0</v>
      </c>
      <c r="K5" s="539"/>
      <c r="L5" s="539"/>
      <c r="M5" s="540"/>
    </row>
    <row r="6" spans="1:13" s="346" customFormat="1" ht="21.75" customHeight="1" x14ac:dyDescent="0.25">
      <c r="A6" s="541">
        <v>2</v>
      </c>
      <c r="B6" s="15">
        <v>2759728610</v>
      </c>
      <c r="C6" s="421" t="s">
        <v>26</v>
      </c>
      <c r="D6" s="323" t="s">
        <v>1165</v>
      </c>
      <c r="E6" s="275" t="s">
        <v>49</v>
      </c>
      <c r="F6" s="275" t="s">
        <v>1210</v>
      </c>
      <c r="G6" s="15" t="str">
        <f t="shared" si="0"/>
        <v>Rétirédanslesdélais</v>
      </c>
      <c r="H6" s="275" t="s">
        <v>861</v>
      </c>
      <c r="I6" s="493">
        <v>45862</v>
      </c>
      <c r="J6" s="554" t="s">
        <v>1211</v>
      </c>
      <c r="K6" s="390"/>
      <c r="L6" s="390"/>
      <c r="M6" s="542"/>
    </row>
    <row r="7" spans="1:13" ht="21.75" customHeight="1" x14ac:dyDescent="0.25">
      <c r="A7" s="541">
        <v>3</v>
      </c>
      <c r="B7" s="15">
        <v>4054637180</v>
      </c>
      <c r="C7" s="421" t="s">
        <v>26</v>
      </c>
      <c r="D7" s="323" t="s">
        <v>1212</v>
      </c>
      <c r="E7" s="275" t="s">
        <v>49</v>
      </c>
      <c r="F7" s="275" t="s">
        <v>1210</v>
      </c>
      <c r="G7" s="15" t="str">
        <f t="shared" si="0"/>
        <v>Rétirédanslesdélais</v>
      </c>
      <c r="H7" s="275" t="s">
        <v>867</v>
      </c>
      <c r="I7" s="493">
        <v>45863</v>
      </c>
      <c r="J7" s="499">
        <v>0</v>
      </c>
      <c r="K7" s="390"/>
      <c r="L7" s="390"/>
      <c r="M7" s="542"/>
    </row>
    <row r="8" spans="1:13" ht="21.75" customHeight="1" x14ac:dyDescent="0.25">
      <c r="A8" s="541">
        <v>4</v>
      </c>
      <c r="B8" s="565">
        <v>4054645692</v>
      </c>
      <c r="C8" s="421" t="s">
        <v>26</v>
      </c>
      <c r="D8" s="323" t="s">
        <v>1172</v>
      </c>
      <c r="E8" s="275" t="s">
        <v>49</v>
      </c>
      <c r="F8" s="275" t="s">
        <v>1210</v>
      </c>
      <c r="G8" s="15" t="str">
        <f t="shared" si="0"/>
        <v>Rétirédanslesdélais</v>
      </c>
      <c r="H8" s="275" t="s">
        <v>886</v>
      </c>
      <c r="I8" s="493">
        <v>45868</v>
      </c>
      <c r="J8" s="499">
        <v>720000</v>
      </c>
      <c r="K8" s="390"/>
      <c r="L8" s="390"/>
      <c r="M8" s="542"/>
    </row>
    <row r="9" spans="1:13" ht="21.75" customHeight="1" x14ac:dyDescent="0.25">
      <c r="A9" s="541">
        <v>5</v>
      </c>
      <c r="B9" s="15">
        <v>4054645880</v>
      </c>
      <c r="C9" s="421" t="s">
        <v>26</v>
      </c>
      <c r="D9" s="323" t="s">
        <v>127</v>
      </c>
      <c r="E9" s="275" t="s">
        <v>49</v>
      </c>
      <c r="F9" s="275" t="s">
        <v>1210</v>
      </c>
      <c r="G9" s="15" t="str">
        <f t="shared" si="0"/>
        <v>Rétirédanslesdélais</v>
      </c>
      <c r="H9" s="275" t="s">
        <v>864</v>
      </c>
      <c r="I9" s="493">
        <v>45863</v>
      </c>
      <c r="J9" s="499">
        <v>0</v>
      </c>
      <c r="K9" s="390"/>
      <c r="L9" s="390"/>
      <c r="M9" s="542"/>
    </row>
    <row r="10" spans="1:13" ht="21.75" customHeight="1" x14ac:dyDescent="0.25">
      <c r="A10" s="541">
        <v>6</v>
      </c>
      <c r="B10" s="565">
        <v>4054649180</v>
      </c>
      <c r="C10" s="421" t="s">
        <v>26</v>
      </c>
      <c r="D10" s="323" t="s">
        <v>1172</v>
      </c>
      <c r="E10" s="275" t="s">
        <v>49</v>
      </c>
      <c r="F10" s="275" t="s">
        <v>1210</v>
      </c>
      <c r="G10" s="15" t="str">
        <f t="shared" si="0"/>
        <v>Rétirédanslesdélais</v>
      </c>
      <c r="H10" s="275" t="s">
        <v>887</v>
      </c>
      <c r="I10" s="493">
        <v>45868</v>
      </c>
      <c r="J10" s="499">
        <v>3200000</v>
      </c>
      <c r="K10" s="390"/>
      <c r="L10" s="390"/>
      <c r="M10" s="542"/>
    </row>
    <row r="11" spans="1:13" ht="21.75" customHeight="1" x14ac:dyDescent="0.25">
      <c r="A11" s="541">
        <v>7</v>
      </c>
      <c r="B11" s="565">
        <v>4054649189</v>
      </c>
      <c r="C11" s="421" t="s">
        <v>26</v>
      </c>
      <c r="D11" s="323" t="s">
        <v>1172</v>
      </c>
      <c r="E11" s="275" t="s">
        <v>49</v>
      </c>
      <c r="F11" s="275" t="s">
        <v>1210</v>
      </c>
      <c r="G11" s="15" t="str">
        <f t="shared" si="0"/>
        <v>Rétirédanslesdélais</v>
      </c>
      <c r="H11" s="275" t="s">
        <v>888</v>
      </c>
      <c r="I11" s="493">
        <v>45868</v>
      </c>
      <c r="J11" s="499">
        <v>0</v>
      </c>
      <c r="K11" s="390"/>
      <c r="L11" s="390"/>
      <c r="M11" s="542"/>
    </row>
    <row r="12" spans="1:13" ht="21.75" customHeight="1" x14ac:dyDescent="0.25">
      <c r="A12" s="541">
        <v>8</v>
      </c>
      <c r="B12" s="565">
        <v>4054657230</v>
      </c>
      <c r="C12" s="421" t="s">
        <v>26</v>
      </c>
      <c r="D12" s="323" t="s">
        <v>1172</v>
      </c>
      <c r="E12" s="275" t="s">
        <v>49</v>
      </c>
      <c r="F12" s="275" t="s">
        <v>1210</v>
      </c>
      <c r="G12" s="15" t="str">
        <f t="shared" si="0"/>
        <v>Rétirédanslesdélais</v>
      </c>
      <c r="H12" s="275" t="s">
        <v>889</v>
      </c>
      <c r="I12" s="493">
        <v>45868</v>
      </c>
      <c r="J12" s="499">
        <v>1120000</v>
      </c>
      <c r="K12" s="390"/>
      <c r="L12" s="390"/>
      <c r="M12" s="542"/>
    </row>
    <row r="13" spans="1:13" ht="21.75" customHeight="1" x14ac:dyDescent="0.25">
      <c r="A13" s="541">
        <v>9</v>
      </c>
      <c r="B13" s="565">
        <v>4054657239</v>
      </c>
      <c r="C13" s="421" t="s">
        <v>26</v>
      </c>
      <c r="D13" s="323" t="s">
        <v>1172</v>
      </c>
      <c r="E13" s="275" t="s">
        <v>49</v>
      </c>
      <c r="F13" s="275" t="s">
        <v>1210</v>
      </c>
      <c r="G13" s="15" t="str">
        <f t="shared" si="0"/>
        <v>Rétirédanslesdélais</v>
      </c>
      <c r="H13" s="275" t="s">
        <v>890</v>
      </c>
      <c r="I13" s="493">
        <v>45868</v>
      </c>
      <c r="J13" s="499">
        <v>0</v>
      </c>
      <c r="K13" s="390"/>
      <c r="L13" s="390"/>
      <c r="M13" s="542"/>
    </row>
    <row r="14" spans="1:13" ht="21.75" customHeight="1" x14ac:dyDescent="0.25">
      <c r="A14" s="541">
        <v>10</v>
      </c>
      <c r="B14" s="545">
        <v>4054657251</v>
      </c>
      <c r="C14" s="421" t="s">
        <v>1213</v>
      </c>
      <c r="D14" s="323" t="s">
        <v>1172</v>
      </c>
      <c r="E14" s="362" t="s">
        <v>49</v>
      </c>
      <c r="F14" s="362" t="s">
        <v>1210</v>
      </c>
      <c r="G14" s="545" t="str">
        <f t="shared" si="0"/>
        <v>Rétirédanslesdélais</v>
      </c>
      <c r="H14" s="275" t="s">
        <v>891</v>
      </c>
      <c r="I14" s="493">
        <v>45868</v>
      </c>
      <c r="J14" s="499">
        <v>1200000</v>
      </c>
      <c r="K14" s="390"/>
      <c r="L14" s="390"/>
      <c r="M14" s="543"/>
    </row>
    <row r="15" spans="1:13" ht="21.75" customHeight="1" x14ac:dyDescent="0.25">
      <c r="A15" s="541">
        <v>11</v>
      </c>
      <c r="B15" s="15">
        <v>4054659110</v>
      </c>
      <c r="C15" s="421" t="s">
        <v>26</v>
      </c>
      <c r="D15" s="323" t="s">
        <v>1212</v>
      </c>
      <c r="E15" s="275" t="s">
        <v>49</v>
      </c>
      <c r="F15" s="275" t="s">
        <v>1210</v>
      </c>
      <c r="G15" s="15" t="str">
        <f t="shared" si="0"/>
        <v>Rétirédanslesdélais</v>
      </c>
      <c r="H15" s="275" t="s">
        <v>868</v>
      </c>
      <c r="I15" s="493">
        <v>45863</v>
      </c>
      <c r="J15" s="499">
        <v>0</v>
      </c>
      <c r="K15" s="390"/>
      <c r="L15" s="390"/>
      <c r="M15" s="542"/>
    </row>
    <row r="16" spans="1:13" ht="21.75" customHeight="1" x14ac:dyDescent="0.25">
      <c r="A16" s="541">
        <v>12</v>
      </c>
      <c r="B16" s="560">
        <v>4054665321</v>
      </c>
      <c r="C16" s="421" t="s">
        <v>26</v>
      </c>
      <c r="D16" s="323" t="s">
        <v>1172</v>
      </c>
      <c r="E16" s="362" t="s">
        <v>49</v>
      </c>
      <c r="F16" s="362" t="s">
        <v>1210</v>
      </c>
      <c r="G16" s="545" t="str">
        <f t="shared" si="0"/>
        <v>Rétirédanslesdélais</v>
      </c>
      <c r="H16" s="275" t="s">
        <v>892</v>
      </c>
      <c r="I16" s="493">
        <v>45868</v>
      </c>
      <c r="J16" s="499">
        <v>0</v>
      </c>
      <c r="K16" s="390"/>
      <c r="L16" s="390"/>
      <c r="M16" s="542"/>
    </row>
    <row r="17" spans="1:13" ht="21.75" customHeight="1" x14ac:dyDescent="0.25">
      <c r="A17" s="541">
        <v>13</v>
      </c>
      <c r="B17" s="545">
        <v>4054665352</v>
      </c>
      <c r="C17" s="421" t="s">
        <v>26</v>
      </c>
      <c r="D17" s="323" t="s">
        <v>1172</v>
      </c>
      <c r="E17" s="275" t="s">
        <v>49</v>
      </c>
      <c r="F17" s="275" t="s">
        <v>1210</v>
      </c>
      <c r="G17" s="15" t="str">
        <f t="shared" si="0"/>
        <v>Rétirédanslesdélais</v>
      </c>
      <c r="H17" s="275" t="s">
        <v>893</v>
      </c>
      <c r="I17" s="493">
        <v>45868</v>
      </c>
      <c r="J17" s="499">
        <v>2400000</v>
      </c>
      <c r="K17" s="390"/>
      <c r="L17" s="390"/>
      <c r="M17" s="542"/>
    </row>
    <row r="18" spans="1:13" ht="21.75" customHeight="1" x14ac:dyDescent="0.25">
      <c r="A18" s="541">
        <v>14</v>
      </c>
      <c r="B18" s="15">
        <v>4054670330</v>
      </c>
      <c r="C18" s="421" t="s">
        <v>26</v>
      </c>
      <c r="D18" s="323" t="s">
        <v>43</v>
      </c>
      <c r="E18" s="307" t="s">
        <v>49</v>
      </c>
      <c r="F18" s="307" t="s">
        <v>1210</v>
      </c>
      <c r="G18" s="531" t="str">
        <f t="shared" si="0"/>
        <v>Rétirédanslesdélais</v>
      </c>
      <c r="H18" s="275" t="s">
        <v>860</v>
      </c>
      <c r="I18" s="529">
        <v>45862</v>
      </c>
      <c r="J18" s="530">
        <v>0</v>
      </c>
      <c r="K18" s="444"/>
      <c r="L18" s="444"/>
      <c r="M18" s="542"/>
    </row>
    <row r="19" spans="1:13" ht="21.75" customHeight="1" x14ac:dyDescent="0.25">
      <c r="A19" s="541">
        <v>15</v>
      </c>
      <c r="B19" s="15">
        <v>4054672160</v>
      </c>
      <c r="C19" s="421" t="s">
        <v>26</v>
      </c>
      <c r="D19" s="323" t="s">
        <v>43</v>
      </c>
      <c r="E19" s="275" t="s">
        <v>49</v>
      </c>
      <c r="F19" s="275" t="s">
        <v>1210</v>
      </c>
      <c r="G19" s="15" t="str">
        <f t="shared" si="0"/>
        <v>Rétirédanslesdélais</v>
      </c>
      <c r="H19" s="275" t="s">
        <v>859</v>
      </c>
      <c r="I19" s="493">
        <v>45862</v>
      </c>
      <c r="J19" s="499">
        <v>0</v>
      </c>
      <c r="K19" s="390"/>
      <c r="L19" s="390"/>
      <c r="M19" s="542"/>
    </row>
    <row r="20" spans="1:13" ht="21.75" customHeight="1" x14ac:dyDescent="0.25">
      <c r="A20" s="541">
        <v>16</v>
      </c>
      <c r="B20" s="15">
        <v>4054677210</v>
      </c>
      <c r="C20" s="421" t="s">
        <v>26</v>
      </c>
      <c r="D20" s="323" t="s">
        <v>1214</v>
      </c>
      <c r="E20" s="275" t="s">
        <v>1215</v>
      </c>
      <c r="F20" s="275" t="s">
        <v>1210</v>
      </c>
      <c r="G20" s="15" t="str">
        <f t="shared" si="0"/>
        <v>Rétirédanslesdélais</v>
      </c>
      <c r="H20" s="275" t="s">
        <v>871</v>
      </c>
      <c r="I20" s="493">
        <v>45867</v>
      </c>
      <c r="J20" s="499">
        <v>0</v>
      </c>
      <c r="K20" s="390"/>
      <c r="L20" s="390"/>
      <c r="M20" s="542"/>
    </row>
    <row r="21" spans="1:13" ht="21.75" customHeight="1" x14ac:dyDescent="0.25">
      <c r="A21" s="541">
        <v>17</v>
      </c>
      <c r="B21" s="15">
        <v>4054677690</v>
      </c>
      <c r="C21" s="421" t="s">
        <v>26</v>
      </c>
      <c r="D21" s="323" t="s">
        <v>1185</v>
      </c>
      <c r="E21" s="275" t="s">
        <v>49</v>
      </c>
      <c r="F21" s="275" t="s">
        <v>1210</v>
      </c>
      <c r="G21" s="15" t="str">
        <f t="shared" si="0"/>
        <v>Rétirédanslesdélais</v>
      </c>
      <c r="H21" s="275" t="s">
        <v>865</v>
      </c>
      <c r="I21" s="493">
        <v>45863</v>
      </c>
      <c r="J21" s="499">
        <v>0</v>
      </c>
      <c r="K21" s="390"/>
      <c r="L21" s="390"/>
      <c r="M21" s="542"/>
    </row>
    <row r="22" spans="1:13" ht="21.75" customHeight="1" x14ac:dyDescent="0.25">
      <c r="A22" s="541">
        <v>18</v>
      </c>
      <c r="B22" s="553">
        <v>4054678640</v>
      </c>
      <c r="C22" s="421" t="s">
        <v>26</v>
      </c>
      <c r="D22" s="323" t="s">
        <v>1216</v>
      </c>
      <c r="E22" s="275" t="s">
        <v>49</v>
      </c>
      <c r="F22" s="275" t="s">
        <v>259</v>
      </c>
      <c r="G22" s="15" t="str">
        <f t="shared" si="0"/>
        <v>Rétirédanslesdélais</v>
      </c>
      <c r="H22" s="275" t="s">
        <v>869</v>
      </c>
      <c r="I22" s="493">
        <v>45866</v>
      </c>
      <c r="J22" s="499">
        <v>0</v>
      </c>
      <c r="K22" s="390"/>
      <c r="L22" s="390"/>
      <c r="M22" s="542"/>
    </row>
    <row r="23" spans="1:13" ht="21.75" customHeight="1" x14ac:dyDescent="0.25">
      <c r="A23" s="541">
        <v>19</v>
      </c>
      <c r="B23" s="553">
        <v>4054678700</v>
      </c>
      <c r="C23" s="421" t="s">
        <v>26</v>
      </c>
      <c r="D23" s="323" t="s">
        <v>1216</v>
      </c>
      <c r="E23" s="275" t="s">
        <v>49</v>
      </c>
      <c r="F23" s="275" t="s">
        <v>259</v>
      </c>
      <c r="G23" s="15" t="str">
        <f t="shared" si="0"/>
        <v>Rétirétardivement-30000FCFAamende</v>
      </c>
      <c r="H23" s="275" t="s">
        <v>895</v>
      </c>
      <c r="I23" s="493">
        <v>45874</v>
      </c>
      <c r="J23" s="499">
        <v>0</v>
      </c>
      <c r="K23" s="390"/>
      <c r="L23" s="390"/>
      <c r="M23" s="542"/>
    </row>
    <row r="24" spans="1:13" ht="21.75" customHeight="1" x14ac:dyDescent="0.25">
      <c r="A24" s="541">
        <v>20</v>
      </c>
      <c r="B24" s="15">
        <v>4054679200</v>
      </c>
      <c r="C24" s="421" t="s">
        <v>26</v>
      </c>
      <c r="D24" s="323" t="s">
        <v>1185</v>
      </c>
      <c r="E24" s="275" t="s">
        <v>49</v>
      </c>
      <c r="F24" s="275" t="s">
        <v>1210</v>
      </c>
      <c r="G24" s="15" t="str">
        <f t="shared" si="0"/>
        <v>Rétirédanslesdélais</v>
      </c>
      <c r="H24" s="275" t="s">
        <v>866</v>
      </c>
      <c r="I24" s="493">
        <v>45863</v>
      </c>
      <c r="J24" s="499">
        <v>0</v>
      </c>
      <c r="K24" s="390"/>
      <c r="L24" s="390"/>
      <c r="M24" s="542"/>
    </row>
    <row r="25" spans="1:13" ht="21.75" customHeight="1" thickBot="1" x14ac:dyDescent="0.3">
      <c r="A25" s="544">
        <v>21</v>
      </c>
      <c r="B25" s="16">
        <v>4054690100</v>
      </c>
      <c r="C25" s="546" t="s">
        <v>26</v>
      </c>
      <c r="D25" s="547" t="s">
        <v>1217</v>
      </c>
      <c r="E25" s="548" t="s">
        <v>49</v>
      </c>
      <c r="F25" s="548" t="s">
        <v>1210</v>
      </c>
      <c r="G25" s="16" t="str">
        <f t="shared" si="0"/>
        <v>Rétirédanslesdélais</v>
      </c>
      <c r="H25" s="548" t="s">
        <v>857</v>
      </c>
      <c r="I25" s="549">
        <v>45860</v>
      </c>
      <c r="J25" s="550">
        <v>0</v>
      </c>
      <c r="K25" s="551"/>
      <c r="L25" s="551"/>
      <c r="M25" s="552"/>
    </row>
    <row r="31" spans="1:13" x14ac:dyDescent="0.25">
      <c r="B31"/>
      <c r="C31"/>
    </row>
    <row r="32" spans="1:1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</sheetData>
  <autoFilter ref="A4:M25" xr:uid="{D559034C-E1A8-4788-A336-55187472940D}">
    <filterColumn colId="12" showButton="0"/>
  </autoFilter>
  <mergeCells count="2">
    <mergeCell ref="G1:I1"/>
    <mergeCell ref="A2:B2"/>
  </mergeCells>
  <conditionalFormatting sqref="A5:A25 D5:M25">
    <cfRule type="containsText" dxfId="1283" priority="6" operator="containsText" text="En Attente d'un Retrait Tardif">
      <formula>NOT(ISERROR(SEARCH("En Attente d'un Retrait Tardif",A5)))</formula>
    </cfRule>
    <cfRule type="containsText" dxfId="1282" priority="7" operator="containsText" text="Rétiré dans les délais">
      <formula>NOT(ISERROR(SEARCH("Rétiré dans les délais",A5)))</formula>
    </cfRule>
  </conditionalFormatting>
  <conditionalFormatting sqref="B1:B3 B26:B30 B42:B1048576">
    <cfRule type="duplicateValues" dxfId="1281" priority="8"/>
  </conditionalFormatting>
  <conditionalFormatting sqref="B1:B4 B26:B30 B42:B1048576">
    <cfRule type="duplicateValues" dxfId="1280" priority="11"/>
  </conditionalFormatting>
  <conditionalFormatting sqref="B1:B30 B42:B1048576">
    <cfRule type="duplicateValues" dxfId="1279" priority="1"/>
  </conditionalFormatting>
  <conditionalFormatting sqref="B17:B30 B1:B15 B42:B1048576">
    <cfRule type="duplicateValues" dxfId="1278" priority="3"/>
  </conditionalFormatting>
  <conditionalFormatting sqref="B26:B30 B42:B1048576">
    <cfRule type="duplicateValues" dxfId="1277" priority="10"/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8789-04EC-47C4-8497-A3C1C4083133}">
  <sheetPr codeName="Feuil114">
    <tabColor rgb="FFFFFF00"/>
  </sheetPr>
  <dimension ref="A1:M24"/>
  <sheetViews>
    <sheetView zoomScaleNormal="100" workbookViewId="0">
      <selection activeCell="H26" sqref="H26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1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1218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261</v>
      </c>
      <c r="F2" s="25"/>
      <c r="G2" s="314">
        <v>45835</v>
      </c>
      <c r="H2" s="365">
        <f ca="1">I2-G2</f>
        <v>261</v>
      </c>
      <c r="I2" s="315">
        <f ca="1">TODAY()</f>
        <v>46096</v>
      </c>
      <c r="J2" s="340" t="s">
        <v>1129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19.5" customHeight="1" x14ac:dyDescent="0.25">
      <c r="A5" s="516">
        <v>9</v>
      </c>
      <c r="B5" s="15">
        <v>4054408920</v>
      </c>
      <c r="C5" s="15" t="s">
        <v>26</v>
      </c>
      <c r="D5" s="323" t="s">
        <v>1167</v>
      </c>
      <c r="E5" s="275" t="s">
        <v>1154</v>
      </c>
      <c r="F5" s="275" t="s">
        <v>1207</v>
      </c>
      <c r="G5" s="15" t="str">
        <f t="shared" ref="G5:G22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913</v>
      </c>
      <c r="I5" s="493">
        <v>45882</v>
      </c>
      <c r="J5" s="554" t="s">
        <v>1219</v>
      </c>
      <c r="K5" s="390"/>
      <c r="L5" s="390"/>
      <c r="M5" s="390"/>
    </row>
    <row r="6" spans="1:13" s="346" customFormat="1" ht="19.5" customHeight="1" x14ac:dyDescent="0.25">
      <c r="A6" s="516">
        <v>10</v>
      </c>
      <c r="B6" s="15">
        <v>4054538570</v>
      </c>
      <c r="C6" s="15" t="s">
        <v>26</v>
      </c>
      <c r="D6" s="323" t="s">
        <v>1220</v>
      </c>
      <c r="E6" s="275" t="s">
        <v>17</v>
      </c>
      <c r="F6" s="275" t="s">
        <v>1207</v>
      </c>
      <c r="G6" s="15" t="str">
        <f t="shared" si="0"/>
        <v>Rétirédanslesdélais</v>
      </c>
      <c r="H6" s="275" t="s">
        <v>824</v>
      </c>
      <c r="I6" s="493">
        <v>45842</v>
      </c>
      <c r="J6" s="499">
        <v>0</v>
      </c>
      <c r="K6" s="390"/>
      <c r="L6" s="390"/>
      <c r="M6" s="390"/>
    </row>
    <row r="7" spans="1:13" ht="19.5" customHeight="1" x14ac:dyDescent="0.25">
      <c r="A7" s="516">
        <v>11</v>
      </c>
      <c r="B7" s="15">
        <v>4054564000</v>
      </c>
      <c r="C7" s="15" t="s">
        <v>26</v>
      </c>
      <c r="D7" s="323" t="s">
        <v>1075</v>
      </c>
      <c r="E7" s="275" t="s">
        <v>17</v>
      </c>
      <c r="F7" s="275" t="s">
        <v>1207</v>
      </c>
      <c r="G7" s="15" t="str">
        <f t="shared" si="0"/>
        <v>Rétirédanslesdélais</v>
      </c>
      <c r="H7" s="275" t="s">
        <v>829</v>
      </c>
      <c r="I7" s="493">
        <v>45842</v>
      </c>
      <c r="J7" s="499" t="s">
        <v>1221</v>
      </c>
      <c r="K7" s="390"/>
      <c r="L7" s="390"/>
      <c r="M7" s="390"/>
    </row>
    <row r="8" spans="1:13" ht="19.5" customHeight="1" x14ac:dyDescent="0.25">
      <c r="A8" s="516">
        <v>12</v>
      </c>
      <c r="B8" s="15">
        <v>4054564001</v>
      </c>
      <c r="C8" s="15" t="s">
        <v>24</v>
      </c>
      <c r="D8" s="323" t="s">
        <v>1075</v>
      </c>
      <c r="E8" s="275" t="s">
        <v>17</v>
      </c>
      <c r="F8" s="275" t="s">
        <v>1207</v>
      </c>
      <c r="G8" s="15" t="str">
        <f t="shared" si="0"/>
        <v>Rétirédanslesdélais</v>
      </c>
      <c r="H8" s="275" t="s">
        <v>817</v>
      </c>
      <c r="I8" s="493">
        <v>45839</v>
      </c>
      <c r="J8" s="499">
        <v>0</v>
      </c>
      <c r="K8" s="390"/>
      <c r="L8" s="390"/>
      <c r="M8" s="390"/>
    </row>
    <row r="9" spans="1:13" ht="19.5" customHeight="1" x14ac:dyDescent="0.25">
      <c r="A9" s="516">
        <v>13</v>
      </c>
      <c r="B9" s="15">
        <v>4054621210</v>
      </c>
      <c r="C9" s="15" t="s">
        <v>26</v>
      </c>
      <c r="D9" s="323" t="s">
        <v>1105</v>
      </c>
      <c r="E9" s="275" t="s">
        <v>17</v>
      </c>
      <c r="F9" s="275" t="s">
        <v>1207</v>
      </c>
      <c r="G9" s="15" t="str">
        <f t="shared" si="0"/>
        <v>Rétirédanslesdélais</v>
      </c>
      <c r="H9" s="275" t="s">
        <v>828</v>
      </c>
      <c r="I9" s="493">
        <v>45842</v>
      </c>
      <c r="J9" s="499">
        <v>0</v>
      </c>
      <c r="K9" s="390"/>
      <c r="L9" s="390"/>
      <c r="M9" s="390"/>
    </row>
    <row r="10" spans="1:13" ht="19.5" customHeight="1" x14ac:dyDescent="0.25">
      <c r="A10" s="516">
        <v>1</v>
      </c>
      <c r="B10" s="15">
        <v>4054622480</v>
      </c>
      <c r="C10" s="15" t="s">
        <v>26</v>
      </c>
      <c r="D10" s="323" t="s">
        <v>1222</v>
      </c>
      <c r="E10" s="275" t="s">
        <v>17</v>
      </c>
      <c r="F10" s="275" t="s">
        <v>1207</v>
      </c>
      <c r="G10" s="15" t="str">
        <f t="shared" si="0"/>
        <v>Rétirétardivement-30000FCFAamende</v>
      </c>
      <c r="H10" s="275" t="s">
        <v>855</v>
      </c>
      <c r="I10" s="493">
        <v>45854</v>
      </c>
      <c r="J10" s="499">
        <v>4120000</v>
      </c>
      <c r="K10" s="390"/>
      <c r="L10" s="390"/>
      <c r="M10" s="390"/>
    </row>
    <row r="11" spans="1:13" ht="19.5" customHeight="1" x14ac:dyDescent="0.25">
      <c r="A11" s="516">
        <v>2</v>
      </c>
      <c r="B11" s="15">
        <v>4054622489</v>
      </c>
      <c r="C11" s="15" t="s">
        <v>26</v>
      </c>
      <c r="D11" s="323" t="s">
        <v>1222</v>
      </c>
      <c r="E11" s="275" t="s">
        <v>17</v>
      </c>
      <c r="F11" s="275" t="s">
        <v>1207</v>
      </c>
      <c r="G11" s="15" t="str">
        <f t="shared" si="0"/>
        <v>Rétirétardivement-30000FCFAamende</v>
      </c>
      <c r="H11" s="275" t="s">
        <v>847</v>
      </c>
      <c r="I11" s="493">
        <v>45853</v>
      </c>
      <c r="J11" s="499">
        <v>0</v>
      </c>
      <c r="K11" s="390"/>
      <c r="L11" s="390"/>
      <c r="M11" s="390"/>
    </row>
    <row r="12" spans="1:13" ht="19.5" customHeight="1" x14ac:dyDescent="0.25">
      <c r="A12" s="516">
        <v>14</v>
      </c>
      <c r="B12" s="15">
        <v>4054623290</v>
      </c>
      <c r="C12" s="15" t="s">
        <v>645</v>
      </c>
      <c r="D12" s="323" t="s">
        <v>1223</v>
      </c>
      <c r="E12" s="275" t="s">
        <v>17</v>
      </c>
      <c r="F12" s="275" t="s">
        <v>1207</v>
      </c>
      <c r="G12" s="15" t="str">
        <f t="shared" si="0"/>
        <v>Rétirétardivement-30000FCFAamende</v>
      </c>
      <c r="H12" s="275" t="s">
        <v>957</v>
      </c>
      <c r="I12" s="493">
        <v>45891</v>
      </c>
      <c r="J12" s="499" t="s">
        <v>1224</v>
      </c>
      <c r="K12" s="390"/>
      <c r="L12" s="390"/>
      <c r="M12" s="390"/>
    </row>
    <row r="13" spans="1:13" ht="19.5" customHeight="1" x14ac:dyDescent="0.25">
      <c r="A13" s="516">
        <v>15</v>
      </c>
      <c r="B13" s="15">
        <v>4054645840</v>
      </c>
      <c r="C13" s="15" t="s">
        <v>26</v>
      </c>
      <c r="D13" s="323" t="s">
        <v>1170</v>
      </c>
      <c r="E13" s="275" t="s">
        <v>1154</v>
      </c>
      <c r="F13" s="275" t="s">
        <v>816</v>
      </c>
      <c r="G13" s="15" t="str">
        <f t="shared" si="0"/>
        <v>Rétirétardivement-30000FCFAamende</v>
      </c>
      <c r="H13" s="275" t="s">
        <v>863</v>
      </c>
      <c r="I13" s="493">
        <v>45863</v>
      </c>
      <c r="J13" s="554" t="s">
        <v>1225</v>
      </c>
      <c r="K13" s="390"/>
      <c r="L13" s="390"/>
      <c r="M13" s="390"/>
    </row>
    <row r="14" spans="1:13" ht="19.5" customHeight="1" x14ac:dyDescent="0.25">
      <c r="A14" s="516">
        <v>16</v>
      </c>
      <c r="B14" s="15">
        <v>4054645850</v>
      </c>
      <c r="C14" s="15" t="s">
        <v>26</v>
      </c>
      <c r="D14" s="323" t="s">
        <v>1170</v>
      </c>
      <c r="E14" s="275" t="s">
        <v>1154</v>
      </c>
      <c r="F14" s="275" t="s">
        <v>816</v>
      </c>
      <c r="G14" s="15" t="str">
        <f t="shared" si="0"/>
        <v>Rétirétardivement-30000FCFAamende</v>
      </c>
      <c r="H14" s="275" t="s">
        <v>862</v>
      </c>
      <c r="I14" s="493">
        <v>45863</v>
      </c>
      <c r="J14" s="499">
        <v>0</v>
      </c>
      <c r="K14" s="390"/>
      <c r="L14" s="390"/>
      <c r="M14" s="390"/>
    </row>
    <row r="15" spans="1:13" ht="19.5" customHeight="1" x14ac:dyDescent="0.25">
      <c r="A15" s="516">
        <v>17</v>
      </c>
      <c r="B15" s="15">
        <v>4054654990</v>
      </c>
      <c r="C15" s="15" t="s">
        <v>26</v>
      </c>
      <c r="D15" s="323" t="s">
        <v>1119</v>
      </c>
      <c r="E15" s="275" t="s">
        <v>1154</v>
      </c>
      <c r="F15" s="275" t="s">
        <v>1207</v>
      </c>
      <c r="G15" s="15" t="str">
        <f t="shared" si="0"/>
        <v>Rétirédanslesdélais</v>
      </c>
      <c r="H15" s="275" t="s">
        <v>830</v>
      </c>
      <c r="I15" s="493">
        <v>45839</v>
      </c>
      <c r="J15" s="499">
        <v>0</v>
      </c>
      <c r="K15" s="390"/>
      <c r="L15" s="390"/>
      <c r="M15" s="390"/>
    </row>
    <row r="16" spans="1:13" ht="19.5" customHeight="1" x14ac:dyDescent="0.25">
      <c r="A16" s="516">
        <v>18</v>
      </c>
      <c r="B16" s="15">
        <v>4054656490</v>
      </c>
      <c r="C16" s="15" t="s">
        <v>26</v>
      </c>
      <c r="D16" s="323" t="s">
        <v>1105</v>
      </c>
      <c r="E16" s="275" t="s">
        <v>17</v>
      </c>
      <c r="F16" s="275" t="s">
        <v>1207</v>
      </c>
      <c r="G16" s="15" t="str">
        <f t="shared" si="0"/>
        <v>Rétirédanslesdélais</v>
      </c>
      <c r="H16" s="275" t="s">
        <v>827</v>
      </c>
      <c r="I16" s="493">
        <v>45842</v>
      </c>
      <c r="J16" s="499">
        <v>0</v>
      </c>
      <c r="K16" s="390"/>
      <c r="L16" s="390"/>
      <c r="M16" s="390"/>
    </row>
    <row r="17" spans="1:13" ht="19.5" customHeight="1" x14ac:dyDescent="0.25">
      <c r="A17" s="516">
        <v>3</v>
      </c>
      <c r="B17" s="15">
        <v>4054657250</v>
      </c>
      <c r="C17" s="15" t="s">
        <v>26</v>
      </c>
      <c r="D17" s="323" t="s">
        <v>1222</v>
      </c>
      <c r="E17" s="275" t="s">
        <v>17</v>
      </c>
      <c r="F17" s="275" t="s">
        <v>1207</v>
      </c>
      <c r="G17" s="15" t="str">
        <f t="shared" si="0"/>
        <v>Rétirétardivement-30000FCFAamende</v>
      </c>
      <c r="H17" s="275" t="s">
        <v>848</v>
      </c>
      <c r="I17" s="493">
        <v>45853</v>
      </c>
      <c r="J17" s="499">
        <v>0</v>
      </c>
      <c r="K17" s="390"/>
      <c r="L17" s="390"/>
      <c r="M17" s="390"/>
    </row>
    <row r="18" spans="1:13" ht="19.5" customHeight="1" x14ac:dyDescent="0.25">
      <c r="A18" s="516">
        <v>4</v>
      </c>
      <c r="B18" s="15">
        <v>4054665320</v>
      </c>
      <c r="C18" s="15" t="s">
        <v>26</v>
      </c>
      <c r="D18" s="323" t="s">
        <v>1222</v>
      </c>
      <c r="E18" s="275" t="s">
        <v>17</v>
      </c>
      <c r="F18" s="275" t="s">
        <v>1207</v>
      </c>
      <c r="G18" s="15" t="str">
        <f t="shared" si="0"/>
        <v>Rétirétardivement-30000FCFAamende</v>
      </c>
      <c r="H18" s="275" t="s">
        <v>854</v>
      </c>
      <c r="I18" s="493">
        <v>45854</v>
      </c>
      <c r="J18" s="499">
        <v>560000</v>
      </c>
      <c r="K18" s="390"/>
      <c r="L18" s="390"/>
      <c r="M18" s="390"/>
    </row>
    <row r="19" spans="1:13" ht="20.25" customHeight="1" x14ac:dyDescent="0.25">
      <c r="A19" s="516">
        <v>5</v>
      </c>
      <c r="B19" s="15">
        <v>4054665350</v>
      </c>
      <c r="C19" s="15" t="s">
        <v>26</v>
      </c>
      <c r="D19" s="323" t="s">
        <v>1222</v>
      </c>
      <c r="E19" s="275" t="s">
        <v>17</v>
      </c>
      <c r="F19" s="275" t="s">
        <v>1207</v>
      </c>
      <c r="G19" s="15" t="str">
        <f t="shared" si="0"/>
        <v>Rétirétardivement-30000FCFAamende</v>
      </c>
      <c r="H19" s="275" t="s">
        <v>849</v>
      </c>
      <c r="I19" s="493">
        <v>45853</v>
      </c>
      <c r="J19" s="499">
        <v>0</v>
      </c>
      <c r="K19" s="390"/>
      <c r="L19" s="390"/>
      <c r="M19" s="390"/>
    </row>
    <row r="20" spans="1:13" ht="20.25" customHeight="1" x14ac:dyDescent="0.25">
      <c r="A20" s="516">
        <v>6</v>
      </c>
      <c r="B20" s="15">
        <v>4054665410</v>
      </c>
      <c r="C20" s="15" t="s">
        <v>26</v>
      </c>
      <c r="D20" s="323" t="s">
        <v>1222</v>
      </c>
      <c r="E20" s="307" t="s">
        <v>17</v>
      </c>
      <c r="F20" s="307" t="s">
        <v>1207</v>
      </c>
      <c r="G20" s="531" t="str">
        <f t="shared" si="0"/>
        <v>Rétirétardivement-30000FCFAamende</v>
      </c>
      <c r="H20" s="275" t="s">
        <v>850</v>
      </c>
      <c r="I20" s="529">
        <v>45853</v>
      </c>
      <c r="J20" s="530">
        <v>0</v>
      </c>
      <c r="K20" s="444"/>
      <c r="L20" s="444"/>
      <c r="M20" s="390"/>
    </row>
    <row r="21" spans="1:13" ht="20.25" customHeight="1" x14ac:dyDescent="0.25">
      <c r="A21" s="516">
        <v>7</v>
      </c>
      <c r="B21" s="15">
        <v>4054665419</v>
      </c>
      <c r="C21" s="15" t="s">
        <v>26</v>
      </c>
      <c r="D21" s="323" t="s">
        <v>1222</v>
      </c>
      <c r="E21" s="275" t="s">
        <v>17</v>
      </c>
      <c r="F21" s="275" t="s">
        <v>1207</v>
      </c>
      <c r="G21" s="15" t="str">
        <f t="shared" si="0"/>
        <v>Rétirétardivement-30000FCFAamende</v>
      </c>
      <c r="H21" s="275" t="s">
        <v>851</v>
      </c>
      <c r="I21" s="493">
        <v>45853</v>
      </c>
      <c r="J21" s="499">
        <v>0</v>
      </c>
      <c r="K21" s="390"/>
      <c r="L21" s="390"/>
      <c r="M21" s="390"/>
    </row>
    <row r="22" spans="1:13" ht="15.75" x14ac:dyDescent="0.25">
      <c r="A22" s="516">
        <v>8</v>
      </c>
      <c r="B22" s="15">
        <v>4054677270</v>
      </c>
      <c r="C22" s="15" t="s">
        <v>26</v>
      </c>
      <c r="D22" s="323" t="s">
        <v>1223</v>
      </c>
      <c r="E22" s="275" t="s">
        <v>17</v>
      </c>
      <c r="F22" s="275" t="s">
        <v>1207</v>
      </c>
      <c r="G22" s="15" t="str">
        <f t="shared" si="0"/>
        <v>Rétirédanslesdélais</v>
      </c>
      <c r="H22" s="275" t="s">
        <v>840</v>
      </c>
      <c r="I22" s="493">
        <v>45846</v>
      </c>
      <c r="J22" s="499">
        <v>0</v>
      </c>
      <c r="K22" s="390"/>
      <c r="L22" s="390"/>
      <c r="M22" s="533" t="s">
        <v>1226</v>
      </c>
    </row>
    <row r="24" spans="1:13" ht="15.75" x14ac:dyDescent="0.25">
      <c r="D24" s="534" t="s">
        <v>846</v>
      </c>
    </row>
  </sheetData>
  <autoFilter ref="A4:M22" xr:uid="{D559034C-E1A8-4788-A336-55187472940D}">
    <filterColumn colId="12" showButton="0"/>
  </autoFilter>
  <mergeCells count="2">
    <mergeCell ref="G1:I1"/>
    <mergeCell ref="A2:B2"/>
  </mergeCells>
  <conditionalFormatting sqref="A5:B22 D5:M22 D24">
    <cfRule type="containsText" dxfId="1276" priority="10" operator="containsText" text="En Attente d'un Retrait Tardif">
      <formula>NOT(ISERROR(SEARCH("En Attente d'un Retrait Tardif",A5)))</formula>
    </cfRule>
    <cfRule type="containsText" dxfId="1275" priority="11" operator="containsText" text="Rétiré dans les délais">
      <formula>NOT(ISERROR(SEARCH("Rétiré dans les délais",A5)))</formula>
    </cfRule>
  </conditionalFormatting>
  <conditionalFormatting sqref="B1:B1048576">
    <cfRule type="duplicateValues" dxfId="1274" priority="1828"/>
  </conditionalFormatting>
  <conditionalFormatting sqref="B23:B1048576 B1:B3">
    <cfRule type="duplicateValues" dxfId="1273" priority="1817"/>
  </conditionalFormatting>
  <conditionalFormatting sqref="B23:B1048576 B1:B4">
    <cfRule type="duplicateValues" dxfId="1272" priority="1821"/>
  </conditionalFormatting>
  <conditionalFormatting sqref="B23:B1048576">
    <cfRule type="duplicateValues" dxfId="1271" priority="1825"/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1896-F4CD-4C91-ACAA-267FA8056218}">
  <sheetPr codeName="Feuil115">
    <tabColor theme="5" tint="-0.249977111117893"/>
  </sheetPr>
  <dimension ref="A1:M13"/>
  <sheetViews>
    <sheetView zoomScaleNormal="100" workbookViewId="0">
      <selection activeCell="G25" sqref="G25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9.855468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1227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270</v>
      </c>
      <c r="F2" s="25"/>
      <c r="G2" s="314">
        <v>45826</v>
      </c>
      <c r="H2" s="365">
        <f ca="1">I2-G2</f>
        <v>270</v>
      </c>
      <c r="I2" s="315">
        <f ca="1">TODAY()</f>
        <v>46096</v>
      </c>
      <c r="J2" s="340" t="s">
        <v>1207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18.75" customHeight="1" x14ac:dyDescent="0.25">
      <c r="A5" s="275">
        <v>1</v>
      </c>
      <c r="B5" s="339">
        <v>4054616680</v>
      </c>
      <c r="C5" s="266" t="s">
        <v>465</v>
      </c>
      <c r="D5" s="323" t="s">
        <v>1228</v>
      </c>
      <c r="E5" s="275" t="s">
        <v>1143</v>
      </c>
      <c r="F5" s="275" t="s">
        <v>17</v>
      </c>
      <c r="G5" s="275" t="str">
        <f t="shared" ref="G5:G13" si="0">IF(I5="",IF($E$2&lt;=15,"EnattentedeRetrait","EnAttented'unRetraitTardif"),IF(I5-$G$2&lt;=15,"Rétirédanslesdélais",IF(I5-$G$2&gt;15,"Rétirétardivement-30000FCFAamende")))</f>
        <v>Rétirédanslesdélais</v>
      </c>
      <c r="H5" s="275" t="s">
        <v>795</v>
      </c>
      <c r="I5" s="493">
        <v>45827</v>
      </c>
      <c r="J5" s="390"/>
      <c r="K5" s="390"/>
      <c r="L5" s="390"/>
      <c r="M5" s="390"/>
    </row>
    <row r="6" spans="1:13" ht="18.75" customHeight="1" x14ac:dyDescent="0.25">
      <c r="A6" s="105">
        <v>2</v>
      </c>
      <c r="B6" s="339">
        <v>4054620750</v>
      </c>
      <c r="C6" s="266" t="s">
        <v>465</v>
      </c>
      <c r="D6" s="323" t="s">
        <v>1228</v>
      </c>
      <c r="E6" s="275" t="s">
        <v>1143</v>
      </c>
      <c r="F6" s="275" t="s">
        <v>17</v>
      </c>
      <c r="G6" s="275" t="str">
        <f t="shared" si="0"/>
        <v>Rétirédanslesdélais</v>
      </c>
      <c r="H6" s="275" t="s">
        <v>793</v>
      </c>
      <c r="I6" s="493">
        <v>45827</v>
      </c>
      <c r="J6" s="390"/>
      <c r="K6" s="390"/>
      <c r="L6" s="390"/>
      <c r="M6" s="390"/>
    </row>
    <row r="7" spans="1:13" ht="18.75" customHeight="1" x14ac:dyDescent="0.25">
      <c r="A7" s="275">
        <v>3</v>
      </c>
      <c r="B7" s="339">
        <v>4054626570</v>
      </c>
      <c r="C7" s="266" t="s">
        <v>465</v>
      </c>
      <c r="D7" s="323" t="s">
        <v>1228</v>
      </c>
      <c r="E7" s="275" t="s">
        <v>1143</v>
      </c>
      <c r="F7" s="275" t="s">
        <v>17</v>
      </c>
      <c r="G7" s="275" t="str">
        <f t="shared" si="0"/>
        <v>Rétirédanslesdélais</v>
      </c>
      <c r="H7" s="275" t="s">
        <v>798</v>
      </c>
      <c r="I7" s="493">
        <v>45827</v>
      </c>
      <c r="J7" s="390"/>
      <c r="K7" s="390"/>
      <c r="L7" s="390"/>
      <c r="M7" s="390"/>
    </row>
    <row r="8" spans="1:13" ht="18.75" customHeight="1" x14ac:dyDescent="0.25">
      <c r="A8" s="105">
        <v>4</v>
      </c>
      <c r="B8" s="339">
        <v>4054632801</v>
      </c>
      <c r="C8" s="266" t="s">
        <v>465</v>
      </c>
      <c r="D8" s="323" t="s">
        <v>1229</v>
      </c>
      <c r="E8" s="275" t="s">
        <v>1143</v>
      </c>
      <c r="F8" s="275" t="s">
        <v>17</v>
      </c>
      <c r="G8" s="275" t="str">
        <f t="shared" si="0"/>
        <v>Rétirédanslesdélais</v>
      </c>
      <c r="H8" s="275" t="s">
        <v>800</v>
      </c>
      <c r="I8" s="493">
        <v>45827</v>
      </c>
      <c r="J8" s="390"/>
      <c r="K8" s="390"/>
      <c r="L8" s="390"/>
      <c r="M8" s="390"/>
    </row>
    <row r="9" spans="1:13" ht="18.75" customHeight="1" x14ac:dyDescent="0.25">
      <c r="A9" s="275">
        <v>5</v>
      </c>
      <c r="B9" s="339">
        <v>4054632802</v>
      </c>
      <c r="C9" s="266" t="s">
        <v>465</v>
      </c>
      <c r="D9" s="323" t="s">
        <v>1229</v>
      </c>
      <c r="E9" s="275" t="s">
        <v>1143</v>
      </c>
      <c r="F9" s="275" t="s">
        <v>17</v>
      </c>
      <c r="G9" s="275" t="str">
        <f t="shared" si="0"/>
        <v>Rétirédanslesdélais</v>
      </c>
      <c r="H9" s="275" t="s">
        <v>799</v>
      </c>
      <c r="I9" s="493">
        <v>45827</v>
      </c>
      <c r="J9" s="390"/>
      <c r="K9" s="390"/>
      <c r="L9" s="390"/>
      <c r="M9" s="390"/>
    </row>
    <row r="10" spans="1:13" ht="18.75" customHeight="1" x14ac:dyDescent="0.25">
      <c r="A10" s="105">
        <v>6</v>
      </c>
      <c r="B10" s="339">
        <v>4054632890</v>
      </c>
      <c r="C10" s="266" t="s">
        <v>465</v>
      </c>
      <c r="D10" s="323" t="s">
        <v>1228</v>
      </c>
      <c r="E10" s="275" t="s">
        <v>1143</v>
      </c>
      <c r="F10" s="275" t="s">
        <v>17</v>
      </c>
      <c r="G10" s="275" t="str">
        <f t="shared" si="0"/>
        <v>Rétirédanslesdélais</v>
      </c>
      <c r="H10" s="275" t="s">
        <v>797</v>
      </c>
      <c r="I10" s="493">
        <v>45827</v>
      </c>
      <c r="J10" s="390"/>
      <c r="K10" s="390"/>
      <c r="L10" s="390"/>
      <c r="M10" s="390"/>
    </row>
    <row r="11" spans="1:13" ht="18.75" customHeight="1" x14ac:dyDescent="0.25">
      <c r="A11" s="275">
        <v>7</v>
      </c>
      <c r="B11" s="339">
        <v>4054643540</v>
      </c>
      <c r="C11" s="266" t="s">
        <v>355</v>
      </c>
      <c r="D11" s="323" t="s">
        <v>1230</v>
      </c>
      <c r="E11" s="275" t="s">
        <v>1143</v>
      </c>
      <c r="F11" s="275" t="s">
        <v>17</v>
      </c>
      <c r="G11" s="275" t="str">
        <f t="shared" si="0"/>
        <v>Rétirédanslesdélais</v>
      </c>
      <c r="H11" s="275" t="s">
        <v>794</v>
      </c>
      <c r="I11" s="493">
        <v>45827</v>
      </c>
      <c r="J11" s="390"/>
      <c r="K11" s="390"/>
      <c r="L11" s="390"/>
      <c r="M11" s="390"/>
    </row>
    <row r="12" spans="1:13" ht="18.75" customHeight="1" x14ac:dyDescent="0.25">
      <c r="A12" s="105">
        <v>8</v>
      </c>
      <c r="B12" s="339">
        <v>4054657260</v>
      </c>
      <c r="C12" s="266" t="s">
        <v>355</v>
      </c>
      <c r="D12" s="323" t="s">
        <v>1231</v>
      </c>
      <c r="E12" s="275" t="s">
        <v>1143</v>
      </c>
      <c r="F12" s="275" t="s">
        <v>17</v>
      </c>
      <c r="G12" s="275" t="str">
        <f t="shared" si="0"/>
        <v>Rétirédanslesdélais</v>
      </c>
      <c r="H12" s="275" t="s">
        <v>796</v>
      </c>
      <c r="I12" s="493">
        <v>45827</v>
      </c>
      <c r="J12" s="390"/>
      <c r="K12" s="390"/>
      <c r="L12" s="390"/>
      <c r="M12" s="390"/>
    </row>
    <row r="13" spans="1:13" ht="18.75" customHeight="1" x14ac:dyDescent="0.25">
      <c r="A13" s="275">
        <v>9</v>
      </c>
      <c r="B13" s="339">
        <v>4054668440</v>
      </c>
      <c r="C13" s="266" t="s">
        <v>465</v>
      </c>
      <c r="D13" s="323" t="s">
        <v>1232</v>
      </c>
      <c r="E13" s="275" t="s">
        <v>1207</v>
      </c>
      <c r="F13" s="275" t="s">
        <v>17</v>
      </c>
      <c r="G13" s="275" t="str">
        <f t="shared" si="0"/>
        <v>Rétirétardivement-30000FCFAamende</v>
      </c>
      <c r="H13" s="275" t="s">
        <v>853</v>
      </c>
      <c r="I13" s="493">
        <v>45854</v>
      </c>
      <c r="J13" s="390"/>
      <c r="K13" s="390"/>
      <c r="L13" s="390"/>
      <c r="M13" s="390"/>
    </row>
  </sheetData>
  <autoFilter ref="A4:M13" xr:uid="{D559034C-E1A8-4788-A336-55187472940D}">
    <filterColumn colId="12" showButton="0"/>
  </autoFilter>
  <mergeCells count="2">
    <mergeCell ref="G1:I1"/>
    <mergeCell ref="A2:B2"/>
  </mergeCells>
  <conditionalFormatting sqref="A5 B5:M13 A7 A9 A11 A13">
    <cfRule type="containsText" dxfId="1270" priority="2" operator="containsText" text="En Attente d'un Retrait Tardif">
      <formula>NOT(ISERROR(SEARCH("En Attente d'un Retrait Tardif",A5)))</formula>
    </cfRule>
    <cfRule type="containsText" dxfId="1269" priority="3" operator="containsText" text="Rétiré dans les délais">
      <formula>NOT(ISERROR(SEARCH("Rétiré dans les délais",A5)))</formula>
    </cfRule>
  </conditionalFormatting>
  <conditionalFormatting sqref="B1:B3 B14:B1048576">
    <cfRule type="duplicateValues" dxfId="1268" priority="4"/>
  </conditionalFormatting>
  <conditionalFormatting sqref="B1:B4 B14:B1048576">
    <cfRule type="duplicateValues" dxfId="1267" priority="1"/>
  </conditionalFormatting>
  <conditionalFormatting sqref="B14:B1048576">
    <cfRule type="duplicateValues" dxfId="1266" priority="5"/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4B04-05A2-49E8-B05C-149B8837037B}">
  <sheetPr codeName="Feuil116">
    <tabColor theme="5" tint="-0.249977111117893"/>
  </sheetPr>
  <dimension ref="A1:M9"/>
  <sheetViews>
    <sheetView zoomScaleNormal="100" workbookViewId="0">
      <selection activeCell="H8" sqref="H8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6.42578125" style="105" customWidth="1"/>
    <col min="4" max="4" width="42.7109375" customWidth="1"/>
    <col min="5" max="5" width="13.140625" customWidth="1"/>
    <col min="6" max="6" width="14.140625" customWidth="1"/>
    <col min="7" max="7" width="41.7109375" customWidth="1"/>
    <col min="8" max="13" width="16.28515625" customWidth="1"/>
  </cols>
  <sheetData>
    <row r="1" spans="1:13" ht="19.5" thickBot="1" x14ac:dyDescent="0.35">
      <c r="A1" s="348" t="s">
        <v>1233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211</v>
      </c>
      <c r="F2" s="25"/>
      <c r="G2" s="314">
        <v>45885</v>
      </c>
      <c r="H2" s="365">
        <f ca="1">I2-G2</f>
        <v>211</v>
      </c>
      <c r="I2" s="315">
        <f ca="1">TODAY()</f>
        <v>46096</v>
      </c>
      <c r="J2" s="340" t="s">
        <v>1234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22.5" customHeight="1" x14ac:dyDescent="0.25">
      <c r="A5" s="516">
        <v>1</v>
      </c>
      <c r="B5" s="575">
        <v>2161296610</v>
      </c>
      <c r="C5" s="15" t="s">
        <v>355</v>
      </c>
      <c r="D5" s="323" t="s">
        <v>77</v>
      </c>
      <c r="E5" s="275" t="s">
        <v>1143</v>
      </c>
      <c r="F5" s="275" t="s">
        <v>1143</v>
      </c>
      <c r="G5" s="15" t="str">
        <f>IF(I5="",IF($E$2&lt;=15,"EnattentedeRetrait","EnAttented'unRetraitTardif"),IF(I5-$G$2&lt;=15,"Rétirédanslesdélais",IF(I5-$G$2&gt;15,"Rétirétardivement-30000FCFAamende")))</f>
        <v>Rétirédanslesdélais</v>
      </c>
      <c r="H5" s="275" t="s">
        <v>952</v>
      </c>
      <c r="I5" s="493">
        <v>45890</v>
      </c>
      <c r="J5" s="495">
        <v>0</v>
      </c>
      <c r="K5" s="390"/>
      <c r="L5" s="390"/>
      <c r="M5" s="390"/>
    </row>
    <row r="6" spans="1:13" s="346" customFormat="1" ht="22.5" customHeight="1" x14ac:dyDescent="0.25">
      <c r="A6" s="516">
        <v>2</v>
      </c>
      <c r="B6" s="575">
        <v>4054649380</v>
      </c>
      <c r="C6" s="15" t="s">
        <v>355</v>
      </c>
      <c r="D6" s="323" t="s">
        <v>936</v>
      </c>
      <c r="E6" s="275" t="s">
        <v>17</v>
      </c>
      <c r="F6" s="275" t="s">
        <v>1235</v>
      </c>
      <c r="G6" s="15" t="str">
        <f>IF(I6="",IF($E$2&lt;=15,"EnattentedeRetrait","EnAttented'unRetraitTardif"),IF(I6-$G$2&lt;=15,"Rétirédanslesdélais",IF(I6-$G$2&gt;15,"Rétirétardivement-30000FCFAamende")))</f>
        <v>Rétirédanslesdélais</v>
      </c>
      <c r="H6" s="275" t="s">
        <v>939</v>
      </c>
      <c r="I6" s="493">
        <v>45889</v>
      </c>
      <c r="J6" s="495">
        <v>0</v>
      </c>
      <c r="K6" s="390"/>
      <c r="L6" s="390"/>
      <c r="M6" s="390"/>
    </row>
    <row r="7" spans="1:13" ht="22.5" customHeight="1" x14ac:dyDescent="0.25">
      <c r="A7" s="516">
        <v>3</v>
      </c>
      <c r="B7" s="575">
        <v>4054718570</v>
      </c>
      <c r="C7" s="15" t="s">
        <v>355</v>
      </c>
      <c r="D7" s="323" t="s">
        <v>1204</v>
      </c>
      <c r="E7" s="275" t="s">
        <v>17</v>
      </c>
      <c r="F7" s="275" t="s">
        <v>1070</v>
      </c>
      <c r="G7" s="15" t="str">
        <f>IF(I7="",IF($E$2&lt;=15,"EnattentedeRetrait","EnAttented'unRetraitTardif"),IF(I7-$G$2&lt;=15,"Rétirédanslesdélais",IF(I7-$G$2&gt;15,"Rétirétardivement-30000FCFAamende")))</f>
        <v>Rétirédanslesdélais</v>
      </c>
      <c r="H7" s="275" t="s">
        <v>958</v>
      </c>
      <c r="I7" s="493">
        <v>45891</v>
      </c>
      <c r="J7" s="495">
        <v>0</v>
      </c>
      <c r="K7" s="390"/>
      <c r="L7" s="390"/>
      <c r="M7" s="390"/>
    </row>
    <row r="8" spans="1:13" ht="22.5" customHeight="1" x14ac:dyDescent="0.25">
      <c r="A8" s="516">
        <v>4</v>
      </c>
      <c r="B8" s="575">
        <v>4054725570</v>
      </c>
      <c r="C8" s="15" t="s">
        <v>355</v>
      </c>
      <c r="D8" s="511" t="s">
        <v>1236</v>
      </c>
      <c r="E8" s="275" t="s">
        <v>17</v>
      </c>
      <c r="F8" s="275" t="s">
        <v>1070</v>
      </c>
      <c r="G8" s="15" t="str">
        <f>IF(I8="",IF($E$2&lt;=15,"EnattentedeRetrait","EnAttented'unRetraitTardif"),IF(I8-$G$2&lt;=15,"Rétirédanslesdélais",IF(I8-$G$2&gt;15,"Rétirétardivement-30000FCFAamende")))</f>
        <v>Rétirétardivement-30000FCFAamende</v>
      </c>
      <c r="H8" s="275" t="s">
        <v>973</v>
      </c>
      <c r="I8" s="493">
        <v>45901</v>
      </c>
      <c r="J8" s="495">
        <v>0</v>
      </c>
      <c r="K8" s="390"/>
      <c r="L8" s="390"/>
      <c r="M8" s="390"/>
    </row>
    <row r="9" spans="1:13" ht="22.5" customHeight="1" x14ac:dyDescent="0.25">
      <c r="A9" s="516">
        <v>5</v>
      </c>
      <c r="B9" s="575">
        <v>4054727150</v>
      </c>
      <c r="C9" s="15" t="s">
        <v>465</v>
      </c>
      <c r="D9" s="511" t="s">
        <v>204</v>
      </c>
      <c r="E9" s="275" t="s">
        <v>1143</v>
      </c>
      <c r="F9" s="275" t="s">
        <v>1070</v>
      </c>
      <c r="G9" s="15" t="str">
        <f>IF(I9="",IF($E$2&lt;=15,"EnattentedeRetrait","EnAttented'unRetraitTardif"),IF(I9-$G$2&lt;=15,"Rétirédanslesdélais",IF(I9-$G$2&gt;15,"Rétirétardivement-30000FCFAamende")))</f>
        <v>Rétirédanslesdélais</v>
      </c>
      <c r="H9" s="275" t="s">
        <v>967</v>
      </c>
      <c r="I9" s="493">
        <v>45897</v>
      </c>
      <c r="J9" s="495">
        <v>0</v>
      </c>
      <c r="K9" s="390"/>
      <c r="L9" s="390"/>
      <c r="M9" s="390"/>
    </row>
  </sheetData>
  <autoFilter ref="A4:M9" xr:uid="{D559034C-E1A8-4788-A336-55187472940D}">
    <filterColumn colId="12" showButton="0"/>
  </autoFilter>
  <mergeCells count="2">
    <mergeCell ref="G1:I1"/>
    <mergeCell ref="A2:B2"/>
  </mergeCells>
  <conditionalFormatting sqref="A5:M9">
    <cfRule type="containsText" dxfId="1265" priority="1" operator="containsText" text="En Attente d'un Retrait Tardif">
      <formula>NOT(ISERROR(SEARCH("En Attente d'un Retrait Tardif",A5)))</formula>
    </cfRule>
    <cfRule type="containsText" dxfId="1264" priority="2" operator="containsText" text="Rétiré dans les délais">
      <formula>NOT(ISERROR(SEARCH("Rétiré dans les délais",A5)))</formula>
    </cfRule>
  </conditionalFormatting>
  <conditionalFormatting sqref="B1:B3 B10:B1048576">
    <cfRule type="duplicateValues" dxfId="1263" priority="9"/>
  </conditionalFormatting>
  <conditionalFormatting sqref="B1:B4 B10:B1048576">
    <cfRule type="duplicateValues" dxfId="1262" priority="10"/>
  </conditionalFormatting>
  <conditionalFormatting sqref="B10:B1048576">
    <cfRule type="duplicateValues" dxfId="1261" priority="12"/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8CF1-364E-4BAD-8F80-E6B5D251E664}">
  <sheetPr codeName="Feuil117">
    <tabColor theme="5" tint="-0.249977111117893"/>
  </sheetPr>
  <dimension ref="A1:M31"/>
  <sheetViews>
    <sheetView zoomScaleNormal="100" workbookViewId="0">
      <selection activeCell="G28" sqref="G28"/>
    </sheetView>
  </sheetViews>
  <sheetFormatPr baseColWidth="10" defaultRowHeight="15" x14ac:dyDescent="0.25"/>
  <cols>
    <col min="1" max="1" width="7.42578125" customWidth="1"/>
    <col min="2" max="2" width="15" style="508" bestFit="1" customWidth="1"/>
    <col min="3" max="3" width="10" style="105" customWidth="1"/>
    <col min="4" max="4" width="47.28515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1237</v>
      </c>
      <c r="B1" s="507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284</v>
      </c>
      <c r="F2" s="25"/>
      <c r="G2" s="314">
        <v>45812</v>
      </c>
      <c r="H2" s="365">
        <f ca="1">I2-G2</f>
        <v>284</v>
      </c>
      <c r="I2" s="315">
        <f ca="1">TODAY()</f>
        <v>46096</v>
      </c>
      <c r="J2" s="340" t="s">
        <v>1238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509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94" customFormat="1" ht="15.75" x14ac:dyDescent="0.25">
      <c r="A5" s="275">
        <v>1</v>
      </c>
      <c r="B5" s="513">
        <v>2758819220</v>
      </c>
      <c r="C5" s="275" t="s">
        <v>26</v>
      </c>
      <c r="D5" s="323" t="s">
        <v>1165</v>
      </c>
      <c r="E5" s="275" t="s">
        <v>17</v>
      </c>
      <c r="F5" s="275" t="s">
        <v>1070</v>
      </c>
      <c r="G5" s="275" t="str">
        <f t="shared" ref="G5:G24" si="0"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803</v>
      </c>
      <c r="I5" s="493">
        <v>45828</v>
      </c>
      <c r="J5" s="518" t="s">
        <v>1239</v>
      </c>
      <c r="K5" s="390"/>
      <c r="L5" s="390"/>
      <c r="M5" s="390"/>
    </row>
    <row r="6" spans="1:13" s="394" customFormat="1" ht="15.75" x14ac:dyDescent="0.25">
      <c r="A6" s="275">
        <v>2</v>
      </c>
      <c r="B6" s="513">
        <v>4054584750</v>
      </c>
      <c r="C6" s="362" t="s">
        <v>26</v>
      </c>
      <c r="D6" s="511" t="s">
        <v>1240</v>
      </c>
      <c r="E6" s="362" t="s">
        <v>17</v>
      </c>
      <c r="F6" s="362" t="s">
        <v>1070</v>
      </c>
      <c r="G6" s="275" t="str">
        <f t="shared" si="0"/>
        <v>Rétirédanslesdélais</v>
      </c>
      <c r="H6" s="390" t="s">
        <v>785</v>
      </c>
      <c r="I6" s="493">
        <v>45825</v>
      </c>
      <c r="J6" s="515">
        <v>0</v>
      </c>
      <c r="K6" s="390"/>
      <c r="L6" s="390"/>
      <c r="M6" s="390"/>
    </row>
    <row r="7" spans="1:13" s="346" customFormat="1" ht="15" customHeight="1" x14ac:dyDescent="0.25">
      <c r="A7" s="275">
        <v>3</v>
      </c>
      <c r="B7" s="513">
        <v>4054594320</v>
      </c>
      <c r="C7" s="362" t="s">
        <v>26</v>
      </c>
      <c r="D7" s="511" t="s">
        <v>1240</v>
      </c>
      <c r="E7" s="362" t="s">
        <v>17</v>
      </c>
      <c r="F7" s="362" t="s">
        <v>1070</v>
      </c>
      <c r="G7" s="275" t="str">
        <f t="shared" si="0"/>
        <v>Rétirédanslesdélais</v>
      </c>
      <c r="H7" s="390" t="s">
        <v>784</v>
      </c>
      <c r="I7" s="493">
        <v>45825</v>
      </c>
      <c r="J7" s="515">
        <v>0</v>
      </c>
      <c r="K7" s="390"/>
      <c r="L7" s="390"/>
      <c r="M7" s="390"/>
    </row>
    <row r="8" spans="1:13" s="346" customFormat="1" ht="15.75" x14ac:dyDescent="0.25">
      <c r="A8" s="275">
        <v>4</v>
      </c>
      <c r="B8" s="513">
        <v>4054594390</v>
      </c>
      <c r="C8" s="362" t="s">
        <v>26</v>
      </c>
      <c r="D8" s="511" t="s">
        <v>1240</v>
      </c>
      <c r="E8" s="362" t="s">
        <v>17</v>
      </c>
      <c r="F8" s="362" t="s">
        <v>1070</v>
      </c>
      <c r="G8" s="275" t="str">
        <f t="shared" si="0"/>
        <v>Rétirédanslesdélais</v>
      </c>
      <c r="H8" s="390" t="s">
        <v>757</v>
      </c>
      <c r="I8" s="493">
        <v>45819</v>
      </c>
      <c r="J8" s="390">
        <v>0</v>
      </c>
      <c r="K8" s="390"/>
      <c r="L8" s="390"/>
      <c r="M8" s="390"/>
    </row>
    <row r="9" spans="1:13" ht="15.75" x14ac:dyDescent="0.25">
      <c r="A9" s="275">
        <v>5</v>
      </c>
      <c r="B9" s="513">
        <v>4054601791</v>
      </c>
      <c r="C9" s="275" t="s">
        <v>26</v>
      </c>
      <c r="D9" s="323" t="s">
        <v>1185</v>
      </c>
      <c r="E9" s="275" t="s">
        <v>17</v>
      </c>
      <c r="F9" s="275" t="s">
        <v>1070</v>
      </c>
      <c r="G9" s="275" t="str">
        <f t="shared" si="0"/>
        <v>Rétirédanslesdélais</v>
      </c>
      <c r="H9" s="390" t="s">
        <v>790</v>
      </c>
      <c r="I9" s="493">
        <v>45826</v>
      </c>
      <c r="J9" s="515">
        <v>0</v>
      </c>
      <c r="K9" s="390"/>
      <c r="L9" s="390"/>
      <c r="M9" s="390"/>
    </row>
    <row r="10" spans="1:13" ht="15.75" x14ac:dyDescent="0.25">
      <c r="A10" s="275">
        <v>20</v>
      </c>
      <c r="B10" s="528">
        <v>4054612872</v>
      </c>
      <c r="C10" s="275" t="s">
        <v>26</v>
      </c>
      <c r="D10" s="323" t="s">
        <v>1241</v>
      </c>
      <c r="E10" s="275" t="s">
        <v>1154</v>
      </c>
      <c r="F10" s="275" t="s">
        <v>1070</v>
      </c>
      <c r="G10" s="275" t="str">
        <f t="shared" si="0"/>
        <v>Rétirétardivement-30000FCFAamende</v>
      </c>
      <c r="H10" s="390" t="s">
        <v>819</v>
      </c>
      <c r="I10" s="493">
        <v>45840</v>
      </c>
      <c r="J10" s="515">
        <v>0</v>
      </c>
      <c r="K10" s="390"/>
      <c r="L10" s="390"/>
      <c r="M10" s="390"/>
    </row>
    <row r="11" spans="1:13" ht="15.75" x14ac:dyDescent="0.25">
      <c r="A11" s="275">
        <v>6</v>
      </c>
      <c r="B11" s="513">
        <v>4054613031</v>
      </c>
      <c r="C11" s="362" t="s">
        <v>26</v>
      </c>
      <c r="D11" s="510" t="s">
        <v>1172</v>
      </c>
      <c r="E11" s="362" t="s">
        <v>17</v>
      </c>
      <c r="F11" s="512" t="s">
        <v>1070</v>
      </c>
      <c r="G11" s="275" t="str">
        <f t="shared" si="0"/>
        <v>Rétirédanslesdélais</v>
      </c>
      <c r="H11" s="390" t="s">
        <v>777</v>
      </c>
      <c r="I11" s="493">
        <v>45824</v>
      </c>
      <c r="J11" s="515">
        <v>0</v>
      </c>
      <c r="K11" s="390"/>
      <c r="L11" s="390"/>
      <c r="M11" s="390"/>
    </row>
    <row r="12" spans="1:13" ht="15.75" x14ac:dyDescent="0.25">
      <c r="A12" s="275">
        <v>7</v>
      </c>
      <c r="B12" s="513">
        <v>4054615450</v>
      </c>
      <c r="C12" s="275" t="s">
        <v>26</v>
      </c>
      <c r="D12" s="510" t="s">
        <v>1172</v>
      </c>
      <c r="E12" s="275" t="s">
        <v>17</v>
      </c>
      <c r="F12" s="512" t="s">
        <v>1070</v>
      </c>
      <c r="G12" s="275" t="str">
        <f t="shared" si="0"/>
        <v>Rétirédanslesdélais</v>
      </c>
      <c r="H12" s="390" t="s">
        <v>778</v>
      </c>
      <c r="I12" s="493">
        <v>45824</v>
      </c>
      <c r="J12" s="515">
        <v>0</v>
      </c>
      <c r="K12" s="390"/>
      <c r="L12" s="390"/>
      <c r="M12" s="390"/>
    </row>
    <row r="13" spans="1:13" ht="15.75" x14ac:dyDescent="0.25">
      <c r="A13" s="275">
        <v>8</v>
      </c>
      <c r="B13" s="513">
        <v>4054615460</v>
      </c>
      <c r="C13" s="275" t="s">
        <v>26</v>
      </c>
      <c r="D13" s="510" t="s">
        <v>1172</v>
      </c>
      <c r="E13" s="275" t="s">
        <v>17</v>
      </c>
      <c r="F13" s="512" t="s">
        <v>1070</v>
      </c>
      <c r="G13" s="275" t="str">
        <f t="shared" si="0"/>
        <v>Rétirédanslesdélais</v>
      </c>
      <c r="H13" s="390" t="s">
        <v>779</v>
      </c>
      <c r="I13" s="493">
        <v>45824</v>
      </c>
      <c r="J13" s="515">
        <v>0</v>
      </c>
      <c r="K13" s="390"/>
      <c r="L13" s="390"/>
      <c r="M13" s="390"/>
    </row>
    <row r="14" spans="1:13" ht="15.75" x14ac:dyDescent="0.25">
      <c r="A14" s="275">
        <v>9</v>
      </c>
      <c r="B14" s="513">
        <v>4054621200</v>
      </c>
      <c r="C14" s="275" t="s">
        <v>26</v>
      </c>
      <c r="D14" s="323" t="s">
        <v>1105</v>
      </c>
      <c r="E14" s="512" t="s">
        <v>17</v>
      </c>
      <c r="F14" s="275" t="s">
        <v>1070</v>
      </c>
      <c r="G14" s="275" t="str">
        <f t="shared" si="0"/>
        <v>Rétirédanslesdélais</v>
      </c>
      <c r="H14" s="390" t="s">
        <v>766</v>
      </c>
      <c r="I14" s="493">
        <v>45820</v>
      </c>
      <c r="J14" s="390">
        <v>0</v>
      </c>
      <c r="K14" s="390"/>
      <c r="L14" s="390"/>
      <c r="M14" s="390"/>
    </row>
    <row r="15" spans="1:13" ht="15.75" x14ac:dyDescent="0.25">
      <c r="A15" s="275">
        <v>10</v>
      </c>
      <c r="B15" s="513">
        <v>4054621240</v>
      </c>
      <c r="C15" s="275" t="s">
        <v>26</v>
      </c>
      <c r="D15" s="323" t="s">
        <v>1105</v>
      </c>
      <c r="E15" s="275" t="s">
        <v>17</v>
      </c>
      <c r="F15" s="275" t="s">
        <v>1070</v>
      </c>
      <c r="G15" s="275" t="str">
        <f t="shared" si="0"/>
        <v>Rétirédanslesdélais</v>
      </c>
      <c r="H15" s="390" t="s">
        <v>763</v>
      </c>
      <c r="I15" s="493">
        <v>45820</v>
      </c>
      <c r="J15" s="390">
        <v>0</v>
      </c>
      <c r="K15" s="390"/>
      <c r="L15" s="390"/>
      <c r="M15" s="390"/>
    </row>
    <row r="16" spans="1:13" ht="15.75" x14ac:dyDescent="0.25">
      <c r="A16" s="275">
        <v>11</v>
      </c>
      <c r="B16" s="513">
        <v>4054621260</v>
      </c>
      <c r="C16" s="275" t="s">
        <v>26</v>
      </c>
      <c r="D16" s="323" t="s">
        <v>1105</v>
      </c>
      <c r="E16" s="275" t="s">
        <v>17</v>
      </c>
      <c r="F16" s="275" t="s">
        <v>1070</v>
      </c>
      <c r="G16" s="275" t="str">
        <f t="shared" si="0"/>
        <v>Rétirédanslesdélais</v>
      </c>
      <c r="H16" s="390" t="s">
        <v>765</v>
      </c>
      <c r="I16" s="493">
        <v>45820</v>
      </c>
      <c r="J16" s="390">
        <v>0</v>
      </c>
      <c r="K16" s="390"/>
      <c r="L16" s="390"/>
      <c r="M16" s="390"/>
    </row>
    <row r="17" spans="1:13" ht="15.75" x14ac:dyDescent="0.25">
      <c r="A17" s="275">
        <v>12</v>
      </c>
      <c r="B17" s="513">
        <v>4054622522</v>
      </c>
      <c r="C17" s="275" t="s">
        <v>26</v>
      </c>
      <c r="D17" s="510" t="s">
        <v>1172</v>
      </c>
      <c r="E17" s="275" t="s">
        <v>17</v>
      </c>
      <c r="F17" s="512" t="s">
        <v>1070</v>
      </c>
      <c r="G17" s="275" t="str">
        <f t="shared" si="0"/>
        <v>Rétirédanslesdélais</v>
      </c>
      <c r="H17" s="390" t="s">
        <v>780</v>
      </c>
      <c r="I17" s="493">
        <v>45824</v>
      </c>
      <c r="J17" s="515">
        <v>0</v>
      </c>
      <c r="K17" s="390"/>
      <c r="L17" s="390"/>
      <c r="M17" s="390"/>
    </row>
    <row r="18" spans="1:13" ht="15.75" x14ac:dyDescent="0.25">
      <c r="A18" s="275">
        <v>13</v>
      </c>
      <c r="B18" s="513">
        <v>4054622540</v>
      </c>
      <c r="C18" s="275" t="s">
        <v>26</v>
      </c>
      <c r="D18" s="510" t="s">
        <v>1172</v>
      </c>
      <c r="E18" s="275" t="s">
        <v>17</v>
      </c>
      <c r="F18" s="512" t="s">
        <v>1070</v>
      </c>
      <c r="G18" s="275" t="str">
        <f t="shared" si="0"/>
        <v>Rétirédanslesdélais</v>
      </c>
      <c r="H18" s="390" t="s">
        <v>781</v>
      </c>
      <c r="I18" s="493">
        <v>45824</v>
      </c>
      <c r="J18" s="515">
        <v>0</v>
      </c>
      <c r="K18" s="390"/>
      <c r="L18" s="390"/>
      <c r="M18" s="390"/>
    </row>
    <row r="19" spans="1:13" ht="15.75" x14ac:dyDescent="0.25">
      <c r="A19" s="275">
        <v>14</v>
      </c>
      <c r="B19" s="513">
        <v>4054622570</v>
      </c>
      <c r="C19" s="275" t="s">
        <v>26</v>
      </c>
      <c r="D19" s="510" t="s">
        <v>1172</v>
      </c>
      <c r="E19" s="275" t="s">
        <v>17</v>
      </c>
      <c r="F19" s="512" t="s">
        <v>1070</v>
      </c>
      <c r="G19" s="275" t="str">
        <f t="shared" si="0"/>
        <v>Rétirédanslesdélais</v>
      </c>
      <c r="H19" s="390" t="s">
        <v>782</v>
      </c>
      <c r="I19" s="493">
        <v>45824</v>
      </c>
      <c r="J19" s="515">
        <v>0</v>
      </c>
      <c r="K19" s="390"/>
      <c r="L19" s="390"/>
      <c r="M19" s="390"/>
    </row>
    <row r="20" spans="1:13" ht="15.75" x14ac:dyDescent="0.25">
      <c r="A20" s="275">
        <v>15</v>
      </c>
      <c r="B20" s="513">
        <v>4054624410</v>
      </c>
      <c r="C20" s="275" t="s">
        <v>26</v>
      </c>
      <c r="D20" s="323" t="s">
        <v>1179</v>
      </c>
      <c r="E20" s="275" t="s">
        <v>17</v>
      </c>
      <c r="F20" s="275" t="s">
        <v>1070</v>
      </c>
      <c r="G20" s="275" t="str">
        <f t="shared" si="0"/>
        <v>Rétirédanslesdélais</v>
      </c>
      <c r="H20" s="390" t="s">
        <v>773</v>
      </c>
      <c r="I20" s="493">
        <v>45824</v>
      </c>
      <c r="J20" s="515">
        <v>0</v>
      </c>
      <c r="K20" s="390"/>
      <c r="L20" s="390"/>
      <c r="M20" s="390"/>
    </row>
    <row r="21" spans="1:13" ht="15.75" x14ac:dyDescent="0.25">
      <c r="A21" s="275">
        <v>16</v>
      </c>
      <c r="B21" s="513">
        <v>4054626990</v>
      </c>
      <c r="C21" s="275" t="s">
        <v>26</v>
      </c>
      <c r="D21" s="323" t="s">
        <v>1242</v>
      </c>
      <c r="E21" s="275" t="s">
        <v>1154</v>
      </c>
      <c r="F21" s="275" t="s">
        <v>1070</v>
      </c>
      <c r="G21" s="275" t="str">
        <f t="shared" si="0"/>
        <v>Rétirédanslesdélais</v>
      </c>
      <c r="H21" s="390" t="s">
        <v>771</v>
      </c>
      <c r="I21" s="493">
        <v>45820</v>
      </c>
      <c r="J21" s="390">
        <v>0</v>
      </c>
      <c r="K21" s="390"/>
      <c r="L21" s="390"/>
      <c r="M21" s="390"/>
    </row>
    <row r="22" spans="1:13" ht="15.75" x14ac:dyDescent="0.25">
      <c r="A22" s="275">
        <v>17</v>
      </c>
      <c r="B22" s="513">
        <v>4054632790</v>
      </c>
      <c r="C22" s="275" t="s">
        <v>26</v>
      </c>
      <c r="D22" s="323" t="s">
        <v>1242</v>
      </c>
      <c r="E22" s="275" t="s">
        <v>1154</v>
      </c>
      <c r="F22" s="275" t="s">
        <v>1070</v>
      </c>
      <c r="G22" s="275" t="str">
        <f t="shared" si="0"/>
        <v>Rétirédanslesdélais</v>
      </c>
      <c r="H22" s="390" t="s">
        <v>772</v>
      </c>
      <c r="I22" s="493">
        <v>45820</v>
      </c>
      <c r="J22" s="390">
        <v>0</v>
      </c>
      <c r="K22" s="390"/>
      <c r="L22" s="390"/>
      <c r="M22" s="390"/>
    </row>
    <row r="23" spans="1:13" ht="15.75" x14ac:dyDescent="0.25">
      <c r="A23" s="275">
        <v>18</v>
      </c>
      <c r="B23" s="513">
        <v>4054635100</v>
      </c>
      <c r="C23" s="275" t="s">
        <v>26</v>
      </c>
      <c r="D23" s="323" t="s">
        <v>1105</v>
      </c>
      <c r="E23" s="512" t="s">
        <v>17</v>
      </c>
      <c r="F23" s="275" t="s">
        <v>1070</v>
      </c>
      <c r="G23" s="275" t="str">
        <f t="shared" si="0"/>
        <v>Rétirédanslesdélais</v>
      </c>
      <c r="H23" s="390" t="s">
        <v>764</v>
      </c>
      <c r="I23" s="493">
        <v>45820</v>
      </c>
      <c r="J23" s="390">
        <v>0</v>
      </c>
      <c r="K23" s="390"/>
      <c r="L23" s="390"/>
      <c r="M23" s="390"/>
    </row>
    <row r="24" spans="1:13" ht="15.75" x14ac:dyDescent="0.25">
      <c r="A24" s="275">
        <v>19</v>
      </c>
      <c r="B24" s="513">
        <v>4054635120</v>
      </c>
      <c r="C24" s="275" t="s">
        <v>26</v>
      </c>
      <c r="D24" s="323" t="s">
        <v>1243</v>
      </c>
      <c r="E24" s="275" t="s">
        <v>1154</v>
      </c>
      <c r="F24" s="275" t="s">
        <v>1070</v>
      </c>
      <c r="G24" s="275" t="str">
        <f t="shared" si="0"/>
        <v>Rétirétardivement-30000FCFAamende</v>
      </c>
      <c r="H24" s="390" t="s">
        <v>804</v>
      </c>
      <c r="I24" s="493">
        <v>45828</v>
      </c>
      <c r="J24" s="515">
        <v>0</v>
      </c>
      <c r="K24" s="390"/>
      <c r="L24" s="390"/>
      <c r="M24" s="390"/>
    </row>
    <row r="26" spans="1:13" x14ac:dyDescent="0.25">
      <c r="B26"/>
    </row>
    <row r="27" spans="1:13" x14ac:dyDescent="0.25">
      <c r="B27"/>
    </row>
    <row r="28" spans="1:13" x14ac:dyDescent="0.25">
      <c r="B28"/>
    </row>
    <row r="29" spans="1:13" x14ac:dyDescent="0.25">
      <c r="B29"/>
    </row>
    <row r="30" spans="1:13" x14ac:dyDescent="0.25">
      <c r="B30"/>
    </row>
    <row r="31" spans="1:13" x14ac:dyDescent="0.25">
      <c r="B31"/>
    </row>
  </sheetData>
  <autoFilter ref="A4:M24" xr:uid="{D559034C-E1A8-4788-A336-55187472940D}">
    <filterColumn colId="12" showButton="0"/>
  </autoFilter>
  <mergeCells count="2">
    <mergeCell ref="G1:I1"/>
    <mergeCell ref="A2:B2"/>
  </mergeCells>
  <conditionalFormatting sqref="A5:M24">
    <cfRule type="containsText" dxfId="1260" priority="19" operator="containsText" text="En Attente d'un Retrait Tardif">
      <formula>NOT(ISERROR(SEARCH("En Attente d'un Retrait Tardif",A5)))</formula>
    </cfRule>
    <cfRule type="containsText" dxfId="1259" priority="20" operator="containsText" text="Rétiré dans les délais">
      <formula>NOT(ISERROR(SEARCH("Rétiré dans les délais",A5)))</formula>
    </cfRule>
  </conditionalFormatting>
  <conditionalFormatting sqref="B1:B1048576">
    <cfRule type="duplicateValues" dxfId="1258" priority="7"/>
  </conditionalFormatting>
  <conditionalFormatting sqref="B10">
    <cfRule type="duplicateValues" dxfId="1257" priority="5" stopIfTrue="1"/>
  </conditionalFormatting>
  <conditionalFormatting sqref="B16">
    <cfRule type="duplicateValues" dxfId="1256" priority="6" stopIfTrue="1"/>
  </conditionalFormatting>
  <conditionalFormatting sqref="B32:B1048576 B1:B3 B25">
    <cfRule type="duplicateValues" dxfId="1255" priority="1664"/>
  </conditionalFormatting>
  <conditionalFormatting sqref="B32:B1048576 B1:B25">
    <cfRule type="duplicateValues" dxfId="1254" priority="1668"/>
  </conditionalFormatting>
  <conditionalFormatting sqref="B32:B1048576 B25 B1:B3">
    <cfRule type="duplicateValues" dxfId="1253" priority="1671"/>
  </conditionalFormatting>
  <conditionalFormatting sqref="G13:G24">
    <cfRule type="containsText" dxfId="1252" priority="15" operator="containsText" text="En Attente d'un Retrait Tardif">
      <formula>NOT(ISERROR(SEARCH("En Attente d'un Retrait Tardif",G13)))</formula>
    </cfRule>
    <cfRule type="containsText" dxfId="1251" priority="16" operator="containsText" text="Rétiré dans les délais">
      <formula>NOT(ISERROR(SEARCH("Rétiré dans les délais",G13)))</formula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132E-96E7-43E2-8124-C17406AC9F0D}">
  <sheetPr codeName="Feuil118" filterMode="1">
    <tabColor theme="5" tint="-0.249977111117893"/>
  </sheetPr>
  <dimension ref="A1:M30"/>
  <sheetViews>
    <sheetView zoomScaleNormal="100" workbookViewId="0">
      <selection sqref="A1:M30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1244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275</v>
      </c>
      <c r="F2" s="25"/>
      <c r="G2" s="314">
        <v>45821</v>
      </c>
      <c r="H2" s="365">
        <f ca="1">I2-G2</f>
        <v>275</v>
      </c>
      <c r="I2" s="315">
        <f ca="1">TODAY()</f>
        <v>46096</v>
      </c>
      <c r="J2" s="340" t="s">
        <v>1245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501" t="s">
        <v>11</v>
      </c>
    </row>
    <row r="5" spans="1:13" s="394" customFormat="1" ht="15.75" hidden="1" x14ac:dyDescent="0.25">
      <c r="A5" s="502">
        <v>1</v>
      </c>
      <c r="B5" s="421">
        <v>2158853690</v>
      </c>
      <c r="C5" s="421" t="s">
        <v>26</v>
      </c>
      <c r="D5" s="504" t="s">
        <v>659</v>
      </c>
      <c r="E5" s="503" t="s">
        <v>17</v>
      </c>
      <c r="F5" s="275" t="s">
        <v>45</v>
      </c>
      <c r="G5" s="390" t="str">
        <f t="shared" ref="G5:G10" si="0">IF(I5="",IF($E$2&lt;=15,"En attente de Retrait","En Attente d'un Retrait Tardif"),IF(I5-$G$2&lt;=15,"Rétiré dans les délais",IF(I5-$G$2&gt;15,"Rétiré tardivement-30000FCFA amende")))</f>
        <v>Rétiré dans les délais</v>
      </c>
      <c r="H5" s="390" t="s">
        <v>808</v>
      </c>
      <c r="I5" s="493">
        <v>45831</v>
      </c>
      <c r="J5" s="390">
        <v>0</v>
      </c>
      <c r="K5" s="390"/>
      <c r="L5" s="390"/>
      <c r="M5" s="390"/>
    </row>
    <row r="6" spans="1:13" s="394" customFormat="1" ht="15.75" x14ac:dyDescent="0.25">
      <c r="A6" s="502">
        <v>2</v>
      </c>
      <c r="B6" s="527">
        <v>4054612870</v>
      </c>
      <c r="C6" s="421" t="s">
        <v>26</v>
      </c>
      <c r="D6" s="504" t="s">
        <v>1170</v>
      </c>
      <c r="E6" s="503" t="s">
        <v>17</v>
      </c>
      <c r="F6" s="275" t="s">
        <v>1207</v>
      </c>
      <c r="G6" s="390" t="str">
        <f>IF(I6="",IF($E$2&lt;=15,"EnattentedeRetrait","EnAttented'unRetraitTardif"),IF(I6-$G$2&lt;=15,"Rétirédanslesdélais",IF(I6-$G$2&gt;15,"Rétirétardivement-30000FCFAamende")))</f>
        <v>Rétirétardivement-30000FCFAamende</v>
      </c>
      <c r="H6" s="390" t="s">
        <v>822</v>
      </c>
      <c r="I6" s="493">
        <v>45840</v>
      </c>
      <c r="J6" s="390">
        <v>0</v>
      </c>
      <c r="K6" s="390"/>
      <c r="L6" s="390"/>
      <c r="M6" s="390"/>
    </row>
    <row r="7" spans="1:13" s="346" customFormat="1" ht="15" customHeight="1" x14ac:dyDescent="0.25">
      <c r="A7" s="502">
        <v>3</v>
      </c>
      <c r="B7" s="527">
        <v>4054612881</v>
      </c>
      <c r="C7" s="421" t="s">
        <v>26</v>
      </c>
      <c r="D7" s="504" t="s">
        <v>1170</v>
      </c>
      <c r="E7" s="503" t="s">
        <v>17</v>
      </c>
      <c r="F7" s="275" t="s">
        <v>1207</v>
      </c>
      <c r="G7" s="390" t="str">
        <f>IF(I7="",IF($E$2&lt;=15,"EnattentedeRetrait","EnAttented'unRetraitTardif"),IF(I7-$G$2&lt;=15,"Rétirédanslesdélais",IF(I7-$G$2&gt;15,"Rétirétardivement-30000FCFAamende")))</f>
        <v>Rétirétardivement-30000FCFAamende</v>
      </c>
      <c r="H7" s="390" t="s">
        <v>823</v>
      </c>
      <c r="I7" s="493">
        <v>45840</v>
      </c>
      <c r="J7" s="390">
        <v>0</v>
      </c>
      <c r="K7" s="390"/>
      <c r="L7" s="390"/>
      <c r="M7" s="390"/>
    </row>
    <row r="8" spans="1:13" s="346" customFormat="1" ht="15.75" hidden="1" x14ac:dyDescent="0.25">
      <c r="A8" s="502">
        <v>4</v>
      </c>
      <c r="B8" s="421">
        <v>4054626580</v>
      </c>
      <c r="C8" s="421" t="s">
        <v>26</v>
      </c>
      <c r="D8" s="504" t="s">
        <v>775</v>
      </c>
      <c r="E8" s="503" t="s">
        <v>17</v>
      </c>
      <c r="F8" s="275" t="s">
        <v>13</v>
      </c>
      <c r="G8" s="390" t="str">
        <f t="shared" si="0"/>
        <v>Rétiré dans les délais</v>
      </c>
      <c r="H8" s="390" t="s">
        <v>810</v>
      </c>
      <c r="I8" s="493">
        <v>45832</v>
      </c>
      <c r="J8" s="390">
        <v>0</v>
      </c>
      <c r="K8" s="390"/>
      <c r="L8" s="390"/>
      <c r="M8" s="390"/>
    </row>
    <row r="9" spans="1:13" ht="15.75" hidden="1" x14ac:dyDescent="0.25">
      <c r="A9" s="502">
        <v>5</v>
      </c>
      <c r="B9" s="421">
        <v>4054626880</v>
      </c>
      <c r="C9" s="421" t="s">
        <v>26</v>
      </c>
      <c r="D9" s="504" t="s">
        <v>774</v>
      </c>
      <c r="E9" s="503" t="s">
        <v>17</v>
      </c>
      <c r="F9" s="275" t="s">
        <v>13</v>
      </c>
      <c r="G9" s="390" t="str">
        <f t="shared" si="0"/>
        <v>Rétiré dans les délais</v>
      </c>
      <c r="H9" s="390" t="s">
        <v>807</v>
      </c>
      <c r="I9" s="493">
        <v>45831</v>
      </c>
      <c r="J9" s="390">
        <v>0</v>
      </c>
      <c r="K9" s="390"/>
      <c r="L9" s="390"/>
      <c r="M9" s="390"/>
    </row>
    <row r="10" spans="1:13" ht="15.75" hidden="1" x14ac:dyDescent="0.25">
      <c r="A10" s="502">
        <v>6</v>
      </c>
      <c r="B10" s="421">
        <v>4054629610</v>
      </c>
      <c r="C10" s="421" t="s">
        <v>26</v>
      </c>
      <c r="D10" s="504" t="s">
        <v>774</v>
      </c>
      <c r="E10" s="503" t="s">
        <v>17</v>
      </c>
      <c r="F10" s="275" t="s">
        <v>13</v>
      </c>
      <c r="G10" s="390" t="str">
        <f t="shared" si="0"/>
        <v>Rétiré dans les délais</v>
      </c>
      <c r="H10" s="390" t="s">
        <v>806</v>
      </c>
      <c r="I10" s="493">
        <v>45831</v>
      </c>
      <c r="J10" s="390">
        <v>0</v>
      </c>
      <c r="K10" s="390"/>
      <c r="L10" s="390"/>
      <c r="M10" s="390"/>
    </row>
    <row r="11" spans="1:13" ht="15.75" x14ac:dyDescent="0.25">
      <c r="A11" s="502">
        <v>7</v>
      </c>
      <c r="B11" s="421">
        <v>4054639000</v>
      </c>
      <c r="C11" s="421" t="s">
        <v>24</v>
      </c>
      <c r="D11" s="504" t="s">
        <v>1246</v>
      </c>
      <c r="E11" s="503" t="s">
        <v>17</v>
      </c>
      <c r="F11" s="275" t="s">
        <v>1207</v>
      </c>
      <c r="G11" s="390" t="str">
        <f>IF(I11="",IF($E$2&lt;=15,"EnattentedeRetrait","EnAttented'unRetraitTardif"),IF(I11-$G$2&lt;=15,"Rétirédanslesdélais",IF(I11-$G$2&gt;15,"Rétirétardivement-30000FCFAamende")))</f>
        <v>Rétirétardivement-30000FCFAamende</v>
      </c>
      <c r="H11" s="390" t="s">
        <v>834</v>
      </c>
      <c r="I11" s="493">
        <v>45853</v>
      </c>
      <c r="J11" s="390">
        <v>0</v>
      </c>
      <c r="K11" s="390"/>
      <c r="L11" s="390"/>
      <c r="M11" s="390" t="s">
        <v>1247</v>
      </c>
    </row>
    <row r="12" spans="1:13" ht="15.75" x14ac:dyDescent="0.25">
      <c r="A12" s="502">
        <v>8</v>
      </c>
      <c r="B12" s="525">
        <v>4054643200</v>
      </c>
      <c r="C12" s="421" t="s">
        <v>26</v>
      </c>
      <c r="D12" s="504" t="s">
        <v>1248</v>
      </c>
      <c r="E12" s="503" t="s">
        <v>17</v>
      </c>
      <c r="F12" s="366" t="s">
        <v>1097</v>
      </c>
      <c r="G12" s="390" t="str">
        <f>IF(I12="",IF($E$2&lt;=15,"EnattentedeRetrait","EnAttented'unRetraitTardif"),IF(I12-$G$2&lt;=15,"Rétirédanslesdélais",IF(I12-$G$2&gt;15,"Rétirétardivement-30000FCFAamende")))</f>
        <v>Rétirétardivement-30000FCFAamende</v>
      </c>
      <c r="H12" s="390" t="s">
        <v>843</v>
      </c>
      <c r="I12" s="493">
        <v>45848</v>
      </c>
      <c r="J12" s="390">
        <v>0</v>
      </c>
      <c r="K12" s="390"/>
      <c r="L12" s="390"/>
      <c r="M12" s="390"/>
    </row>
    <row r="20" spans="2:2" x14ac:dyDescent="0.25">
      <c r="B20"/>
    </row>
    <row r="21" spans="2:2" ht="17.25" customHeight="1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</sheetData>
  <autoFilter ref="A4:M12" xr:uid="{D559034C-E1A8-4788-A336-55187472940D}">
    <filterColumn colId="8">
      <filters>
        <dateGroupItem year="2025" month="7" dateTimeGrouping="month"/>
      </filters>
    </filterColumn>
    <filterColumn colId="12" showButton="0"/>
    <sortState xmlns:xlrd2="http://schemas.microsoft.com/office/spreadsheetml/2017/richdata2" ref="A5:M12">
      <sortCondition ref="B4:B12"/>
    </sortState>
  </autoFilter>
  <mergeCells count="2">
    <mergeCell ref="G1:I1"/>
    <mergeCell ref="A2:B2"/>
  </mergeCells>
  <conditionalFormatting sqref="A5:A12 C5:C12 E5:M12">
    <cfRule type="containsText" dxfId="1250" priority="5" operator="containsText" text="En Attente d'un Retrait Tardif">
      <formula>NOT(ISERROR(SEARCH("En Attente d'un Retrait Tardif",A5)))</formula>
    </cfRule>
    <cfRule type="containsText" dxfId="1249" priority="6" operator="containsText" text="Rétiré dans les délais">
      <formula>NOT(ISERROR(SEARCH("Rétiré dans les délais",A5)))</formula>
    </cfRule>
  </conditionalFormatting>
  <conditionalFormatting sqref="B1:B19 B31:B1048576">
    <cfRule type="duplicateValues" dxfId="1248" priority="4"/>
  </conditionalFormatting>
  <conditionalFormatting sqref="B1:B1048576">
    <cfRule type="duplicateValues" dxfId="1247" priority="1"/>
  </conditionalFormatting>
  <conditionalFormatting sqref="B5:B12">
    <cfRule type="duplicateValues" dxfId="1246" priority="1696"/>
  </conditionalFormatting>
  <conditionalFormatting sqref="B8:B12">
    <cfRule type="duplicateValues" dxfId="1245" priority="2"/>
    <cfRule type="duplicateValues" dxfId="1244" priority="3"/>
  </conditionalFormatting>
  <conditionalFormatting sqref="B31:B1048576 B1:B3">
    <cfRule type="duplicateValues" dxfId="1243" priority="7"/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F1EC-9C56-4E00-A397-23828B5CBA9E}">
  <sheetPr codeName="Feuil119" filterMode="1">
    <tabColor theme="5" tint="-0.249977111117893"/>
  </sheetPr>
  <dimension ref="A1:M14"/>
  <sheetViews>
    <sheetView zoomScaleNormal="100" workbookViewId="0">
      <selection sqref="A1:M14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24" customWidth="1"/>
    <col min="7" max="7" width="30.85546875" customWidth="1"/>
    <col min="8" max="9" width="22.28515625" customWidth="1"/>
    <col min="10" max="10" width="28" customWidth="1"/>
    <col min="13" max="13" width="31.28515625" customWidth="1"/>
  </cols>
  <sheetData>
    <row r="1" spans="1:13" ht="19.5" thickBot="1" x14ac:dyDescent="0.35">
      <c r="A1" s="348" t="s">
        <v>1249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273</v>
      </c>
      <c r="F2" s="25"/>
      <c r="G2" s="314">
        <v>45823</v>
      </c>
      <c r="H2" s="365">
        <f ca="1">I2-G2</f>
        <v>273</v>
      </c>
      <c r="I2" s="315">
        <f ca="1">TODAY()</f>
        <v>46096</v>
      </c>
      <c r="J2" s="340" t="s">
        <v>1250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501" t="s">
        <v>11</v>
      </c>
    </row>
    <row r="5" spans="1:13" s="394" customFormat="1" ht="15.75" x14ac:dyDescent="0.25">
      <c r="A5" s="502">
        <v>3</v>
      </c>
      <c r="B5" s="421">
        <v>4054625200</v>
      </c>
      <c r="C5" s="402" t="s">
        <v>26</v>
      </c>
      <c r="D5" s="504" t="s">
        <v>1121</v>
      </c>
      <c r="E5" s="503"/>
      <c r="F5" s="275" t="s">
        <v>1097</v>
      </c>
      <c r="G5" s="390" t="str">
        <f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826</v>
      </c>
      <c r="I5" s="493">
        <v>45842</v>
      </c>
      <c r="J5" s="524" t="s">
        <v>1251</v>
      </c>
      <c r="K5" s="390"/>
      <c r="L5" s="390"/>
      <c r="M5" s="390" t="s">
        <v>1252</v>
      </c>
    </row>
    <row r="6" spans="1:13" s="394" customFormat="1" ht="15.75" hidden="1" x14ac:dyDescent="0.25">
      <c r="A6" s="502">
        <v>8</v>
      </c>
      <c r="B6" s="421">
        <v>4054647069</v>
      </c>
      <c r="C6" s="520" t="s">
        <v>26</v>
      </c>
      <c r="D6" s="521" t="s">
        <v>750</v>
      </c>
      <c r="E6" s="522"/>
      <c r="F6" s="362" t="s">
        <v>15</v>
      </c>
      <c r="G6" s="440" t="str">
        <f t="shared" ref="G6:G11" si="0">IF(I6="",IF($E$2&lt;=15,"En attente de Retrait","En Attente d'un Retrait Tardif"),IF(I6-$G$2&lt;=15,"Rétiré dans les délais",IF(I6-$G$2&gt;15,"Rétiré tardivement-30000FCFA amende")))</f>
        <v>Rétiré dans les délais</v>
      </c>
      <c r="H6" s="440" t="s">
        <v>833</v>
      </c>
      <c r="I6" s="493">
        <v>45831</v>
      </c>
      <c r="J6" s="390"/>
      <c r="K6" s="390"/>
      <c r="L6" s="390"/>
      <c r="M6" s="390"/>
    </row>
    <row r="7" spans="1:13" s="346" customFormat="1" ht="15" hidden="1" customHeight="1" x14ac:dyDescent="0.25">
      <c r="A7" s="502">
        <v>9</v>
      </c>
      <c r="B7" s="519">
        <v>4054647060</v>
      </c>
      <c r="C7" s="520" t="s">
        <v>26</v>
      </c>
      <c r="D7" s="521" t="s">
        <v>750</v>
      </c>
      <c r="E7" s="522"/>
      <c r="F7" s="523" t="s">
        <v>15</v>
      </c>
      <c r="G7" s="440" t="str">
        <f t="shared" si="0"/>
        <v>Rétiré dans les délais</v>
      </c>
      <c r="H7" s="440" t="s">
        <v>832</v>
      </c>
      <c r="I7" s="493">
        <v>45831</v>
      </c>
      <c r="J7" s="390"/>
      <c r="K7" s="390"/>
      <c r="L7" s="390"/>
      <c r="M7" s="390"/>
    </row>
    <row r="8" spans="1:13" s="346" customFormat="1" ht="15.75" hidden="1" x14ac:dyDescent="0.25">
      <c r="A8" s="502">
        <v>1</v>
      </c>
      <c r="B8" s="421">
        <v>2759668260</v>
      </c>
      <c r="C8" s="402" t="s">
        <v>26</v>
      </c>
      <c r="D8" s="504" t="s">
        <v>783</v>
      </c>
      <c r="E8" s="503"/>
      <c r="F8" s="275" t="s">
        <v>13</v>
      </c>
      <c r="G8" s="390" t="str">
        <f t="shared" si="0"/>
        <v>Rétiré dans les délais</v>
      </c>
      <c r="H8" s="390" t="s">
        <v>875</v>
      </c>
      <c r="I8" s="493">
        <v>45828</v>
      </c>
      <c r="J8" s="390"/>
      <c r="K8" s="390"/>
      <c r="L8" s="390"/>
      <c r="M8" s="390"/>
    </row>
    <row r="9" spans="1:13" ht="15.75" hidden="1" x14ac:dyDescent="0.25">
      <c r="A9" s="502">
        <v>4</v>
      </c>
      <c r="B9" s="421">
        <v>4054629880</v>
      </c>
      <c r="C9" s="402" t="s">
        <v>645</v>
      </c>
      <c r="D9" s="504" t="s">
        <v>657</v>
      </c>
      <c r="E9" s="503"/>
      <c r="F9" s="275" t="s">
        <v>13</v>
      </c>
      <c r="G9" s="390" t="str">
        <f t="shared" si="0"/>
        <v>Rétiré dans les délais</v>
      </c>
      <c r="H9" s="564" t="s">
        <v>791</v>
      </c>
      <c r="I9" s="493">
        <v>45827</v>
      </c>
      <c r="J9" s="390" t="s">
        <v>802</v>
      </c>
      <c r="K9" s="390"/>
      <c r="L9" s="390"/>
      <c r="M9" s="390"/>
    </row>
    <row r="10" spans="1:13" ht="15.75" hidden="1" x14ac:dyDescent="0.25">
      <c r="A10" s="502">
        <v>5</v>
      </c>
      <c r="B10" s="421">
        <v>4054629930</v>
      </c>
      <c r="C10" s="402" t="s">
        <v>645</v>
      </c>
      <c r="D10" s="504" t="s">
        <v>657</v>
      </c>
      <c r="E10" s="503"/>
      <c r="F10" s="275" t="s">
        <v>13</v>
      </c>
      <c r="G10" s="390" t="str">
        <f t="shared" si="0"/>
        <v>Rétiré dans les délais</v>
      </c>
      <c r="H10" s="390" t="s">
        <v>792</v>
      </c>
      <c r="I10" s="493">
        <v>45827</v>
      </c>
      <c r="J10" s="390" t="s">
        <v>802</v>
      </c>
      <c r="K10" s="390"/>
      <c r="L10" s="390"/>
      <c r="M10" s="390"/>
    </row>
    <row r="11" spans="1:13" ht="15.75" hidden="1" x14ac:dyDescent="0.25">
      <c r="A11" s="502">
        <v>10</v>
      </c>
      <c r="B11" s="421">
        <v>4054656450</v>
      </c>
      <c r="C11" s="402" t="s">
        <v>26</v>
      </c>
      <c r="D11" s="504" t="s">
        <v>69</v>
      </c>
      <c r="E11" s="503"/>
      <c r="F11" s="366" t="s">
        <v>13</v>
      </c>
      <c r="G11" s="390" t="str">
        <f t="shared" si="0"/>
        <v>Rétiré dans les délais</v>
      </c>
      <c r="H11" s="390" t="s">
        <v>801</v>
      </c>
      <c r="I11" s="493">
        <v>45827</v>
      </c>
      <c r="J11" s="390"/>
      <c r="K11" s="390"/>
      <c r="L11" s="390"/>
      <c r="M11" s="390"/>
    </row>
    <row r="12" spans="1:13" ht="15.75" x14ac:dyDescent="0.25">
      <c r="A12" s="502">
        <v>2</v>
      </c>
      <c r="B12" s="421">
        <v>4054616280</v>
      </c>
      <c r="C12" s="402" t="s">
        <v>26</v>
      </c>
      <c r="D12" s="504" t="s">
        <v>1240</v>
      </c>
      <c r="E12" s="503"/>
      <c r="F12" s="275" t="s">
        <v>1097</v>
      </c>
      <c r="G12" s="390" t="str">
        <f>IF(I12="",IF($E$2&lt;=15,"EnattentedeRetrait","EnAttented'unRetraitTardif"),IF(I12-$G$2&lt;=15,"Rétirédanslesdélais",IF(I12-$G$2&gt;15,"Rétirétardivement-30000FCFAamende")))</f>
        <v>Rétirétardivement-30000FCFAamende</v>
      </c>
      <c r="H12" s="390" t="s">
        <v>818</v>
      </c>
      <c r="I12" s="493">
        <v>45841</v>
      </c>
      <c r="J12" s="390">
        <v>0</v>
      </c>
      <c r="K12" s="390"/>
      <c r="L12" s="390"/>
      <c r="M12" s="390"/>
    </row>
    <row r="13" spans="1:13" ht="15.75" x14ac:dyDescent="0.25">
      <c r="A13" s="502">
        <v>6</v>
      </c>
      <c r="B13" s="421">
        <v>4054632830</v>
      </c>
      <c r="C13" s="402" t="s">
        <v>26</v>
      </c>
      <c r="D13" s="504" t="s">
        <v>1170</v>
      </c>
      <c r="E13" s="503"/>
      <c r="F13" s="275" t="s">
        <v>1097</v>
      </c>
      <c r="G13" s="390" t="str">
        <f>IF(I13="",IF($E$2&lt;=15,"EnattentedeRetrait","EnAttented'unRetraitTardif"),IF(I13-$G$2&lt;=15,"Rétirédanslesdélais",IF(I13-$G$2&gt;15,"Rétirétardivement-30000FCFAamende")))</f>
        <v>Rétirétardivement-30000FCFAamende</v>
      </c>
      <c r="H13" s="390" t="s">
        <v>821</v>
      </c>
      <c r="I13" s="493">
        <v>45840</v>
      </c>
      <c r="J13" s="390"/>
      <c r="K13" s="390"/>
      <c r="L13" s="390"/>
      <c r="M13" s="390"/>
    </row>
    <row r="14" spans="1:13" ht="15.75" x14ac:dyDescent="0.25">
      <c r="A14" s="502">
        <v>7</v>
      </c>
      <c r="B14" s="421">
        <v>4054632850</v>
      </c>
      <c r="C14" s="402" t="s">
        <v>26</v>
      </c>
      <c r="D14" s="504" t="s">
        <v>1170</v>
      </c>
      <c r="E14" s="503"/>
      <c r="F14" s="275" t="s">
        <v>1097</v>
      </c>
      <c r="G14" s="390" t="str">
        <f>IF(I14="",IF($E$2&lt;=15,"EnattentedeRetrait","EnAttented'unRetraitTardif"),IF(I14-$G$2&lt;=15,"Rétirédanslesdélais",IF(I14-$G$2&gt;15,"Rétirétardivement-30000FCFAamende")))</f>
        <v>Rétirétardivement-30000FCFAamende</v>
      </c>
      <c r="H14" s="390" t="s">
        <v>820</v>
      </c>
      <c r="I14" s="493">
        <v>45840</v>
      </c>
      <c r="J14" s="390"/>
      <c r="K14" s="390"/>
      <c r="L14" s="390"/>
      <c r="M14" s="390"/>
    </row>
  </sheetData>
  <autoFilter ref="A4:M14" xr:uid="{D559034C-E1A8-4788-A336-55187472940D}">
    <filterColumn colId="8">
      <filters>
        <dateGroupItem year="2025" month="7" dateTimeGrouping="month"/>
      </filters>
    </filterColumn>
    <filterColumn colId="12" showButton="0"/>
    <sortState xmlns:xlrd2="http://schemas.microsoft.com/office/spreadsheetml/2017/richdata2" ref="A5:M14">
      <sortCondition ref="G4:G13"/>
    </sortState>
  </autoFilter>
  <mergeCells count="2">
    <mergeCell ref="G1:I1"/>
    <mergeCell ref="A2:B2"/>
  </mergeCells>
  <conditionalFormatting sqref="A5:A14 C5:C14 E5:M14">
    <cfRule type="containsText" dxfId="1242" priority="26" operator="containsText" text="Rétiré dans les délais">
      <formula>NOT(ISERROR(SEARCH("Rétiré dans les délais",A5)))</formula>
    </cfRule>
  </conditionalFormatting>
  <conditionalFormatting sqref="B5:B12">
    <cfRule type="duplicateValues" dxfId="1241" priority="12"/>
    <cfRule type="duplicateValues" dxfId="1240" priority="13"/>
    <cfRule type="duplicateValues" dxfId="1239" priority="14"/>
    <cfRule type="duplicateValues" dxfId="1238" priority="15"/>
    <cfRule type="duplicateValues" dxfId="1237" priority="16"/>
  </conditionalFormatting>
  <conditionalFormatting sqref="B13:B14">
    <cfRule type="duplicateValues" dxfId="1236" priority="7"/>
    <cfRule type="duplicateValues" dxfId="1235" priority="8"/>
    <cfRule type="duplicateValues" dxfId="1234" priority="9"/>
    <cfRule type="duplicateValues" dxfId="1233" priority="10"/>
    <cfRule type="duplicateValues" dxfId="1232" priority="11"/>
  </conditionalFormatting>
  <conditionalFormatting sqref="B15:B1048576 B1:B4">
    <cfRule type="duplicateValues" dxfId="1231" priority="1778"/>
    <cfRule type="duplicateValues" dxfId="1230" priority="1787"/>
  </conditionalFormatting>
  <conditionalFormatting sqref="B19:B1048576 B1:B3">
    <cfRule type="duplicateValues" dxfId="1229" priority="1784"/>
  </conditionalFormatting>
  <conditionalFormatting sqref="E5:M14 A5:A14 C5:C14">
    <cfRule type="containsText" dxfId="1228" priority="25" operator="containsText" text="En Attente d'un Retrait Tardif">
      <formula>NOT(ISERROR(SEARCH("En Attente d'un Retrait Tardif",A5)))</formula>
    </cfRule>
  </conditionalFormatting>
  <conditionalFormatting sqref="H1:H1048576">
    <cfRule type="duplicateValues" dxfId="1227" priority="1"/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AAA2-7D03-4B35-AE26-D2371DD09E15}">
  <sheetPr codeName="Feuil120">
    <tabColor theme="5" tint="-0.249977111117893"/>
  </sheetPr>
  <dimension ref="A1:M9"/>
  <sheetViews>
    <sheetView zoomScaleNormal="100" workbookViewId="0">
      <selection activeCell="D21" sqref="D21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9.855468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1253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268</v>
      </c>
      <c r="F2" s="25"/>
      <c r="G2" s="314">
        <v>45828</v>
      </c>
      <c r="H2" s="365">
        <f ca="1">I2-G2</f>
        <v>268</v>
      </c>
      <c r="I2" s="315">
        <f ca="1">TODAY()</f>
        <v>46096</v>
      </c>
      <c r="J2" s="340" t="s">
        <v>1254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18.75" customHeight="1" x14ac:dyDescent="0.25">
      <c r="A5" s="516">
        <v>1</v>
      </c>
      <c r="B5" s="339">
        <v>4054621250</v>
      </c>
      <c r="C5" s="421" t="s">
        <v>26</v>
      </c>
      <c r="D5" s="323" t="s">
        <v>1105</v>
      </c>
      <c r="E5" s="275" t="s">
        <v>17</v>
      </c>
      <c r="F5" s="275" t="s">
        <v>1255</v>
      </c>
      <c r="G5" s="275" t="str">
        <f>IF(I5="",IF($E$2&lt;=15,"EnattentedeRetrait","EnAttented'unRetraitTardif"),IF(I5-$G$2&lt;=15,"Rétirédanslesdélais",IF(I5-$G$2&gt;15,"Rétirétardivement-30000FCFAamende")))</f>
        <v>Rétirédanslesdélais</v>
      </c>
      <c r="H5" s="275" t="s">
        <v>811</v>
      </c>
      <c r="I5" s="493">
        <v>45834</v>
      </c>
      <c r="J5" s="390">
        <v>0</v>
      </c>
      <c r="K5" s="390"/>
      <c r="L5" s="390"/>
      <c r="M5" s="390"/>
    </row>
    <row r="6" spans="1:13" ht="18.75" customHeight="1" x14ac:dyDescent="0.25">
      <c r="A6" s="526">
        <v>2</v>
      </c>
      <c r="B6" s="339">
        <v>4054645690</v>
      </c>
      <c r="C6" s="421" t="s">
        <v>26</v>
      </c>
      <c r="D6" s="323" t="s">
        <v>1172</v>
      </c>
      <c r="E6" s="275" t="s">
        <v>17</v>
      </c>
      <c r="F6" s="275" t="s">
        <v>1255</v>
      </c>
      <c r="G6" s="275" t="str">
        <f>IF(I6="",IF($E$2&lt;=15,"EnattentedeRetrait","EnAttented'unRetraitTardif"),IF(I6-$G$2&lt;=15,"Rétirédanslesdélais",IF(I6-$G$2&gt;15,"Rétirétardivement-30000FCFAamende")))</f>
        <v>Rétirédanslesdélais</v>
      </c>
      <c r="H6" s="275" t="s">
        <v>825</v>
      </c>
      <c r="I6" s="493">
        <v>45842</v>
      </c>
      <c r="J6" s="390">
        <v>0</v>
      </c>
      <c r="K6" s="390"/>
      <c r="L6" s="390"/>
      <c r="M6" s="390"/>
    </row>
    <row r="7" spans="1:13" ht="18.75" customHeight="1" x14ac:dyDescent="0.25">
      <c r="A7" s="516">
        <v>3</v>
      </c>
      <c r="B7" s="339">
        <v>4054647061</v>
      </c>
      <c r="C7" s="421" t="s">
        <v>26</v>
      </c>
      <c r="D7" s="323" t="s">
        <v>1185</v>
      </c>
      <c r="E7" s="275" t="s">
        <v>17</v>
      </c>
      <c r="F7" s="275" t="s">
        <v>1255</v>
      </c>
      <c r="G7" s="275" t="str">
        <f>IF(I7="",IF($E$2&lt;=15,"EnattentedeRetrait","EnAttented'unRetraitTardif"),IF(I7-$G$2&lt;=15,"Rétirédanslesdélais",IF(I7-$G$2&gt;15,"Rétirétardivement-30000FCFAamende")))</f>
        <v>Rétirédanslesdélais</v>
      </c>
      <c r="H7" s="275" t="s">
        <v>812</v>
      </c>
      <c r="I7" s="493">
        <v>45834</v>
      </c>
      <c r="J7" s="390">
        <v>0</v>
      </c>
      <c r="K7" s="390"/>
      <c r="L7" s="390"/>
      <c r="M7" s="390"/>
    </row>
    <row r="8" spans="1:13" ht="18.75" customHeight="1" x14ac:dyDescent="0.25">
      <c r="A8" s="526">
        <v>4</v>
      </c>
      <c r="B8" s="339">
        <v>4054647080</v>
      </c>
      <c r="C8" s="421" t="s">
        <v>26</v>
      </c>
      <c r="D8" s="323" t="s">
        <v>1185</v>
      </c>
      <c r="E8" s="275" t="s">
        <v>17</v>
      </c>
      <c r="F8" s="275" t="s">
        <v>1255</v>
      </c>
      <c r="G8" s="275" t="str">
        <f>IF(I8="",IF($E$2&lt;=15,"EnattentedeRetrait","EnAttented'unRetraitTardif"),IF(I8-$G$2&lt;=15,"Rétirédanslesdélais",IF(I8-$G$2&gt;15,"Rétirétardivement-30000FCFAamende")))</f>
        <v>Rétirédanslesdélais</v>
      </c>
      <c r="H8" s="275" t="s">
        <v>813</v>
      </c>
      <c r="I8" s="493">
        <v>45834</v>
      </c>
      <c r="J8" s="390">
        <v>0</v>
      </c>
      <c r="K8" s="390"/>
      <c r="L8" s="390"/>
      <c r="M8" s="390"/>
    </row>
    <row r="9" spans="1:13" ht="18.75" customHeight="1" x14ac:dyDescent="0.25">
      <c r="A9" s="516">
        <v>5</v>
      </c>
      <c r="B9" s="339">
        <v>4054647089</v>
      </c>
      <c r="C9" s="421" t="s">
        <v>26</v>
      </c>
      <c r="D9" s="323" t="s">
        <v>1185</v>
      </c>
      <c r="E9" s="275" t="s">
        <v>17</v>
      </c>
      <c r="F9" s="275" t="s">
        <v>1255</v>
      </c>
      <c r="G9" s="275" t="str">
        <f>IF(I9="",IF($E$2&lt;=15,"EnattentedeRetrait","EnAttented'unRetraitTardif"),IF(I9-$G$2&lt;=15,"Rétirédanslesdélais",IF(I9-$G$2&gt;15,"Rétirétardivement-30000FCFAamende")))</f>
        <v>Rétirédanslesdélais</v>
      </c>
      <c r="H9" s="275" t="s">
        <v>814</v>
      </c>
      <c r="I9" s="493">
        <v>45834</v>
      </c>
      <c r="J9" s="390">
        <v>0</v>
      </c>
      <c r="K9" s="390"/>
      <c r="L9" s="390"/>
      <c r="M9" s="390"/>
    </row>
  </sheetData>
  <autoFilter ref="A4:M9" xr:uid="{D559034C-E1A8-4788-A336-55187472940D}">
    <filterColumn colId="12" showButton="0"/>
  </autoFilter>
  <mergeCells count="2">
    <mergeCell ref="G1:I1"/>
    <mergeCell ref="A2:B2"/>
  </mergeCells>
  <conditionalFormatting sqref="A5 B5:M9 A7 A9:B9">
    <cfRule type="containsText" dxfId="1226" priority="2" operator="containsText" text="En Attente d'un Retrait Tardif">
      <formula>NOT(ISERROR(SEARCH("En Attente d'un Retrait Tardif",A5)))</formula>
    </cfRule>
    <cfRule type="containsText" dxfId="1225" priority="3" operator="containsText" text="Rétiré dans les délais">
      <formula>NOT(ISERROR(SEARCH("Rétiré dans les délais",A5)))</formula>
    </cfRule>
  </conditionalFormatting>
  <conditionalFormatting sqref="B1:B3 B10:B1048576">
    <cfRule type="duplicateValues" dxfId="1224" priority="1782"/>
  </conditionalFormatting>
  <conditionalFormatting sqref="B1:B4 B10:B1048576">
    <cfRule type="duplicateValues" dxfId="1223" priority="1785"/>
  </conditionalFormatting>
  <conditionalFormatting sqref="B10:B1048576">
    <cfRule type="duplicateValues" dxfId="1222" priority="1788"/>
  </conditionalFormatting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5C16-F078-4B4F-AD18-B58E5478509D}">
  <sheetPr codeName="Feuil121">
    <tabColor theme="5" tint="-0.249977111117893"/>
  </sheetPr>
  <dimension ref="A1:M10"/>
  <sheetViews>
    <sheetView zoomScaleNormal="100" workbookViewId="0">
      <selection activeCell="B7" sqref="B7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9.855468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1256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253</v>
      </c>
      <c r="F2" s="25"/>
      <c r="G2" s="314">
        <v>45843</v>
      </c>
      <c r="H2" s="365">
        <f ca="1">I2-G2</f>
        <v>253</v>
      </c>
      <c r="I2" s="315">
        <f ca="1">TODAY()</f>
        <v>46096</v>
      </c>
      <c r="J2" s="340" t="s">
        <v>1257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19.5" customHeight="1" x14ac:dyDescent="0.25">
      <c r="A5" s="516">
        <v>1</v>
      </c>
      <c r="B5" s="532">
        <v>4054632860</v>
      </c>
      <c r="C5" s="499" t="s">
        <v>355</v>
      </c>
      <c r="D5" s="499" t="s">
        <v>831</v>
      </c>
      <c r="E5" s="499" t="s">
        <v>17</v>
      </c>
      <c r="F5" s="499" t="s">
        <v>1143</v>
      </c>
      <c r="G5" s="499" t="str">
        <f t="shared" ref="G5:G10" si="0">IF(I5="",IF($E$2&lt;=15,"EnattentedeRetrait","EnAttented'unRetraitTardif"),IF(I5-$G$2&lt;=15,"Rétirédanslesdélais",IF(I5-$G$2&gt;15,"Rétirétardivement-30000FCFAamende")))</f>
        <v>Rétirédanslesdélais</v>
      </c>
      <c r="H5" s="499" t="s">
        <v>844</v>
      </c>
      <c r="I5" s="493">
        <v>45848</v>
      </c>
      <c r="J5" s="499">
        <v>0</v>
      </c>
      <c r="K5" s="390"/>
      <c r="L5" s="390"/>
      <c r="M5" s="390"/>
    </row>
    <row r="6" spans="1:13" s="346" customFormat="1" ht="19.5" customHeight="1" x14ac:dyDescent="0.25">
      <c r="A6" s="516">
        <v>2</v>
      </c>
      <c r="B6" s="532">
        <v>4054637480</v>
      </c>
      <c r="C6" s="499" t="s">
        <v>360</v>
      </c>
      <c r="D6" s="499" t="s">
        <v>274</v>
      </c>
      <c r="E6" s="499" t="s">
        <v>17</v>
      </c>
      <c r="F6" s="499" t="s">
        <v>1094</v>
      </c>
      <c r="G6" s="499" t="str">
        <f t="shared" si="0"/>
        <v>Rétirédanslesdélais</v>
      </c>
      <c r="H6" s="499" t="s">
        <v>852</v>
      </c>
      <c r="I6" s="493">
        <v>45854</v>
      </c>
      <c r="J6" s="499">
        <v>0</v>
      </c>
      <c r="K6" s="390"/>
      <c r="L6" s="390"/>
      <c r="M6" s="390"/>
    </row>
    <row r="7" spans="1:13" ht="19.5" customHeight="1" x14ac:dyDescent="0.25">
      <c r="A7" s="516">
        <v>3</v>
      </c>
      <c r="B7" s="532">
        <v>4054644550</v>
      </c>
      <c r="C7" s="499" t="s">
        <v>355</v>
      </c>
      <c r="D7" s="499" t="s">
        <v>1258</v>
      </c>
      <c r="E7" s="499" t="s">
        <v>17</v>
      </c>
      <c r="F7" s="499" t="s">
        <v>1207</v>
      </c>
      <c r="G7" s="499" t="str">
        <f t="shared" si="0"/>
        <v>Rétirédanslesdélais</v>
      </c>
      <c r="H7" s="499" t="s">
        <v>839</v>
      </c>
      <c r="I7" s="493">
        <v>45846</v>
      </c>
      <c r="J7" s="499">
        <v>0</v>
      </c>
      <c r="K7" s="390"/>
      <c r="L7" s="390"/>
      <c r="M7" s="390"/>
    </row>
    <row r="8" spans="1:13" ht="19.5" customHeight="1" x14ac:dyDescent="0.25">
      <c r="A8" s="516">
        <v>4</v>
      </c>
      <c r="B8" s="532">
        <v>4054651310</v>
      </c>
      <c r="C8" s="499" t="s">
        <v>355</v>
      </c>
      <c r="D8" s="499" t="s">
        <v>1259</v>
      </c>
      <c r="E8" s="499" t="s">
        <v>17</v>
      </c>
      <c r="F8" s="499" t="s">
        <v>1207</v>
      </c>
      <c r="G8" s="499" t="str">
        <f t="shared" si="0"/>
        <v>Rétirédanslesdélais</v>
      </c>
      <c r="H8" s="499" t="s">
        <v>841</v>
      </c>
      <c r="I8" s="493">
        <v>45846</v>
      </c>
      <c r="J8" s="499">
        <v>0</v>
      </c>
      <c r="K8" s="390"/>
      <c r="L8" s="390"/>
      <c r="M8" s="390"/>
    </row>
    <row r="9" spans="1:13" ht="19.5" customHeight="1" x14ac:dyDescent="0.25">
      <c r="A9" s="516">
        <v>5</v>
      </c>
      <c r="B9" s="532">
        <v>4054659160</v>
      </c>
      <c r="C9" s="499" t="s">
        <v>355</v>
      </c>
      <c r="D9" s="499" t="s">
        <v>831</v>
      </c>
      <c r="E9" s="499" t="s">
        <v>17</v>
      </c>
      <c r="F9" s="499" t="s">
        <v>1143</v>
      </c>
      <c r="G9" s="499" t="str">
        <f t="shared" si="0"/>
        <v>Rétirédanslesdélais</v>
      </c>
      <c r="H9" s="499" t="s">
        <v>845</v>
      </c>
      <c r="I9" s="493">
        <v>45848</v>
      </c>
      <c r="J9" s="499">
        <v>0</v>
      </c>
      <c r="K9" s="390"/>
      <c r="L9" s="390"/>
      <c r="M9" s="390"/>
    </row>
    <row r="10" spans="1:13" ht="19.5" customHeight="1" x14ac:dyDescent="0.25">
      <c r="A10" s="516">
        <v>6</v>
      </c>
      <c r="B10" s="532">
        <v>4054688540</v>
      </c>
      <c r="C10" s="499" t="s">
        <v>355</v>
      </c>
      <c r="D10" s="499" t="s">
        <v>1075</v>
      </c>
      <c r="E10" s="499" t="s">
        <v>17</v>
      </c>
      <c r="F10" s="499" t="s">
        <v>1207</v>
      </c>
      <c r="G10" s="499" t="str">
        <f t="shared" si="0"/>
        <v>Rétirédanslesdélais</v>
      </c>
      <c r="H10" s="499" t="s">
        <v>842</v>
      </c>
      <c r="I10" s="493">
        <v>45847</v>
      </c>
      <c r="J10" s="499">
        <v>0</v>
      </c>
      <c r="K10" s="390"/>
      <c r="L10" s="390"/>
      <c r="M10" s="390"/>
    </row>
  </sheetData>
  <autoFilter ref="A4:M10" xr:uid="{D559034C-E1A8-4788-A336-55187472940D}">
    <filterColumn colId="12" showButton="0"/>
    <sortState xmlns:xlrd2="http://schemas.microsoft.com/office/spreadsheetml/2017/richdata2" ref="A5:M10">
      <sortCondition sortBy="cellColor" ref="B4:B8" dxfId="1536"/>
    </sortState>
  </autoFilter>
  <mergeCells count="2">
    <mergeCell ref="G1:I1"/>
    <mergeCell ref="A2:B2"/>
  </mergeCells>
  <conditionalFormatting sqref="A5:M10">
    <cfRule type="containsText" dxfId="1221" priority="1" operator="containsText" text="En Attente d'un Retrait Tardif">
      <formula>NOT(ISERROR(SEARCH("En Attente d'un Retrait Tardif",A5)))</formula>
    </cfRule>
    <cfRule type="containsText" dxfId="1220" priority="2" operator="containsText" text="Rétiré dans les délais">
      <formula>NOT(ISERROR(SEARCH("Rétiré dans les délais",A5)))</formula>
    </cfRule>
  </conditionalFormatting>
  <conditionalFormatting sqref="B11:B1048576 B1:B3">
    <cfRule type="duplicateValues" dxfId="1219" priority="8"/>
  </conditionalFormatting>
  <conditionalFormatting sqref="B11:B1048576 B1:B4">
    <cfRule type="duplicateValues" dxfId="1218" priority="9"/>
    <cfRule type="duplicateValues" dxfId="1217" priority="11"/>
  </conditionalFormatting>
  <conditionalFormatting sqref="B11:B1048576">
    <cfRule type="duplicateValues" dxfId="1216" priority="10"/>
  </conditionalFormatting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4954-CC3B-484B-9B90-F47B2FB693E4}">
  <sheetPr codeName="Feuil122">
    <tabColor theme="5" tint="-0.249977111117893"/>
  </sheetPr>
  <dimension ref="A1:M68"/>
  <sheetViews>
    <sheetView zoomScaleNormal="100" workbookViewId="0">
      <selection activeCell="F29" sqref="F29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1260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290</v>
      </c>
      <c r="F2" s="25"/>
      <c r="G2" s="314">
        <v>45806</v>
      </c>
      <c r="H2" s="365">
        <f ca="1">I2-G2</f>
        <v>290</v>
      </c>
      <c r="I2" s="315">
        <f ca="1">TODAY()</f>
        <v>46096</v>
      </c>
      <c r="J2" s="340" t="s">
        <v>1238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501" t="s">
        <v>11</v>
      </c>
    </row>
    <row r="5" spans="1:13" s="394" customFormat="1" ht="15.75" x14ac:dyDescent="0.25">
      <c r="A5" s="502">
        <v>5</v>
      </c>
      <c r="B5" s="506">
        <v>2158388630</v>
      </c>
      <c r="C5" s="280" t="s">
        <v>355</v>
      </c>
      <c r="D5" s="504" t="s">
        <v>1261</v>
      </c>
      <c r="E5" s="503" t="s">
        <v>17</v>
      </c>
      <c r="F5" s="275" t="s">
        <v>1143</v>
      </c>
      <c r="G5" s="390" t="str">
        <f t="shared" ref="G5:G15" si="0">IF(I5="",IF($E$2&lt;=15,"EnattentedeRetrait","EnAttented'unRetraitTardif"),IF(I5-$G$2&lt;=15,"Rétirédanslesdélais",IF(I5-$G$2&gt;15,"Rétirétardivement-30000FCFAamende")))</f>
        <v>Rétirédanslesdélais</v>
      </c>
      <c r="H5" s="390" t="s">
        <v>748</v>
      </c>
      <c r="I5" s="493">
        <v>45812</v>
      </c>
      <c r="J5" s="390">
        <v>0</v>
      </c>
      <c r="K5" s="390"/>
      <c r="L5" s="390"/>
      <c r="M5" s="390"/>
    </row>
    <row r="6" spans="1:13" s="394" customFormat="1" ht="15.75" x14ac:dyDescent="0.25">
      <c r="A6" s="502">
        <v>2</v>
      </c>
      <c r="B6" s="479">
        <v>4054538430</v>
      </c>
      <c r="C6" s="280" t="s">
        <v>355</v>
      </c>
      <c r="D6" s="504" t="s">
        <v>1262</v>
      </c>
      <c r="E6" s="503" t="s">
        <v>17</v>
      </c>
      <c r="F6" s="275" t="s">
        <v>1207</v>
      </c>
      <c r="G6" s="390" t="str">
        <f t="shared" si="0"/>
        <v>Rétirédanslesdélais</v>
      </c>
      <c r="H6" s="390" t="s">
        <v>835</v>
      </c>
      <c r="I6" s="493">
        <v>45811</v>
      </c>
      <c r="J6" s="390">
        <v>0</v>
      </c>
      <c r="K6" s="390"/>
      <c r="L6" s="390"/>
      <c r="M6" s="390"/>
    </row>
    <row r="7" spans="1:13" s="346" customFormat="1" ht="15" customHeight="1" x14ac:dyDescent="0.25">
      <c r="A7" s="502">
        <v>1</v>
      </c>
      <c r="B7" s="479">
        <v>4054538450</v>
      </c>
      <c r="C7" s="280" t="s">
        <v>355</v>
      </c>
      <c r="D7" s="504" t="s">
        <v>1262</v>
      </c>
      <c r="E7" s="503" t="s">
        <v>17</v>
      </c>
      <c r="F7" s="275" t="s">
        <v>1207</v>
      </c>
      <c r="G7" s="390" t="str">
        <f t="shared" si="0"/>
        <v>Rétirédanslesdélais</v>
      </c>
      <c r="H7" s="390" t="s">
        <v>836</v>
      </c>
      <c r="I7" s="493">
        <v>45811</v>
      </c>
      <c r="J7" s="390">
        <v>0</v>
      </c>
      <c r="K7" s="390"/>
      <c r="L7" s="390"/>
      <c r="M7" s="390"/>
    </row>
    <row r="8" spans="1:13" s="346" customFormat="1" ht="15.75" x14ac:dyDescent="0.25">
      <c r="A8" s="502">
        <v>4</v>
      </c>
      <c r="B8" s="479">
        <v>4054560790</v>
      </c>
      <c r="C8" s="280" t="s">
        <v>355</v>
      </c>
      <c r="D8" s="504" t="s">
        <v>1141</v>
      </c>
      <c r="E8" s="503" t="s">
        <v>17</v>
      </c>
      <c r="F8" s="275" t="s">
        <v>1143</v>
      </c>
      <c r="G8" s="390" t="str">
        <f t="shared" si="0"/>
        <v>Rétirédanslesdélais</v>
      </c>
      <c r="H8" s="390" t="s">
        <v>837</v>
      </c>
      <c r="I8" s="493">
        <v>45810</v>
      </c>
      <c r="J8" s="390">
        <v>0</v>
      </c>
      <c r="K8" s="390"/>
      <c r="L8" s="390"/>
      <c r="M8" s="390"/>
    </row>
    <row r="9" spans="1:13" ht="15.75" x14ac:dyDescent="0.25">
      <c r="A9" s="502">
        <v>3</v>
      </c>
      <c r="B9" s="506">
        <v>4054563170</v>
      </c>
      <c r="C9" s="280" t="s">
        <v>355</v>
      </c>
      <c r="D9" s="504" t="s">
        <v>1141</v>
      </c>
      <c r="E9" s="503" t="s">
        <v>17</v>
      </c>
      <c r="F9" s="275" t="s">
        <v>1143</v>
      </c>
      <c r="G9" s="390" t="str">
        <f t="shared" si="0"/>
        <v>Rétirédanslesdélais</v>
      </c>
      <c r="H9" s="390" t="s">
        <v>838</v>
      </c>
      <c r="I9" s="493">
        <v>45810</v>
      </c>
      <c r="J9" s="390">
        <v>0</v>
      </c>
      <c r="K9" s="390"/>
      <c r="L9" s="390"/>
      <c r="M9" s="390"/>
    </row>
    <row r="10" spans="1:13" ht="15.75" x14ac:dyDescent="0.25">
      <c r="A10" s="502">
        <v>6</v>
      </c>
      <c r="B10" s="506">
        <v>4054574400</v>
      </c>
      <c r="C10" s="280" t="s">
        <v>355</v>
      </c>
      <c r="D10" s="504" t="s">
        <v>1157</v>
      </c>
      <c r="E10" s="503" t="s">
        <v>17</v>
      </c>
      <c r="F10" s="275" t="s">
        <v>1207</v>
      </c>
      <c r="G10" s="390" t="str">
        <f t="shared" si="0"/>
        <v>Rétirédanslesdélais</v>
      </c>
      <c r="H10" s="390" t="s">
        <v>762</v>
      </c>
      <c r="I10" s="493">
        <v>45820</v>
      </c>
      <c r="J10" s="390">
        <v>680000</v>
      </c>
      <c r="K10" s="390"/>
      <c r="L10" s="390"/>
      <c r="M10" s="390"/>
    </row>
    <row r="11" spans="1:13" ht="15.75" x14ac:dyDescent="0.25">
      <c r="A11" s="502">
        <v>7</v>
      </c>
      <c r="B11" s="506">
        <v>4054577850</v>
      </c>
      <c r="C11" s="280" t="s">
        <v>355</v>
      </c>
      <c r="D11" s="504" t="s">
        <v>1124</v>
      </c>
      <c r="E11" s="503" t="s">
        <v>17</v>
      </c>
      <c r="F11" s="275" t="s">
        <v>1207</v>
      </c>
      <c r="G11" s="390" t="str">
        <f t="shared" si="0"/>
        <v>Rétirédanslesdélais</v>
      </c>
      <c r="H11" s="390" t="s">
        <v>739</v>
      </c>
      <c r="I11" s="493">
        <v>45811</v>
      </c>
      <c r="J11" s="390">
        <v>340000</v>
      </c>
      <c r="K11" s="390"/>
      <c r="L11" s="390"/>
      <c r="M11" s="390"/>
    </row>
    <row r="12" spans="1:13" ht="15.75" x14ac:dyDescent="0.25">
      <c r="A12" s="502">
        <v>9</v>
      </c>
      <c r="B12" s="506">
        <v>4054618920</v>
      </c>
      <c r="C12" s="280" t="s">
        <v>355</v>
      </c>
      <c r="D12" s="504" t="s">
        <v>1160</v>
      </c>
      <c r="E12" s="503" t="s">
        <v>17</v>
      </c>
      <c r="F12" s="366" t="s">
        <v>1263</v>
      </c>
      <c r="G12" s="390" t="str">
        <f t="shared" si="0"/>
        <v>Rétirédanslesdélais</v>
      </c>
      <c r="H12" s="390" t="s">
        <v>744</v>
      </c>
      <c r="I12" s="493">
        <v>45812</v>
      </c>
      <c r="J12" s="390">
        <v>0</v>
      </c>
      <c r="K12" s="390"/>
      <c r="L12" s="390"/>
      <c r="M12" s="390"/>
    </row>
    <row r="13" spans="1:13" ht="15.75" x14ac:dyDescent="0.25">
      <c r="A13" s="502">
        <v>8</v>
      </c>
      <c r="B13" s="506">
        <v>4054618930</v>
      </c>
      <c r="C13" s="280" t="s">
        <v>355</v>
      </c>
      <c r="D13" s="504" t="s">
        <v>1160</v>
      </c>
      <c r="E13" s="503" t="s">
        <v>17</v>
      </c>
      <c r="F13" s="366" t="s">
        <v>1263</v>
      </c>
      <c r="G13" s="390" t="str">
        <f t="shared" si="0"/>
        <v>Rétirédanslesdélais</v>
      </c>
      <c r="H13" s="390" t="s">
        <v>743</v>
      </c>
      <c r="I13" s="493">
        <v>45812</v>
      </c>
      <c r="J13" s="390">
        <v>0</v>
      </c>
      <c r="K13" s="390"/>
      <c r="L13" s="390"/>
      <c r="M13" s="390"/>
    </row>
    <row r="14" spans="1:13" ht="15.75" x14ac:dyDescent="0.25">
      <c r="A14" s="502">
        <v>11</v>
      </c>
      <c r="B14" s="506">
        <v>4054625950</v>
      </c>
      <c r="C14" s="280" t="s">
        <v>355</v>
      </c>
      <c r="D14" s="504" t="s">
        <v>1161</v>
      </c>
      <c r="E14" s="503" t="s">
        <v>17</v>
      </c>
      <c r="F14" s="275" t="s">
        <v>1207</v>
      </c>
      <c r="G14" s="390" t="str">
        <f t="shared" si="0"/>
        <v>Rétirédanslesdélais</v>
      </c>
      <c r="H14" s="390" t="s">
        <v>747</v>
      </c>
      <c r="I14" s="493">
        <v>45812</v>
      </c>
      <c r="J14" s="390">
        <v>0</v>
      </c>
      <c r="K14" s="390"/>
      <c r="L14" s="390"/>
      <c r="M14" s="390"/>
    </row>
    <row r="15" spans="1:13" ht="15.75" x14ac:dyDescent="0.25">
      <c r="A15" s="502">
        <v>10</v>
      </c>
      <c r="B15" s="506">
        <v>4054626930</v>
      </c>
      <c r="C15" s="280" t="s">
        <v>355</v>
      </c>
      <c r="D15" s="504" t="s">
        <v>1264</v>
      </c>
      <c r="E15" s="503" t="s">
        <v>17</v>
      </c>
      <c r="F15" s="275" t="s">
        <v>1143</v>
      </c>
      <c r="G15" s="390" t="str">
        <f t="shared" si="0"/>
        <v>Rétirédanslesdélais</v>
      </c>
      <c r="H15" s="390" t="s">
        <v>749</v>
      </c>
      <c r="I15" s="493">
        <v>45813</v>
      </c>
      <c r="J15" s="390">
        <v>0</v>
      </c>
      <c r="K15" s="390"/>
      <c r="L15" s="390"/>
      <c r="M15" s="390"/>
    </row>
    <row r="44" spans="2:2" x14ac:dyDescent="0.25">
      <c r="B44" s="500"/>
    </row>
    <row r="68" spans="3:3" x14ac:dyDescent="0.25">
      <c r="C68" s="500"/>
    </row>
  </sheetData>
  <autoFilter ref="A4:M15" xr:uid="{D559034C-E1A8-4788-A336-55187472940D}">
    <filterColumn colId="12" showButton="0"/>
    <sortState xmlns:xlrd2="http://schemas.microsoft.com/office/spreadsheetml/2017/richdata2" ref="A5:M15">
      <sortCondition ref="B4:B15"/>
    </sortState>
  </autoFilter>
  <mergeCells count="2">
    <mergeCell ref="G1:I1"/>
    <mergeCell ref="A2:B2"/>
  </mergeCells>
  <conditionalFormatting sqref="A5:A15 C5:C15 E5:M15">
    <cfRule type="containsText" dxfId="1215" priority="12" operator="containsText" text="En Attente d'un Retrait Tardif">
      <formula>NOT(ISERROR(SEARCH("En Attente d'un Retrait Tardif",A5)))</formula>
    </cfRule>
    <cfRule type="containsText" dxfId="1214" priority="13" operator="containsText" text="Rétiré dans les délais">
      <formula>NOT(ISERROR(SEARCH("Rétiré dans les délais",A5)))</formula>
    </cfRule>
  </conditionalFormatting>
  <conditionalFormatting sqref="B1:B4 B16:B1048576">
    <cfRule type="duplicateValues" dxfId="1213" priority="1607"/>
  </conditionalFormatting>
  <conditionalFormatting sqref="B1:B1048576">
    <cfRule type="duplicateValues" dxfId="1212" priority="1"/>
  </conditionalFormatting>
  <conditionalFormatting sqref="B5:B15">
    <cfRule type="duplicateValues" dxfId="1211" priority="1611"/>
  </conditionalFormatting>
  <conditionalFormatting sqref="B45:B1048576 B1:B3 B16:B19">
    <cfRule type="duplicateValues" dxfId="1210" priority="1595"/>
  </conditionalFormatting>
  <conditionalFormatting sqref="B45:B1048576 B16:B19 B1:B3">
    <cfRule type="duplicateValues" dxfId="1209" priority="1598"/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2E31-A61E-49E7-96D0-89F3528F8906}">
  <sheetPr codeName="Feuil123">
    <tabColor theme="5" tint="-0.249977111117893"/>
  </sheetPr>
  <dimension ref="A1:M15"/>
  <sheetViews>
    <sheetView zoomScaleNormal="100" workbookViewId="0">
      <selection activeCell="D35" sqref="D35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31.57031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1265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282</v>
      </c>
      <c r="F2" s="25"/>
      <c r="G2" s="314">
        <v>45814</v>
      </c>
      <c r="H2" s="365">
        <f ca="1">I2-G2</f>
        <v>282</v>
      </c>
      <c r="I2" s="315">
        <f ca="1">TODAY()</f>
        <v>46096</v>
      </c>
      <c r="J2" s="340" t="s">
        <v>1266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94" customFormat="1" ht="15.75" x14ac:dyDescent="0.25">
      <c r="A5" s="390">
        <v>1</v>
      </c>
      <c r="B5" s="400">
        <v>4054577851</v>
      </c>
      <c r="C5" s="280" t="s">
        <v>355</v>
      </c>
      <c r="D5" s="514" t="s">
        <v>1267</v>
      </c>
      <c r="E5" s="390"/>
      <c r="F5" s="390" t="s">
        <v>17</v>
      </c>
      <c r="G5" s="390" t="str">
        <f t="shared" ref="G5:G10" si="0"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815</v>
      </c>
      <c r="I5" s="493">
        <v>45835</v>
      </c>
      <c r="J5" s="499" t="s">
        <v>1268</v>
      </c>
      <c r="K5" s="390"/>
      <c r="L5" s="390"/>
      <c r="M5" s="390"/>
    </row>
    <row r="6" spans="1:13" s="394" customFormat="1" ht="15.75" x14ac:dyDescent="0.25">
      <c r="A6" s="390">
        <v>2</v>
      </c>
      <c r="B6" s="400">
        <v>4054585590</v>
      </c>
      <c r="C6" s="280" t="s">
        <v>465</v>
      </c>
      <c r="D6" s="514" t="s">
        <v>1240</v>
      </c>
      <c r="E6" s="390"/>
      <c r="F6" s="390" t="s">
        <v>17</v>
      </c>
      <c r="G6" s="390" t="str">
        <f t="shared" si="0"/>
        <v>Rétirédanslesdélais</v>
      </c>
      <c r="H6" s="390" t="s">
        <v>761</v>
      </c>
      <c r="I6" s="493">
        <v>45820</v>
      </c>
      <c r="J6" s="499">
        <v>480000</v>
      </c>
      <c r="K6" s="390"/>
      <c r="L6" s="390"/>
      <c r="M6" s="390"/>
    </row>
    <row r="7" spans="1:13" s="346" customFormat="1" ht="15.75" x14ac:dyDescent="0.25">
      <c r="A7" s="390">
        <v>3</v>
      </c>
      <c r="B7" s="400">
        <v>4054586300</v>
      </c>
      <c r="C7" s="280" t="s">
        <v>465</v>
      </c>
      <c r="D7" s="514" t="s">
        <v>1229</v>
      </c>
      <c r="E7" s="390"/>
      <c r="F7" s="390" t="s">
        <v>1143</v>
      </c>
      <c r="G7" s="390" t="str">
        <f t="shared" si="0"/>
        <v>Rétirédanslesdélais</v>
      </c>
      <c r="H7" s="390" t="s">
        <v>767</v>
      </c>
      <c r="I7" s="493">
        <v>45820</v>
      </c>
      <c r="J7" s="390">
        <v>0</v>
      </c>
      <c r="K7" s="390"/>
      <c r="L7" s="390"/>
      <c r="M7" s="390"/>
    </row>
    <row r="8" spans="1:13" s="346" customFormat="1" ht="15.75" x14ac:dyDescent="0.25">
      <c r="A8" s="390">
        <v>4</v>
      </c>
      <c r="B8" s="400">
        <v>4054586309</v>
      </c>
      <c r="C8" s="280" t="s">
        <v>465</v>
      </c>
      <c r="D8" s="514" t="s">
        <v>1229</v>
      </c>
      <c r="E8" s="390"/>
      <c r="F8" s="390" t="s">
        <v>1143</v>
      </c>
      <c r="G8" s="390" t="str">
        <f t="shared" si="0"/>
        <v>Rétirédanslesdélais</v>
      </c>
      <c r="H8" s="390" t="s">
        <v>770</v>
      </c>
      <c r="I8" s="493">
        <v>45820</v>
      </c>
      <c r="J8" s="390">
        <v>0</v>
      </c>
      <c r="K8" s="390"/>
      <c r="L8" s="390"/>
      <c r="M8" s="390"/>
    </row>
    <row r="9" spans="1:13" s="346" customFormat="1" ht="15.75" x14ac:dyDescent="0.25">
      <c r="A9" s="390">
        <v>5</v>
      </c>
      <c r="B9" s="400">
        <v>4054612580</v>
      </c>
      <c r="C9" s="280" t="s">
        <v>465</v>
      </c>
      <c r="D9" s="514" t="s">
        <v>1229</v>
      </c>
      <c r="E9" s="390"/>
      <c r="F9" s="390" t="s">
        <v>1143</v>
      </c>
      <c r="G9" s="390" t="str">
        <f t="shared" si="0"/>
        <v>Rétirédanslesdélais</v>
      </c>
      <c r="H9" s="390" t="s">
        <v>768</v>
      </c>
      <c r="I9" s="493">
        <v>45820</v>
      </c>
      <c r="J9" s="390">
        <v>0</v>
      </c>
      <c r="K9" s="390"/>
      <c r="L9" s="390"/>
      <c r="M9" s="390"/>
    </row>
    <row r="10" spans="1:13" ht="15.75" x14ac:dyDescent="0.25">
      <c r="A10" s="390">
        <v>6</v>
      </c>
      <c r="B10" s="400">
        <v>4054632800</v>
      </c>
      <c r="C10" s="280" t="s">
        <v>465</v>
      </c>
      <c r="D10" s="514" t="s">
        <v>1229</v>
      </c>
      <c r="E10" s="390"/>
      <c r="F10" s="390" t="s">
        <v>1143</v>
      </c>
      <c r="G10" s="390" t="str">
        <f t="shared" si="0"/>
        <v>Rétirédanslesdélais</v>
      </c>
      <c r="H10" s="390" t="s">
        <v>769</v>
      </c>
      <c r="I10" s="493">
        <v>45820</v>
      </c>
      <c r="J10" s="390">
        <v>0</v>
      </c>
      <c r="K10" s="390"/>
      <c r="L10" s="390"/>
      <c r="M10" s="390"/>
    </row>
    <row r="11" spans="1:13" x14ac:dyDescent="0.25">
      <c r="D11" s="105"/>
      <c r="E11" s="105"/>
      <c r="F11" s="105"/>
      <c r="G11" s="105"/>
      <c r="H11" s="105"/>
      <c r="I11" s="105"/>
      <c r="J11" s="105"/>
      <c r="K11" s="105"/>
      <c r="L11" s="105"/>
      <c r="M11" s="105"/>
    </row>
    <row r="12" spans="1:13" x14ac:dyDescent="0.25">
      <c r="D12" s="105"/>
      <c r="E12" s="105"/>
      <c r="F12" s="105"/>
      <c r="G12" s="105"/>
      <c r="H12" s="105"/>
      <c r="I12" s="105"/>
      <c r="J12" s="105"/>
      <c r="K12" s="105"/>
      <c r="L12" s="105"/>
      <c r="M12" s="105"/>
    </row>
    <row r="13" spans="1:13" x14ac:dyDescent="0.25">
      <c r="D13" s="105"/>
      <c r="E13" s="105"/>
      <c r="F13" s="105"/>
      <c r="G13" s="105"/>
      <c r="H13" s="105"/>
      <c r="I13" s="105"/>
      <c r="J13" s="105"/>
      <c r="K13" s="105"/>
      <c r="L13" s="105"/>
      <c r="M13" s="105"/>
    </row>
    <row r="14" spans="1:13" x14ac:dyDescent="0.25"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  <row r="15" spans="1:13" x14ac:dyDescent="0.25">
      <c r="D15" s="105"/>
      <c r="E15" s="105"/>
      <c r="F15" s="105"/>
      <c r="G15" s="105"/>
      <c r="H15" s="105"/>
      <c r="I15" s="105"/>
      <c r="J15" s="105"/>
      <c r="K15" s="105"/>
      <c r="L15" s="105"/>
      <c r="M15" s="105"/>
    </row>
  </sheetData>
  <autoFilter ref="A4:M10" xr:uid="{D559034C-E1A8-4788-A336-55187472940D}">
    <filterColumn colId="12" showButton="0"/>
    <sortState xmlns:xlrd2="http://schemas.microsoft.com/office/spreadsheetml/2017/richdata2" ref="A5:M10">
      <sortCondition ref="C4:C10"/>
    </sortState>
  </autoFilter>
  <mergeCells count="2">
    <mergeCell ref="G1:I1"/>
    <mergeCell ref="A2:B2"/>
  </mergeCells>
  <conditionalFormatting sqref="A5:A10">
    <cfRule type="containsText" dxfId="1208" priority="7" operator="containsText" text="En Attente d'un Retrait Tardif">
      <formula>NOT(ISERROR(SEARCH("En Attente d'un Retrait Tardif",A5)))</formula>
    </cfRule>
    <cfRule type="containsText" dxfId="1207" priority="8" operator="containsText" text="Rétiré dans les délais">
      <formula>NOT(ISERROR(SEARCH("Rétiré dans les délais",A5)))</formula>
    </cfRule>
  </conditionalFormatting>
  <conditionalFormatting sqref="B5:B10">
    <cfRule type="duplicateValues" dxfId="1206" priority="1"/>
  </conditionalFormatting>
  <conditionalFormatting sqref="B11:B1048576 B1:B3">
    <cfRule type="duplicateValues" dxfId="1205" priority="1684"/>
    <cfRule type="duplicateValues" dxfId="1204" priority="1688"/>
  </conditionalFormatting>
  <conditionalFormatting sqref="E5:M10">
    <cfRule type="containsText" dxfId="1203" priority="3" operator="containsText" text="En Attente d'un Retrait Tardif">
      <formula>NOT(ISERROR(SEARCH("En Attente d'un Retrait Tardif",E5)))</formula>
    </cfRule>
    <cfRule type="containsText" dxfId="1202" priority="4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953D-4D75-4050-8C45-D1DC45381E9E}">
  <sheetPr codeName="Feuil124">
    <tabColor theme="5" tint="-0.249977111117893"/>
  </sheetPr>
  <dimension ref="A1:M7"/>
  <sheetViews>
    <sheetView zoomScaleNormal="100" workbookViewId="0">
      <selection activeCell="D33" sqref="D33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59.85546875" customWidth="1"/>
    <col min="5" max="5" width="13.140625" customWidth="1"/>
    <col min="6" max="6" width="14.140625" customWidth="1"/>
    <col min="7" max="7" width="41.71093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1269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313</v>
      </c>
      <c r="F2" s="25"/>
      <c r="G2" s="314">
        <v>45783</v>
      </c>
      <c r="H2" s="365">
        <f ca="1">I2-G2</f>
        <v>313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15" customHeight="1" x14ac:dyDescent="0.25">
      <c r="A5" s="275">
        <v>1</v>
      </c>
      <c r="B5" s="505">
        <v>4054590930</v>
      </c>
      <c r="C5" s="275" t="s">
        <v>360</v>
      </c>
      <c r="D5" s="323" t="s">
        <v>274</v>
      </c>
      <c r="E5" s="275" t="s">
        <v>1154</v>
      </c>
      <c r="F5" s="275" t="s">
        <v>17</v>
      </c>
      <c r="G5" s="275" t="str">
        <f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722</v>
      </c>
      <c r="I5" s="493">
        <v>45805</v>
      </c>
      <c r="J5" s="390"/>
      <c r="K5" s="390"/>
      <c r="L5" s="390"/>
      <c r="M5" s="390"/>
    </row>
    <row r="6" spans="1:13" x14ac:dyDescent="0.25">
      <c r="B6"/>
    </row>
    <row r="7" spans="1:13" x14ac:dyDescent="0.25">
      <c r="B7"/>
    </row>
  </sheetData>
  <autoFilter ref="A4:M5" xr:uid="{D559034C-E1A8-4788-A336-55187472940D}">
    <filterColumn colId="12" showButton="0"/>
    <sortState xmlns:xlrd2="http://schemas.microsoft.com/office/spreadsheetml/2017/richdata2" ref="A5:M31">
      <sortCondition ref="D4:D5"/>
    </sortState>
  </autoFilter>
  <mergeCells count="2">
    <mergeCell ref="G1:I1"/>
    <mergeCell ref="A2:B2"/>
  </mergeCells>
  <conditionalFormatting sqref="A5:M5">
    <cfRule type="containsText" dxfId="1201" priority="2" operator="containsText" text="En Attente d'un Retrait Tardif">
      <formula>NOT(ISERROR(SEARCH("En Attente d'un Retrait Tardif",A5)))</formula>
    </cfRule>
    <cfRule type="containsText" dxfId="1200" priority="3" operator="containsText" text="Rétiré dans les délais">
      <formula>NOT(ISERROR(SEARCH("Rétiré dans les délais",A5)))</formula>
    </cfRule>
  </conditionalFormatting>
  <conditionalFormatting sqref="B1:B1048576">
    <cfRule type="duplicateValues" dxfId="1199" priority="1"/>
  </conditionalFormatting>
  <conditionalFormatting sqref="B8:B1048576 B1:B3">
    <cfRule type="duplicateValues" dxfId="1198" priority="4"/>
  </conditionalFormatting>
  <conditionalFormatting sqref="B8:B1048576">
    <cfRule type="duplicateValues" dxfId="1197" priority="5"/>
  </conditionalFormatting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E679-9917-4BF4-8928-1F3308DF019E}">
  <sheetPr codeName="Feuil125">
    <tabColor theme="5" tint="-0.249977111117893"/>
  </sheetPr>
  <dimension ref="A1:M34"/>
  <sheetViews>
    <sheetView zoomScaleNormal="100" workbookViewId="0">
      <selection activeCell="D13" sqref="D13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3.42578125" style="105" customWidth="1"/>
    <col min="4" max="4" width="43.710937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1.42578125" customWidth="1"/>
    <col min="13" max="13" width="27.28515625" customWidth="1"/>
  </cols>
  <sheetData>
    <row r="1" spans="1:13" ht="19.5" thickBot="1" x14ac:dyDescent="0.35">
      <c r="A1" s="348" t="s">
        <v>1270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290</v>
      </c>
      <c r="F2" s="25"/>
      <c r="G2" s="314">
        <v>45806</v>
      </c>
      <c r="H2" s="365">
        <f ca="1">I2-G2</f>
        <v>290</v>
      </c>
      <c r="I2" s="315">
        <f ca="1">TODAY()</f>
        <v>46096</v>
      </c>
      <c r="J2" s="340" t="s">
        <v>1238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46" customFormat="1" ht="15" customHeight="1" x14ac:dyDescent="0.25">
      <c r="A5" s="275">
        <v>1</v>
      </c>
      <c r="B5" s="339">
        <v>4054535200</v>
      </c>
      <c r="C5" s="275" t="s">
        <v>26</v>
      </c>
      <c r="D5" s="323" t="s">
        <v>1122</v>
      </c>
      <c r="E5" s="275" t="s">
        <v>17</v>
      </c>
      <c r="F5" s="275" t="s">
        <v>17</v>
      </c>
      <c r="G5" s="275" t="str">
        <f t="shared" ref="G5:G20" si="0">IF(I5="",IF($E$2&lt;=15,"EnattentedeRetrait","EnAttented'unRetraitTardif"),IF(I5-$G$2&lt;=15,"Rétirédanslesdélais",IF(I5-$G$2&gt;15,"Rétirétardivement-30000FCFAamende")))</f>
        <v>Rétirétardivement-30000FCFAamende</v>
      </c>
      <c r="H5" s="275" t="s">
        <v>809</v>
      </c>
      <c r="I5" s="493">
        <v>45832</v>
      </c>
      <c r="J5" s="499">
        <v>1480000</v>
      </c>
      <c r="K5" s="390"/>
      <c r="L5" s="390"/>
      <c r="M5" s="390" t="s">
        <v>1271</v>
      </c>
    </row>
    <row r="6" spans="1:13" s="346" customFormat="1" ht="15.75" x14ac:dyDescent="0.25">
      <c r="A6" s="275">
        <v>2</v>
      </c>
      <c r="B6" s="517">
        <v>4054562740</v>
      </c>
      <c r="C6" s="275" t="s">
        <v>26</v>
      </c>
      <c r="D6" s="323" t="s">
        <v>1272</v>
      </c>
      <c r="E6" s="275" t="s">
        <v>17</v>
      </c>
      <c r="F6" s="275" t="s">
        <v>17</v>
      </c>
      <c r="G6" s="275" t="str">
        <f t="shared" si="0"/>
        <v>Rétirédanslesdélais</v>
      </c>
      <c r="H6" s="275" t="s">
        <v>787</v>
      </c>
      <c r="I6" s="493">
        <v>45821</v>
      </c>
      <c r="J6" s="499">
        <v>0</v>
      </c>
      <c r="K6" s="390"/>
      <c r="L6" s="390"/>
      <c r="M6" s="390"/>
    </row>
    <row r="7" spans="1:13" ht="15.75" x14ac:dyDescent="0.25">
      <c r="A7" s="275">
        <v>3</v>
      </c>
      <c r="B7" s="275">
        <v>4054582910</v>
      </c>
      <c r="C7" s="275" t="s">
        <v>26</v>
      </c>
      <c r="D7" s="323" t="s">
        <v>733</v>
      </c>
      <c r="E7" s="275" t="s">
        <v>17</v>
      </c>
      <c r="F7" s="275" t="s">
        <v>17</v>
      </c>
      <c r="G7" s="275" t="str">
        <f t="shared" si="0"/>
        <v>Rétirédanslesdélais</v>
      </c>
      <c r="H7" s="275" t="s">
        <v>759</v>
      </c>
      <c r="I7" s="493">
        <v>45819</v>
      </c>
      <c r="J7" s="499">
        <v>0</v>
      </c>
      <c r="K7" s="390"/>
      <c r="L7" s="390"/>
      <c r="M7" s="390"/>
    </row>
    <row r="8" spans="1:13" ht="15.75" x14ac:dyDescent="0.25">
      <c r="A8" s="275">
        <v>4</v>
      </c>
      <c r="B8" s="275">
        <v>4054582921</v>
      </c>
      <c r="C8" s="275" t="s">
        <v>26</v>
      </c>
      <c r="D8" s="323" t="s">
        <v>733</v>
      </c>
      <c r="E8" s="275" t="s">
        <v>17</v>
      </c>
      <c r="F8" s="275" t="s">
        <v>17</v>
      </c>
      <c r="G8" s="275" t="str">
        <f t="shared" si="0"/>
        <v>Rétirédanslesdélais</v>
      </c>
      <c r="H8" s="275" t="s">
        <v>760</v>
      </c>
      <c r="I8" s="493">
        <v>45819</v>
      </c>
      <c r="J8" s="499">
        <v>400000</v>
      </c>
      <c r="K8" s="390"/>
      <c r="L8" s="390"/>
      <c r="M8" s="390"/>
    </row>
    <row r="9" spans="1:13" ht="15.75" x14ac:dyDescent="0.25">
      <c r="A9" s="275">
        <v>5</v>
      </c>
      <c r="B9" s="505">
        <v>4054590930</v>
      </c>
      <c r="C9" s="275" t="s">
        <v>26</v>
      </c>
      <c r="D9" s="323" t="s">
        <v>734</v>
      </c>
      <c r="E9" s="275" t="s">
        <v>1154</v>
      </c>
      <c r="F9" s="275" t="s">
        <v>17</v>
      </c>
      <c r="G9" s="275" t="str">
        <f t="shared" si="0"/>
        <v>Rétirédanslesdélais</v>
      </c>
      <c r="H9" s="275" t="s">
        <v>786</v>
      </c>
      <c r="I9" s="493">
        <v>45821</v>
      </c>
      <c r="J9" s="499">
        <v>40000</v>
      </c>
      <c r="K9" s="390"/>
      <c r="L9" s="390"/>
      <c r="M9" s="390"/>
    </row>
    <row r="10" spans="1:13" ht="15.75" x14ac:dyDescent="0.25">
      <c r="A10" s="275">
        <v>6</v>
      </c>
      <c r="B10" s="339">
        <v>4054602080</v>
      </c>
      <c r="C10" s="275" t="s">
        <v>26</v>
      </c>
      <c r="D10" s="323" t="s">
        <v>1069</v>
      </c>
      <c r="E10" s="275" t="s">
        <v>17</v>
      </c>
      <c r="F10" s="275" t="s">
        <v>17</v>
      </c>
      <c r="G10" s="275" t="str">
        <f t="shared" si="0"/>
        <v>Rétirédanslesdélais</v>
      </c>
      <c r="H10" s="275" t="s">
        <v>746</v>
      </c>
      <c r="I10" s="493">
        <v>45812</v>
      </c>
      <c r="J10" s="499">
        <v>0</v>
      </c>
      <c r="K10" s="390"/>
      <c r="L10" s="390"/>
      <c r="M10" s="390"/>
    </row>
    <row r="11" spans="1:13" ht="15.75" x14ac:dyDescent="0.25">
      <c r="A11" s="275">
        <v>7</v>
      </c>
      <c r="B11" s="517">
        <v>4054603760</v>
      </c>
      <c r="C11" s="275" t="s">
        <v>26</v>
      </c>
      <c r="D11" s="323" t="s">
        <v>1272</v>
      </c>
      <c r="E11" s="275" t="s">
        <v>17</v>
      </c>
      <c r="F11" s="275" t="s">
        <v>17</v>
      </c>
      <c r="G11" s="275" t="str">
        <f t="shared" si="0"/>
        <v>Rétirédanslesdélais</v>
      </c>
      <c r="H11" s="275" t="s">
        <v>788</v>
      </c>
      <c r="I11" s="493">
        <v>45821</v>
      </c>
      <c r="J11" s="499">
        <v>0</v>
      </c>
      <c r="K11" s="390"/>
      <c r="L11" s="390"/>
      <c r="M11" s="390"/>
    </row>
    <row r="12" spans="1:13" ht="15.75" x14ac:dyDescent="0.25">
      <c r="A12" s="275">
        <v>8</v>
      </c>
      <c r="B12" s="517">
        <v>4054603769</v>
      </c>
      <c r="C12" s="275" t="s">
        <v>26</v>
      </c>
      <c r="D12" s="323" t="s">
        <v>1272</v>
      </c>
      <c r="E12" s="275" t="s">
        <v>17</v>
      </c>
      <c r="F12" s="275" t="s">
        <v>17</v>
      </c>
      <c r="G12" s="275" t="str">
        <f t="shared" si="0"/>
        <v>Rétirédanslesdélais</v>
      </c>
      <c r="H12" s="275" t="s">
        <v>789</v>
      </c>
      <c r="I12" s="493">
        <v>45821</v>
      </c>
      <c r="J12" s="499">
        <v>0</v>
      </c>
      <c r="K12" s="390"/>
      <c r="L12" s="390"/>
      <c r="M12" s="390"/>
    </row>
    <row r="13" spans="1:13" ht="15.75" x14ac:dyDescent="0.25">
      <c r="A13" s="275">
        <v>9</v>
      </c>
      <c r="B13" s="339">
        <v>4054610180</v>
      </c>
      <c r="C13" s="275" t="s">
        <v>26</v>
      </c>
      <c r="D13" s="323" t="s">
        <v>1138</v>
      </c>
      <c r="E13" s="275" t="s">
        <v>17</v>
      </c>
      <c r="F13" s="275" t="s">
        <v>17</v>
      </c>
      <c r="G13" s="275" t="str">
        <f t="shared" si="0"/>
        <v>Rétirédanslesdélais</v>
      </c>
      <c r="H13" s="275" t="s">
        <v>740</v>
      </c>
      <c r="I13" s="493">
        <v>45811</v>
      </c>
      <c r="J13" s="499">
        <v>0</v>
      </c>
      <c r="K13" s="390"/>
      <c r="L13" s="390"/>
      <c r="M13" s="390"/>
    </row>
    <row r="14" spans="1:13" ht="15.75" x14ac:dyDescent="0.25">
      <c r="A14" s="275">
        <v>10</v>
      </c>
      <c r="B14" s="362">
        <v>4054610500</v>
      </c>
      <c r="C14" s="275" t="s">
        <v>735</v>
      </c>
      <c r="D14" s="323" t="s">
        <v>1076</v>
      </c>
      <c r="E14" s="275" t="s">
        <v>17</v>
      </c>
      <c r="F14" s="275" t="s">
        <v>17</v>
      </c>
      <c r="G14" s="275" t="str">
        <f t="shared" si="0"/>
        <v>Rétirétardivement-30000FCFAamende</v>
      </c>
      <c r="H14" s="275" t="s">
        <v>805</v>
      </c>
      <c r="I14" s="493">
        <v>45831</v>
      </c>
      <c r="J14" s="499" t="s">
        <v>802</v>
      </c>
      <c r="K14" s="390"/>
      <c r="L14" s="390"/>
      <c r="M14" s="390"/>
    </row>
    <row r="15" spans="1:13" ht="15.75" x14ac:dyDescent="0.25">
      <c r="A15" s="275">
        <v>11</v>
      </c>
      <c r="B15" s="362">
        <v>4054612910</v>
      </c>
      <c r="C15" s="275" t="s">
        <v>26</v>
      </c>
      <c r="D15" s="323" t="s">
        <v>1144</v>
      </c>
      <c r="E15" s="275" t="s">
        <v>17</v>
      </c>
      <c r="F15" s="275" t="s">
        <v>17</v>
      </c>
      <c r="G15" s="275" t="str">
        <f t="shared" si="0"/>
        <v>Rétirédanslesdélais</v>
      </c>
      <c r="H15" s="275" t="s">
        <v>758</v>
      </c>
      <c r="I15" s="493">
        <v>45819</v>
      </c>
      <c r="J15" s="499">
        <v>0</v>
      </c>
      <c r="K15" s="390"/>
      <c r="L15" s="390"/>
      <c r="M15" s="390"/>
    </row>
    <row r="16" spans="1:13" ht="15.75" x14ac:dyDescent="0.25">
      <c r="A16" s="275">
        <v>12</v>
      </c>
      <c r="B16" s="362">
        <v>4054613030</v>
      </c>
      <c r="C16" s="275" t="s">
        <v>26</v>
      </c>
      <c r="D16" s="323" t="s">
        <v>1144</v>
      </c>
      <c r="E16" s="275" t="s">
        <v>17</v>
      </c>
      <c r="F16" s="275" t="s">
        <v>17</v>
      </c>
      <c r="G16" s="275" t="str">
        <f t="shared" si="0"/>
        <v>Rétirédanslesdélais</v>
      </c>
      <c r="H16" s="275" t="s">
        <v>751</v>
      </c>
      <c r="I16" s="493">
        <v>45818</v>
      </c>
      <c r="J16" s="499">
        <v>0</v>
      </c>
      <c r="K16" s="390"/>
      <c r="L16" s="390"/>
      <c r="M16" s="390"/>
    </row>
    <row r="17" spans="1:13" ht="15.75" x14ac:dyDescent="0.25">
      <c r="A17" s="275">
        <v>13</v>
      </c>
      <c r="B17" s="362">
        <v>4054613040</v>
      </c>
      <c r="C17" s="275" t="s">
        <v>26</v>
      </c>
      <c r="D17" s="323" t="s">
        <v>1144</v>
      </c>
      <c r="E17" s="275" t="s">
        <v>17</v>
      </c>
      <c r="F17" s="275" t="s">
        <v>17</v>
      </c>
      <c r="G17" s="275" t="str">
        <f t="shared" si="0"/>
        <v>Rétirédanslesdélais</v>
      </c>
      <c r="H17" s="275" t="s">
        <v>753</v>
      </c>
      <c r="I17" s="493">
        <v>45818</v>
      </c>
      <c r="J17" s="499">
        <v>0</v>
      </c>
      <c r="K17" s="390"/>
      <c r="L17" s="390"/>
      <c r="M17" s="390"/>
    </row>
    <row r="18" spans="1:13" ht="15.75" x14ac:dyDescent="0.25">
      <c r="A18" s="275">
        <v>14</v>
      </c>
      <c r="B18" s="362">
        <v>4054615440</v>
      </c>
      <c r="C18" s="275" t="s">
        <v>26</v>
      </c>
      <c r="D18" s="323" t="s">
        <v>1144</v>
      </c>
      <c r="E18" s="275" t="s">
        <v>17</v>
      </c>
      <c r="F18" s="275" t="s">
        <v>17</v>
      </c>
      <c r="G18" s="275" t="str">
        <f t="shared" si="0"/>
        <v>Rétirédanslesdélais</v>
      </c>
      <c r="H18" s="275" t="s">
        <v>752</v>
      </c>
      <c r="I18" s="493">
        <v>45818</v>
      </c>
      <c r="J18" s="499">
        <v>0</v>
      </c>
      <c r="K18" s="390"/>
      <c r="L18" s="390"/>
      <c r="M18" s="390"/>
    </row>
    <row r="19" spans="1:13" ht="15.75" x14ac:dyDescent="0.25">
      <c r="A19" s="275">
        <v>15</v>
      </c>
      <c r="B19" s="339">
        <v>4054621230</v>
      </c>
      <c r="C19" s="275" t="s">
        <v>26</v>
      </c>
      <c r="D19" s="323" t="s">
        <v>1122</v>
      </c>
      <c r="E19" s="275" t="s">
        <v>17</v>
      </c>
      <c r="F19" s="275" t="s">
        <v>17</v>
      </c>
      <c r="G19" s="275" t="str">
        <f t="shared" si="0"/>
        <v>Rétirédanslesdélais</v>
      </c>
      <c r="H19" s="275" t="s">
        <v>745</v>
      </c>
      <c r="I19" s="493">
        <v>45812</v>
      </c>
      <c r="J19" s="499">
        <v>0</v>
      </c>
      <c r="K19" s="390"/>
      <c r="L19" s="390"/>
      <c r="M19" s="390"/>
    </row>
    <row r="20" spans="1:13" ht="15.75" x14ac:dyDescent="0.25">
      <c r="A20" s="275">
        <v>16</v>
      </c>
      <c r="B20" s="362">
        <v>4054622520</v>
      </c>
      <c r="C20" s="275" t="s">
        <v>26</v>
      </c>
      <c r="D20" s="323" t="s">
        <v>1144</v>
      </c>
      <c r="E20" s="275" t="s">
        <v>17</v>
      </c>
      <c r="F20" s="275" t="s">
        <v>17</v>
      </c>
      <c r="G20" s="275" t="str">
        <f t="shared" si="0"/>
        <v>Rétirédanslesdélais</v>
      </c>
      <c r="H20" s="275" t="s">
        <v>754</v>
      </c>
      <c r="I20" s="493">
        <v>45818</v>
      </c>
      <c r="J20" s="499">
        <v>0</v>
      </c>
      <c r="K20" s="390"/>
      <c r="L20" s="390"/>
      <c r="M20" s="390"/>
    </row>
    <row r="21" spans="1:13" x14ac:dyDescent="0.25">
      <c r="B21"/>
    </row>
    <row r="22" spans="1:13" x14ac:dyDescent="0.25">
      <c r="B22"/>
    </row>
    <row r="25" spans="1:13" x14ac:dyDescent="0.25">
      <c r="B25"/>
    </row>
    <row r="26" spans="1:13" x14ac:dyDescent="0.25">
      <c r="B26"/>
    </row>
    <row r="27" spans="1:13" x14ac:dyDescent="0.25">
      <c r="B27"/>
    </row>
    <row r="28" spans="1:13" x14ac:dyDescent="0.25">
      <c r="B28"/>
    </row>
    <row r="29" spans="1:13" x14ac:dyDescent="0.25">
      <c r="B29"/>
    </row>
    <row r="30" spans="1:13" x14ac:dyDescent="0.25">
      <c r="B30"/>
    </row>
    <row r="31" spans="1:13" x14ac:dyDescent="0.25">
      <c r="B31"/>
    </row>
    <row r="32" spans="1:13" x14ac:dyDescent="0.25">
      <c r="B32"/>
    </row>
    <row r="33" spans="2:2" x14ac:dyDescent="0.25">
      <c r="B33"/>
    </row>
    <row r="34" spans="2:2" x14ac:dyDescent="0.25">
      <c r="B34"/>
    </row>
  </sheetData>
  <autoFilter ref="A4:M20" xr:uid="{D559034C-E1A8-4788-A336-55187472940D}">
    <filterColumn colId="12" showButton="0"/>
    <sortState xmlns:xlrd2="http://schemas.microsoft.com/office/spreadsheetml/2017/richdata2" ref="A5:M20">
      <sortCondition ref="B4:B20"/>
    </sortState>
  </autoFilter>
  <mergeCells count="2">
    <mergeCell ref="G1:I1"/>
    <mergeCell ref="A2:B2"/>
  </mergeCells>
  <conditionalFormatting sqref="A5:M5 A6:B6 B7 B8:M15 B16:E19 C6:M7 A7:A20">
    <cfRule type="containsText" dxfId="1196" priority="22" operator="containsText" text="En Attente d'un Retrait Tardif">
      <formula>NOT(ISERROR(SEARCH("En Attente d'un Retrait Tardif",A5)))</formula>
    </cfRule>
  </conditionalFormatting>
  <conditionalFormatting sqref="A5:M5 A6:B6 C6:M7 B7 A7:A20 B8:M15 B16:E19">
    <cfRule type="containsText" dxfId="1195" priority="23" operator="containsText" text="Rétiré dans les délais">
      <formula>NOT(ISERROR(SEARCH("Rétiré dans les délais",A5)))</formula>
    </cfRule>
  </conditionalFormatting>
  <conditionalFormatting sqref="B1:B3 B23:B24 B35:B1048576">
    <cfRule type="duplicateValues" dxfId="1194" priority="1606"/>
  </conditionalFormatting>
  <conditionalFormatting sqref="B1:B24 B35:B1048576">
    <cfRule type="duplicateValues" dxfId="1193" priority="1"/>
    <cfRule type="duplicateValues" dxfId="1192" priority="11"/>
  </conditionalFormatting>
  <conditionalFormatting sqref="B23:B24 B35:B1048576">
    <cfRule type="duplicateValues" dxfId="1191" priority="1610"/>
  </conditionalFormatting>
  <conditionalFormatting sqref="B20:E20 F16:M20">
    <cfRule type="containsText" dxfId="1190" priority="9" operator="containsText" text="En Attente d'un Retrait Tardif">
      <formula>NOT(ISERROR(SEARCH("En Attente d'un Retrait Tardif",B16)))</formula>
    </cfRule>
  </conditionalFormatting>
  <conditionalFormatting sqref="F16:M20 B20:E20">
    <cfRule type="containsText" dxfId="1189" priority="10" operator="containsText" text="Rétiré dans les délais">
      <formula>NOT(ISERROR(SEARCH("Rétiré dans les délais",B16)))</formula>
    </cfRule>
  </conditionalFormatting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02D3-64AC-40BD-AD1F-D57DE761A027}">
  <sheetPr codeName="Feuil126">
    <tabColor theme="5" tint="-0.249977111117893"/>
  </sheetPr>
  <dimension ref="A1:M13"/>
  <sheetViews>
    <sheetView zoomScaleNormal="100" workbookViewId="0">
      <selection activeCell="I19" sqref="I19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18.5703125" customWidth="1"/>
    <col min="7" max="7" width="36.2851562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1273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312</v>
      </c>
      <c r="F2" s="25"/>
      <c r="G2" s="314">
        <v>45784</v>
      </c>
      <c r="H2" s="365">
        <f ca="1">I2-G2</f>
        <v>312</v>
      </c>
      <c r="I2" s="315">
        <f ca="1">TODAY()</f>
        <v>46096</v>
      </c>
      <c r="J2" s="340" t="s">
        <v>1274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94" customFormat="1" ht="15.75" x14ac:dyDescent="0.25">
      <c r="A5" s="390">
        <v>1</v>
      </c>
      <c r="B5" s="390">
        <v>4054522700</v>
      </c>
      <c r="C5" s="402" t="s">
        <v>26</v>
      </c>
      <c r="D5" s="420" t="s">
        <v>1105</v>
      </c>
      <c r="E5" s="390" t="s">
        <v>17</v>
      </c>
      <c r="F5" s="390" t="s">
        <v>1207</v>
      </c>
      <c r="G5" s="418" t="str">
        <f t="shared" ref="G5:G13" si="0"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738</v>
      </c>
      <c r="I5" s="493">
        <v>45805</v>
      </c>
      <c r="J5" s="499" t="s">
        <v>1275</v>
      </c>
      <c r="K5" s="390"/>
      <c r="L5" s="390"/>
      <c r="M5" s="390"/>
    </row>
    <row r="6" spans="1:13" s="394" customFormat="1" ht="15.75" x14ac:dyDescent="0.25">
      <c r="A6" s="390">
        <v>2</v>
      </c>
      <c r="B6" s="390">
        <v>4054533021</v>
      </c>
      <c r="C6" s="402" t="s">
        <v>24</v>
      </c>
      <c r="D6" s="420" t="s">
        <v>1276</v>
      </c>
      <c r="E6" s="390" t="s">
        <v>17</v>
      </c>
      <c r="F6" s="390" t="s">
        <v>1207</v>
      </c>
      <c r="G6" s="390" t="str">
        <f t="shared" si="0"/>
        <v>Rétirédanslesdélais</v>
      </c>
      <c r="H6" s="390" t="s">
        <v>714</v>
      </c>
      <c r="I6" s="493">
        <v>45789</v>
      </c>
      <c r="J6" s="499">
        <v>40000</v>
      </c>
      <c r="K6" s="390"/>
      <c r="L6" s="390"/>
      <c r="M6" s="390"/>
    </row>
    <row r="7" spans="1:13" s="346" customFormat="1" ht="15" customHeight="1" x14ac:dyDescent="0.25">
      <c r="A7" s="390">
        <v>3</v>
      </c>
      <c r="B7" s="390">
        <v>4054590970</v>
      </c>
      <c r="C7" s="402" t="s">
        <v>26</v>
      </c>
      <c r="D7" s="420" t="s">
        <v>1277</v>
      </c>
      <c r="E7" s="390" t="s">
        <v>17</v>
      </c>
      <c r="F7" s="390" t="s">
        <v>1097</v>
      </c>
      <c r="G7" s="418" t="str">
        <f t="shared" si="0"/>
        <v>Rétirédanslesdélais</v>
      </c>
      <c r="H7" s="390" t="s">
        <v>756</v>
      </c>
      <c r="I7" s="493">
        <v>45791</v>
      </c>
      <c r="J7" s="499">
        <v>0</v>
      </c>
      <c r="K7" s="390"/>
      <c r="L7" s="390"/>
      <c r="M7" s="390"/>
    </row>
    <row r="8" spans="1:13" s="346" customFormat="1" ht="15.75" x14ac:dyDescent="0.25">
      <c r="A8" s="390">
        <v>9</v>
      </c>
      <c r="B8" s="390">
        <v>4054590979</v>
      </c>
      <c r="C8" s="402" t="s">
        <v>26</v>
      </c>
      <c r="D8" s="420" t="s">
        <v>1277</v>
      </c>
      <c r="E8" s="390" t="s">
        <v>17</v>
      </c>
      <c r="F8" s="390" t="s">
        <v>1097</v>
      </c>
      <c r="G8" s="390" t="str">
        <f t="shared" si="0"/>
        <v>Rétirédanslesdélais</v>
      </c>
      <c r="H8" s="390" t="s">
        <v>717</v>
      </c>
      <c r="I8" s="493">
        <v>45791</v>
      </c>
      <c r="J8" s="499">
        <v>0</v>
      </c>
      <c r="K8" s="390"/>
      <c r="L8" s="390"/>
      <c r="M8" s="390"/>
    </row>
    <row r="9" spans="1:13" ht="15.75" x14ac:dyDescent="0.25">
      <c r="A9" s="390">
        <v>4</v>
      </c>
      <c r="B9" s="390">
        <v>4054594791</v>
      </c>
      <c r="C9" s="402" t="s">
        <v>26</v>
      </c>
      <c r="D9" s="498" t="s">
        <v>1172</v>
      </c>
      <c r="E9" s="390" t="s">
        <v>17</v>
      </c>
      <c r="F9" s="390" t="s">
        <v>1207</v>
      </c>
      <c r="G9" s="390" t="str">
        <f t="shared" si="0"/>
        <v>Rétirédanslesdélais</v>
      </c>
      <c r="H9" s="390" t="s">
        <v>728</v>
      </c>
      <c r="I9" s="493">
        <v>45792</v>
      </c>
      <c r="J9" s="499">
        <v>0</v>
      </c>
      <c r="K9" s="390"/>
      <c r="L9" s="390"/>
      <c r="M9" s="390"/>
    </row>
    <row r="10" spans="1:13" ht="15.75" x14ac:dyDescent="0.25">
      <c r="A10" s="390">
        <v>5</v>
      </c>
      <c r="B10" s="390">
        <v>4054594801</v>
      </c>
      <c r="C10" s="402" t="s">
        <v>26</v>
      </c>
      <c r="D10" s="498" t="s">
        <v>1172</v>
      </c>
      <c r="E10" s="390" t="s">
        <v>17</v>
      </c>
      <c r="F10" s="390" t="s">
        <v>1207</v>
      </c>
      <c r="G10" s="390" t="str">
        <f t="shared" si="0"/>
        <v>Rétirédanslesdélais</v>
      </c>
      <c r="H10" s="390" t="s">
        <v>727</v>
      </c>
      <c r="I10" s="493">
        <v>45792</v>
      </c>
      <c r="J10" s="499">
        <v>0</v>
      </c>
      <c r="K10" s="390"/>
      <c r="L10" s="390"/>
      <c r="M10" s="390"/>
    </row>
    <row r="11" spans="1:13" ht="15.75" x14ac:dyDescent="0.25">
      <c r="A11" s="390">
        <v>6</v>
      </c>
      <c r="B11" s="390">
        <v>4054601792</v>
      </c>
      <c r="C11" s="402" t="s">
        <v>26</v>
      </c>
      <c r="D11" s="488" t="s">
        <v>1278</v>
      </c>
      <c r="E11" s="390" t="s">
        <v>17</v>
      </c>
      <c r="F11" s="390" t="s">
        <v>1097</v>
      </c>
      <c r="G11" s="390" t="str">
        <f t="shared" si="0"/>
        <v>Rétirédanslesdélais</v>
      </c>
      <c r="H11" s="390" t="s">
        <v>718</v>
      </c>
      <c r="I11" s="493">
        <v>45791</v>
      </c>
      <c r="J11" s="499">
        <v>0</v>
      </c>
      <c r="K11" s="390"/>
      <c r="L11" s="390"/>
      <c r="M11" s="390"/>
    </row>
    <row r="12" spans="1:13" ht="15.75" x14ac:dyDescent="0.25">
      <c r="A12" s="390">
        <v>7</v>
      </c>
      <c r="B12" s="390">
        <v>4054602020</v>
      </c>
      <c r="C12" s="373" t="s">
        <v>645</v>
      </c>
      <c r="D12" s="420" t="s">
        <v>1279</v>
      </c>
      <c r="E12" s="390" t="s">
        <v>17</v>
      </c>
      <c r="F12" s="390" t="s">
        <v>1207</v>
      </c>
      <c r="G12" s="418" t="str">
        <f t="shared" si="0"/>
        <v>Rétirétardivement-30000FCFAamende</v>
      </c>
      <c r="H12" s="390" t="s">
        <v>876</v>
      </c>
      <c r="I12" s="493">
        <v>45812</v>
      </c>
      <c r="J12" s="499">
        <v>0</v>
      </c>
      <c r="K12" s="390"/>
      <c r="L12" s="390"/>
      <c r="M12" s="390"/>
    </row>
    <row r="13" spans="1:13" ht="15.75" x14ac:dyDescent="0.25">
      <c r="A13" s="390">
        <v>8</v>
      </c>
      <c r="B13" s="390">
        <v>4054606080</v>
      </c>
      <c r="C13" s="402" t="s">
        <v>26</v>
      </c>
      <c r="D13" s="420" t="s">
        <v>1248</v>
      </c>
      <c r="E13" s="390" t="s">
        <v>17</v>
      </c>
      <c r="F13" s="390" t="s">
        <v>1097</v>
      </c>
      <c r="G13" s="390" t="str">
        <f t="shared" si="0"/>
        <v>Rétirétardivement-30000FCFAamende</v>
      </c>
      <c r="H13" s="390" t="s">
        <v>755</v>
      </c>
      <c r="I13" s="493">
        <v>45818</v>
      </c>
      <c r="J13" s="499">
        <v>0</v>
      </c>
      <c r="K13" s="390"/>
      <c r="L13" s="390"/>
      <c r="M13" s="390"/>
    </row>
  </sheetData>
  <autoFilter ref="A4:M13" xr:uid="{D559034C-E1A8-4788-A336-55187472940D}">
    <filterColumn colId="12" showButton="0"/>
    <sortState xmlns:xlrd2="http://schemas.microsoft.com/office/spreadsheetml/2017/richdata2" ref="A5:M13">
      <sortCondition ref="B4:B13"/>
    </sortState>
  </autoFilter>
  <mergeCells count="2">
    <mergeCell ref="G1:I1"/>
    <mergeCell ref="A2:B2"/>
  </mergeCells>
  <conditionalFormatting sqref="A5:B13">
    <cfRule type="containsText" dxfId="1188" priority="10" operator="containsText" text="En Attente d'un Retrait Tardif">
      <formula>NOT(ISERROR(SEARCH("En Attente d'un Retrait Tardif",A5)))</formula>
    </cfRule>
    <cfRule type="containsText" dxfId="1187" priority="11" operator="containsText" text="Rétiré dans les délais">
      <formula>NOT(ISERROR(SEARCH("Rétiré dans les délais",A5)))</formula>
    </cfRule>
  </conditionalFormatting>
  <conditionalFormatting sqref="B1:B3 B14:B1048576">
    <cfRule type="duplicateValues" dxfId="1186" priority="1585"/>
  </conditionalFormatting>
  <conditionalFormatting sqref="B14:B1048576 B1:B3">
    <cfRule type="duplicateValues" dxfId="1185" priority="1588"/>
  </conditionalFormatting>
  <conditionalFormatting sqref="D5:M13">
    <cfRule type="containsText" dxfId="1184" priority="2" operator="containsText" text="En Attente d'un Retrait Tardif">
      <formula>NOT(ISERROR(SEARCH("En Attente d'un Retrait Tardif",D5)))</formula>
    </cfRule>
    <cfRule type="containsText" dxfId="1183" priority="3" operator="containsText" text="Rétiré dans les délais">
      <formula>NOT(ISERROR(SEARCH("Rétiré dans les délais",D5)))</formula>
    </cfRule>
  </conditionalFormatting>
  <conditionalFormatting sqref="H1:H1048576">
    <cfRule type="duplicateValues" dxfId="1182" priority="1"/>
  </conditionalFormatting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9686-C571-452D-B84B-C20D345B384A}">
  <sheetPr codeName="Feuil127">
    <tabColor theme="5" tint="-0.249977111117893"/>
  </sheetPr>
  <dimension ref="A1:M22"/>
  <sheetViews>
    <sheetView zoomScaleNormal="100" workbookViewId="0"/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3.57031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1280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318</v>
      </c>
      <c r="F2" s="25"/>
      <c r="G2" s="314">
        <v>45778</v>
      </c>
      <c r="H2" s="365">
        <f ca="1">I2-G2</f>
        <v>318</v>
      </c>
      <c r="I2" s="315">
        <f ca="1">TODAY()</f>
        <v>46096</v>
      </c>
      <c r="J2" s="340" t="s">
        <v>1266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94" customFormat="1" ht="18" x14ac:dyDescent="0.25">
      <c r="A5" s="390">
        <v>3</v>
      </c>
      <c r="B5" s="489">
        <v>4054462380</v>
      </c>
      <c r="C5" s="390" t="s">
        <v>26</v>
      </c>
      <c r="D5" s="420" t="s">
        <v>1281</v>
      </c>
      <c r="E5" s="390" t="s">
        <v>1143</v>
      </c>
      <c r="F5" s="390" t="s">
        <v>1282</v>
      </c>
      <c r="G5" s="390" t="str">
        <f t="shared" ref="G5:G22" si="0">IF(I5="",IF($E$2&lt;=15,"EnattentedeRetrait","EnAttented'unRetraitTardif"),IF(I5-$G$2&lt;=15,"Rétirédanslesdélais",IF(I5-$G$2&gt;15,"Rétirétardivement-30000FCFAamende")))</f>
        <v>Rétirétardivement-30000FCFAamende</v>
      </c>
      <c r="H5" s="390" t="s">
        <v>736</v>
      </c>
      <c r="I5" s="493">
        <v>45805</v>
      </c>
      <c r="J5" s="495">
        <v>3040000</v>
      </c>
      <c r="K5" s="390"/>
      <c r="L5" s="390"/>
      <c r="M5" s="390"/>
    </row>
    <row r="6" spans="1:13" s="394" customFormat="1" ht="18" x14ac:dyDescent="0.25">
      <c r="A6" s="390">
        <v>4</v>
      </c>
      <c r="B6" s="494">
        <v>4054522690</v>
      </c>
      <c r="C6" s="390" t="s">
        <v>26</v>
      </c>
      <c r="D6" s="420" t="s">
        <v>1105</v>
      </c>
      <c r="E6" s="390" t="s">
        <v>17</v>
      </c>
      <c r="F6" s="390" t="s">
        <v>1070</v>
      </c>
      <c r="G6" s="390" t="str">
        <f t="shared" si="0"/>
        <v>Rétirédanslesdélais</v>
      </c>
      <c r="H6" s="390" t="s">
        <v>701</v>
      </c>
      <c r="I6" s="493">
        <v>45784</v>
      </c>
      <c r="J6" s="495">
        <v>440000</v>
      </c>
      <c r="K6" s="390"/>
      <c r="L6" s="390"/>
      <c r="M6" s="390"/>
    </row>
    <row r="7" spans="1:13" s="346" customFormat="1" ht="15" customHeight="1" x14ac:dyDescent="0.25">
      <c r="A7" s="390">
        <v>1</v>
      </c>
      <c r="B7" s="489">
        <v>4054533020</v>
      </c>
      <c r="C7" s="390" t="s">
        <v>24</v>
      </c>
      <c r="D7" s="488" t="s">
        <v>1220</v>
      </c>
      <c r="E7" s="390" t="s">
        <v>17</v>
      </c>
      <c r="F7" s="390" t="s">
        <v>1097</v>
      </c>
      <c r="G7" s="390" t="str">
        <f t="shared" si="0"/>
        <v>Rétirédanslesdélais</v>
      </c>
      <c r="H7" s="390" t="s">
        <v>737</v>
      </c>
      <c r="I7" s="493">
        <v>45789</v>
      </c>
      <c r="J7" s="495">
        <v>40000</v>
      </c>
      <c r="K7" s="390"/>
      <c r="L7" s="390"/>
      <c r="M7" s="390"/>
    </row>
    <row r="8" spans="1:13" s="346" customFormat="1" ht="18" x14ac:dyDescent="0.25">
      <c r="A8" s="390">
        <v>5</v>
      </c>
      <c r="B8" s="494">
        <v>4054535170</v>
      </c>
      <c r="C8" s="390" t="s">
        <v>26</v>
      </c>
      <c r="D8" s="420" t="s">
        <v>1105</v>
      </c>
      <c r="E8" s="390" t="s">
        <v>17</v>
      </c>
      <c r="F8" s="390" t="s">
        <v>1070</v>
      </c>
      <c r="G8" s="390" t="str">
        <f t="shared" si="0"/>
        <v>Rétirédanslesdélais</v>
      </c>
      <c r="H8" s="390" t="s">
        <v>700</v>
      </c>
      <c r="I8" s="493">
        <v>45784</v>
      </c>
      <c r="J8" s="495">
        <v>320000</v>
      </c>
      <c r="K8" s="390"/>
      <c r="L8" s="390"/>
      <c r="M8" s="390"/>
    </row>
    <row r="9" spans="1:13" ht="18" x14ac:dyDescent="0.25">
      <c r="A9" s="390">
        <v>6</v>
      </c>
      <c r="B9" s="494">
        <v>4054563991</v>
      </c>
      <c r="C9" s="390" t="s">
        <v>26</v>
      </c>
      <c r="D9" s="420" t="s">
        <v>1075</v>
      </c>
      <c r="E9" s="390" t="s">
        <v>17</v>
      </c>
      <c r="F9" s="390" t="s">
        <v>1097</v>
      </c>
      <c r="G9" s="390" t="str">
        <f t="shared" si="0"/>
        <v>Rétirédanslesdélais</v>
      </c>
      <c r="H9" s="390" t="s">
        <v>702</v>
      </c>
      <c r="I9" s="493">
        <v>45784</v>
      </c>
      <c r="J9" s="495">
        <v>0</v>
      </c>
      <c r="K9" s="390"/>
      <c r="L9" s="390"/>
      <c r="M9" s="390"/>
    </row>
    <row r="10" spans="1:13" ht="18" x14ac:dyDescent="0.25">
      <c r="A10" s="390">
        <v>7</v>
      </c>
      <c r="B10" s="489">
        <v>4054565260</v>
      </c>
      <c r="C10" s="497" t="s">
        <v>26</v>
      </c>
      <c r="D10" s="488" t="s">
        <v>1278</v>
      </c>
      <c r="E10" s="390" t="s">
        <v>17</v>
      </c>
      <c r="F10" s="390" t="s">
        <v>1097</v>
      </c>
      <c r="G10" s="390" t="str">
        <f t="shared" si="0"/>
        <v>Rétirédanslesdélais</v>
      </c>
      <c r="H10" s="390" t="s">
        <v>719</v>
      </c>
      <c r="I10" s="493">
        <v>45791</v>
      </c>
      <c r="J10" s="495">
        <v>0</v>
      </c>
      <c r="K10" s="390"/>
      <c r="L10" s="390"/>
      <c r="M10" s="390"/>
    </row>
    <row r="11" spans="1:13" ht="18" x14ac:dyDescent="0.25">
      <c r="A11" s="390">
        <v>8</v>
      </c>
      <c r="B11" s="489">
        <v>4054565280</v>
      </c>
      <c r="C11" s="390" t="s">
        <v>26</v>
      </c>
      <c r="D11" s="488" t="s">
        <v>1278</v>
      </c>
      <c r="E11" s="390" t="s">
        <v>17</v>
      </c>
      <c r="F11" s="390" t="s">
        <v>1097</v>
      </c>
      <c r="G11" s="390" t="str">
        <f t="shared" si="0"/>
        <v>Rétirédanslesdélais</v>
      </c>
      <c r="H11" s="390" t="s">
        <v>721</v>
      </c>
      <c r="I11" s="493">
        <v>45791</v>
      </c>
      <c r="J11" s="495">
        <v>0</v>
      </c>
      <c r="K11" s="390"/>
      <c r="L11" s="390"/>
      <c r="M11" s="390"/>
    </row>
    <row r="12" spans="1:13" ht="18" x14ac:dyDescent="0.25">
      <c r="A12" s="390">
        <v>9</v>
      </c>
      <c r="B12" s="489">
        <v>4054565500</v>
      </c>
      <c r="C12" s="390" t="s">
        <v>26</v>
      </c>
      <c r="D12" s="420" t="s">
        <v>1283</v>
      </c>
      <c r="E12" s="390" t="s">
        <v>17</v>
      </c>
      <c r="F12" s="390" t="s">
        <v>1097</v>
      </c>
      <c r="G12" s="390" t="str">
        <f t="shared" si="0"/>
        <v>Rétirédanslesdélais</v>
      </c>
      <c r="H12" s="390" t="s">
        <v>706</v>
      </c>
      <c r="I12" s="493">
        <v>45785</v>
      </c>
      <c r="J12" s="495">
        <v>0</v>
      </c>
      <c r="K12" s="390"/>
      <c r="L12" s="390"/>
      <c r="M12" s="390"/>
    </row>
    <row r="13" spans="1:13" ht="18" x14ac:dyDescent="0.25">
      <c r="A13" s="390">
        <v>2</v>
      </c>
      <c r="B13" s="489">
        <v>4054580950</v>
      </c>
      <c r="C13" s="390" t="s">
        <v>24</v>
      </c>
      <c r="D13" s="498" t="s">
        <v>1284</v>
      </c>
      <c r="E13" s="487" t="s">
        <v>259</v>
      </c>
      <c r="F13" s="390" t="s">
        <v>1285</v>
      </c>
      <c r="G13" s="390" t="str">
        <f t="shared" si="0"/>
        <v>Rétirédanslesdélais</v>
      </c>
      <c r="H13" s="390" t="s">
        <v>716</v>
      </c>
      <c r="I13" s="493">
        <v>45790</v>
      </c>
      <c r="J13" s="495">
        <v>0</v>
      </c>
      <c r="K13" s="390"/>
      <c r="L13" s="390"/>
      <c r="M13" s="390"/>
    </row>
    <row r="14" spans="1:13" ht="18" x14ac:dyDescent="0.25">
      <c r="A14" s="390">
        <v>10</v>
      </c>
      <c r="B14" s="489">
        <v>4054582900</v>
      </c>
      <c r="C14" s="390" t="s">
        <v>26</v>
      </c>
      <c r="D14" s="420" t="s">
        <v>1286</v>
      </c>
      <c r="E14" s="390" t="s">
        <v>17</v>
      </c>
      <c r="F14" s="390" t="s">
        <v>1097</v>
      </c>
      <c r="G14" s="390" t="str">
        <f t="shared" si="0"/>
        <v>Rétirédanslesdélais</v>
      </c>
      <c r="H14" s="390" t="s">
        <v>731</v>
      </c>
      <c r="I14" s="493">
        <v>45793</v>
      </c>
      <c r="J14" s="495">
        <v>0</v>
      </c>
      <c r="K14" s="390"/>
      <c r="L14" s="390"/>
      <c r="M14" s="390"/>
    </row>
    <row r="15" spans="1:13" ht="18" x14ac:dyDescent="0.25">
      <c r="A15" s="390">
        <v>11</v>
      </c>
      <c r="B15" s="489">
        <v>4054582920</v>
      </c>
      <c r="C15" s="390" t="s">
        <v>26</v>
      </c>
      <c r="D15" s="420" t="s">
        <v>1286</v>
      </c>
      <c r="E15" s="390" t="s">
        <v>17</v>
      </c>
      <c r="F15" s="390" t="s">
        <v>1097</v>
      </c>
      <c r="G15" s="390" t="str">
        <f t="shared" si="0"/>
        <v>Rétirédanslesdélais</v>
      </c>
      <c r="H15" s="390" t="s">
        <v>713</v>
      </c>
      <c r="I15" s="493">
        <v>45786</v>
      </c>
      <c r="J15" s="495">
        <v>0</v>
      </c>
      <c r="K15" s="390"/>
      <c r="L15" s="390"/>
      <c r="M15" s="390"/>
    </row>
    <row r="16" spans="1:13" ht="18" x14ac:dyDescent="0.25">
      <c r="A16" s="390">
        <v>12</v>
      </c>
      <c r="B16" s="490">
        <v>4054594770</v>
      </c>
      <c r="C16" s="390" t="s">
        <v>26</v>
      </c>
      <c r="D16" s="420" t="s">
        <v>1172</v>
      </c>
      <c r="E16" s="390" t="s">
        <v>17</v>
      </c>
      <c r="F16" s="390" t="s">
        <v>1097</v>
      </c>
      <c r="G16" s="390" t="str">
        <f t="shared" si="0"/>
        <v>Rétirédanslesdélais</v>
      </c>
      <c r="H16" s="390" t="s">
        <v>715</v>
      </c>
      <c r="I16" s="493">
        <v>45790</v>
      </c>
      <c r="J16" s="495">
        <v>0</v>
      </c>
      <c r="K16" s="390"/>
      <c r="L16" s="390"/>
      <c r="M16" s="390"/>
    </row>
    <row r="17" spans="1:13" ht="18" x14ac:dyDescent="0.25">
      <c r="A17" s="390">
        <v>13</v>
      </c>
      <c r="B17" s="492">
        <v>4054594790</v>
      </c>
      <c r="C17" s="390" t="s">
        <v>26</v>
      </c>
      <c r="D17" s="420" t="s">
        <v>1287</v>
      </c>
      <c r="E17" s="390" t="s">
        <v>17</v>
      </c>
      <c r="F17" s="390" t="s">
        <v>1288</v>
      </c>
      <c r="G17" s="390" t="str">
        <f t="shared" si="0"/>
        <v>Rétirédanslesdélais</v>
      </c>
      <c r="H17" s="390" t="s">
        <v>720</v>
      </c>
      <c r="I17" s="493">
        <v>45792</v>
      </c>
      <c r="J17" s="495">
        <v>0</v>
      </c>
      <c r="K17" s="390"/>
      <c r="L17" s="390"/>
      <c r="M17" s="390"/>
    </row>
    <row r="18" spans="1:13" ht="18" x14ac:dyDescent="0.25">
      <c r="A18" s="390">
        <v>14</v>
      </c>
      <c r="B18" s="492">
        <v>4054594799</v>
      </c>
      <c r="C18" s="390" t="s">
        <v>26</v>
      </c>
      <c r="D18" s="420" t="s">
        <v>1287</v>
      </c>
      <c r="E18" s="390" t="s">
        <v>17</v>
      </c>
      <c r="F18" s="390" t="s">
        <v>1288</v>
      </c>
      <c r="G18" s="390" t="str">
        <f t="shared" si="0"/>
        <v>Rétirédanslesdélais</v>
      </c>
      <c r="H18" s="390" t="s">
        <v>725</v>
      </c>
      <c r="I18" s="493">
        <v>45792</v>
      </c>
      <c r="J18" s="495">
        <v>0</v>
      </c>
      <c r="K18" s="390"/>
      <c r="L18" s="390"/>
      <c r="M18" s="390"/>
    </row>
    <row r="19" spans="1:13" ht="18" x14ac:dyDescent="0.25">
      <c r="A19" s="390">
        <v>15</v>
      </c>
      <c r="B19" s="492">
        <v>4054594800</v>
      </c>
      <c r="C19" s="390" t="s">
        <v>26</v>
      </c>
      <c r="D19" s="420" t="s">
        <v>1287</v>
      </c>
      <c r="E19" s="390" t="s">
        <v>17</v>
      </c>
      <c r="F19" s="390" t="s">
        <v>1288</v>
      </c>
      <c r="G19" s="390" t="str">
        <f t="shared" si="0"/>
        <v>Rétirédanslesdélais</v>
      </c>
      <c r="H19" s="390" t="s">
        <v>724</v>
      </c>
      <c r="I19" s="493">
        <v>45792</v>
      </c>
      <c r="J19" s="495">
        <v>0</v>
      </c>
      <c r="K19" s="390"/>
      <c r="L19" s="390"/>
      <c r="M19" s="390"/>
    </row>
    <row r="20" spans="1:13" ht="18" x14ac:dyDescent="0.25">
      <c r="A20" s="390">
        <v>16</v>
      </c>
      <c r="B20" s="492">
        <v>4054596620</v>
      </c>
      <c r="C20" s="390" t="s">
        <v>26</v>
      </c>
      <c r="D20" s="420" t="s">
        <v>1287</v>
      </c>
      <c r="E20" s="390" t="s">
        <v>17</v>
      </c>
      <c r="F20" s="390" t="s">
        <v>1288</v>
      </c>
      <c r="G20" s="390" t="str">
        <f t="shared" si="0"/>
        <v>Rétirédanslesdélais</v>
      </c>
      <c r="H20" s="390" t="s">
        <v>723</v>
      </c>
      <c r="I20" s="493">
        <v>45792</v>
      </c>
      <c r="J20" s="495">
        <v>0</v>
      </c>
      <c r="K20" s="390"/>
      <c r="L20" s="390"/>
      <c r="M20" s="390"/>
    </row>
    <row r="21" spans="1:13" ht="18" x14ac:dyDescent="0.25">
      <c r="A21" s="390">
        <v>17</v>
      </c>
      <c r="B21" s="492">
        <v>4054596629</v>
      </c>
      <c r="C21" s="390" t="s">
        <v>26</v>
      </c>
      <c r="D21" s="420" t="s">
        <v>1287</v>
      </c>
      <c r="E21" s="390" t="s">
        <v>17</v>
      </c>
      <c r="F21" s="390" t="s">
        <v>1288</v>
      </c>
      <c r="G21" s="390" t="str">
        <f t="shared" si="0"/>
        <v>Rétirédanslesdélais</v>
      </c>
      <c r="H21" s="390" t="s">
        <v>726</v>
      </c>
      <c r="I21" s="493">
        <v>45792</v>
      </c>
      <c r="J21" s="495">
        <v>0</v>
      </c>
      <c r="K21" s="390"/>
      <c r="L21" s="390"/>
      <c r="M21" s="390"/>
    </row>
    <row r="22" spans="1:13" ht="18" x14ac:dyDescent="0.25">
      <c r="A22" s="390">
        <v>18</v>
      </c>
      <c r="B22" s="490">
        <v>4054601790</v>
      </c>
      <c r="C22" s="497" t="s">
        <v>26</v>
      </c>
      <c r="D22" s="420" t="s">
        <v>1172</v>
      </c>
      <c r="E22" s="390" t="s">
        <v>17</v>
      </c>
      <c r="F22" s="390" t="s">
        <v>1288</v>
      </c>
      <c r="G22" s="390" t="str">
        <f t="shared" si="0"/>
        <v>Rétirédanslesdélais</v>
      </c>
      <c r="H22" s="390" t="s">
        <v>729</v>
      </c>
      <c r="I22" s="493">
        <v>45792</v>
      </c>
      <c r="J22" s="495">
        <v>0</v>
      </c>
      <c r="K22" s="390"/>
      <c r="L22" s="390"/>
      <c r="M22" s="390"/>
    </row>
  </sheetData>
  <autoFilter ref="A4:M22" xr:uid="{D559034C-E1A8-4788-A336-55187472940D}">
    <filterColumn colId="12" showButton="0"/>
    <sortState xmlns:xlrd2="http://schemas.microsoft.com/office/spreadsheetml/2017/richdata2" ref="A5:M22">
      <sortCondition ref="B4:B22"/>
    </sortState>
  </autoFilter>
  <mergeCells count="2">
    <mergeCell ref="G1:I1"/>
    <mergeCell ref="A2:B2"/>
  </mergeCells>
  <conditionalFormatting sqref="A5:M22">
    <cfRule type="containsText" dxfId="1181" priority="10" operator="containsText" text="En Attente d'un Retrait Tardif">
      <formula>NOT(ISERROR(SEARCH("En Attente d'un Retrait Tardif",A5)))</formula>
    </cfRule>
    <cfRule type="containsText" dxfId="1180" priority="11" operator="containsText" text="Rétiré dans les délais">
      <formula>NOT(ISERROR(SEARCH("Rétiré dans les délais",A5)))</formula>
    </cfRule>
  </conditionalFormatting>
  <conditionalFormatting sqref="B1:B3 B5:B25 B27 B33:B1048576">
    <cfRule type="duplicateValues" dxfId="1179" priority="8"/>
  </conditionalFormatting>
  <conditionalFormatting sqref="B1:B27 B33:B1048576">
    <cfRule type="duplicateValues" dxfId="1178" priority="1"/>
    <cfRule type="duplicateValues" dxfId="1177" priority="4"/>
  </conditionalFormatting>
  <conditionalFormatting sqref="B33:B1048576 B1:B3 B5 B11:B22">
    <cfRule type="duplicateValues" dxfId="1176" priority="1582"/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EF24-5FD7-4D6D-B2B9-6D7AD405047F}">
  <sheetPr codeName="Feuil128">
    <tabColor theme="5" tint="-0.249977111117893"/>
  </sheetPr>
  <dimension ref="A1:M18"/>
  <sheetViews>
    <sheetView zoomScaleNormal="100" workbookViewId="0">
      <selection activeCell="E26" sqref="E26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43.140625" customWidth="1"/>
    <col min="5" max="5" width="25.28515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1289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318</v>
      </c>
      <c r="F2" s="25"/>
      <c r="G2" s="314">
        <v>45778</v>
      </c>
      <c r="H2" s="365">
        <f ca="1">I2-G2</f>
        <v>318</v>
      </c>
      <c r="I2" s="315">
        <f ca="1">TODAY()</f>
        <v>46096</v>
      </c>
      <c r="J2" s="340" t="s">
        <v>1274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s="485" customFormat="1" x14ac:dyDescent="0.3">
      <c r="A4" s="482" t="s">
        <v>1</v>
      </c>
      <c r="B4" s="483" t="s">
        <v>2</v>
      </c>
      <c r="C4" s="481" t="s">
        <v>3</v>
      </c>
      <c r="D4" s="484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94" customFormat="1" ht="18" x14ac:dyDescent="0.25">
      <c r="A5" s="390">
        <v>1</v>
      </c>
      <c r="B5" s="486">
        <v>2157427980</v>
      </c>
      <c r="C5" s="390" t="s">
        <v>355</v>
      </c>
      <c r="D5" s="420" t="s">
        <v>1290</v>
      </c>
      <c r="E5" s="390" t="s">
        <v>1143</v>
      </c>
      <c r="F5" s="390" t="s">
        <v>1291</v>
      </c>
      <c r="G5" s="390" t="str">
        <f>IF(I5="",IF($E$2&lt;=15,"EnattentedeRetrait","EnAttented'unRetraitTardif"),IF(I5-$G$2&lt;=15,"Rétirédanslesdélais",IF(I5-$G$2&gt;15,"Rétirétardivement-30000FCFAamende")))</f>
        <v>Rétirédanslesdélais</v>
      </c>
      <c r="H5" s="390" t="s">
        <v>698</v>
      </c>
      <c r="I5" s="493">
        <v>45784</v>
      </c>
      <c r="J5" s="390">
        <v>0</v>
      </c>
      <c r="K5" s="390"/>
      <c r="L5" s="390"/>
      <c r="M5" s="390"/>
    </row>
    <row r="6" spans="1:13" s="394" customFormat="1" ht="18" x14ac:dyDescent="0.25">
      <c r="A6" s="390">
        <v>2</v>
      </c>
      <c r="B6" s="486">
        <v>2158011200</v>
      </c>
      <c r="C6" s="390" t="s">
        <v>355</v>
      </c>
      <c r="D6" s="420" t="s">
        <v>1290</v>
      </c>
      <c r="E6" s="390" t="s">
        <v>1143</v>
      </c>
      <c r="F6" s="390" t="s">
        <v>1291</v>
      </c>
      <c r="G6" s="390" t="str">
        <f>IF(I6="",IF($E$2&lt;=15,"EnattentedeRetrait","EnAttented'unRetraitTardif"),IF(I6-$G$2&lt;=15,"Rétirédanslesdélais",IF(I6-$G$2&gt;15,"Rétirétardivement-30000FCFAamende")))</f>
        <v>Rétirédanslesdélais</v>
      </c>
      <c r="H6" s="390" t="s">
        <v>699</v>
      </c>
      <c r="I6" s="493">
        <v>45784</v>
      </c>
      <c r="J6" s="390">
        <v>0</v>
      </c>
      <c r="K6" s="390"/>
      <c r="L6" s="390"/>
      <c r="M6" s="390"/>
    </row>
    <row r="7" spans="1:13" s="346" customFormat="1" ht="15" customHeight="1" x14ac:dyDescent="0.25">
      <c r="A7" s="390">
        <v>3</v>
      </c>
      <c r="B7" s="486">
        <v>4054456560</v>
      </c>
      <c r="C7" s="390" t="s">
        <v>355</v>
      </c>
      <c r="D7" s="420" t="s">
        <v>204</v>
      </c>
      <c r="E7" s="390" t="s">
        <v>1143</v>
      </c>
      <c r="F7" s="390" t="s">
        <v>1292</v>
      </c>
      <c r="G7" s="390" t="str">
        <f>IF(I7="",IF($E$2&lt;=15,"EnattentedeRetrait","EnAttented'unRetraitTardif"),IF(I7-$G$2&lt;=15,"Rétirédanslesdélais",IF(I7-$G$2&gt;15,"Rétirétardivement-30000FCFAamende")))</f>
        <v>Rétirédanslesdélais</v>
      </c>
      <c r="H7" s="390" t="s">
        <v>705</v>
      </c>
      <c r="I7" s="493">
        <v>45785</v>
      </c>
      <c r="J7" s="390">
        <v>0</v>
      </c>
      <c r="K7" s="390"/>
      <c r="L7" s="390"/>
      <c r="M7" s="390"/>
    </row>
    <row r="8" spans="1:13" ht="18" x14ac:dyDescent="0.25">
      <c r="A8" s="390">
        <v>4</v>
      </c>
      <c r="B8" s="486">
        <v>4054511911</v>
      </c>
      <c r="C8" s="390" t="s">
        <v>465</v>
      </c>
      <c r="D8" s="420" t="s">
        <v>204</v>
      </c>
      <c r="E8" s="390" t="s">
        <v>1143</v>
      </c>
      <c r="F8" s="390" t="s">
        <v>1292</v>
      </c>
      <c r="G8" s="390" t="str">
        <f>IF(I8="",IF($E$2&lt;=15,"EnattentedeRetrait","EnAttented'unRetraitTardif"),IF(I8-$G$2&lt;=15,"Rétirédanslesdélais",IF(I8-$G$2&gt;15,"Rétirétardivement-30000FCFAamende")))</f>
        <v>Rétirédanslesdélais</v>
      </c>
      <c r="H8" s="390" t="s">
        <v>704</v>
      </c>
      <c r="I8" s="493">
        <v>45785</v>
      </c>
      <c r="J8" s="390">
        <v>0</v>
      </c>
      <c r="K8" s="390"/>
      <c r="L8" s="390"/>
      <c r="M8" s="390"/>
    </row>
    <row r="9" spans="1:13" ht="18" x14ac:dyDescent="0.25">
      <c r="A9" s="390">
        <v>5</v>
      </c>
      <c r="B9" s="486">
        <v>4054582950</v>
      </c>
      <c r="C9" s="390" t="s">
        <v>465</v>
      </c>
      <c r="D9" s="420" t="s">
        <v>1082</v>
      </c>
      <c r="E9" s="390" t="s">
        <v>1207</v>
      </c>
      <c r="F9" s="390" t="s">
        <v>1070</v>
      </c>
      <c r="G9" s="390" t="str">
        <f>IF(I9="",IF($E$2&lt;=15,"EnattentedeRetrait","EnAttented'unRetraitTardif"),IF(I9-$G$2&lt;=15,"Rétirédanslesdélais",IF(I9-$G$2&gt;15,"Rétirétardivement-30000FCFAamende")))</f>
        <v>Rétirétardivement-30000FCFAamende</v>
      </c>
      <c r="H9" s="390" t="s">
        <v>776</v>
      </c>
      <c r="I9" s="493">
        <v>45824</v>
      </c>
      <c r="J9" s="390">
        <v>0</v>
      </c>
      <c r="K9" s="390"/>
      <c r="L9" s="390"/>
      <c r="M9" s="390"/>
    </row>
    <row r="11" spans="1:13" s="105" customFormat="1" x14ac:dyDescent="0.25">
      <c r="A11"/>
      <c r="B11"/>
      <c r="D11"/>
      <c r="E11"/>
      <c r="F11"/>
      <c r="G11"/>
      <c r="H11"/>
      <c r="I11"/>
      <c r="J11"/>
      <c r="K11"/>
      <c r="L11"/>
      <c r="M11"/>
    </row>
    <row r="12" spans="1:13" s="105" customFormat="1" x14ac:dyDescent="0.25">
      <c r="A12"/>
      <c r="B12"/>
      <c r="D12"/>
      <c r="E12"/>
      <c r="F12"/>
      <c r="G12"/>
      <c r="H12"/>
      <c r="I12"/>
      <c r="J12"/>
      <c r="K12"/>
      <c r="L12"/>
      <c r="M12"/>
    </row>
    <row r="13" spans="1:13" s="105" customFormat="1" x14ac:dyDescent="0.25">
      <c r="A13"/>
      <c r="B13"/>
      <c r="D13"/>
      <c r="E13"/>
      <c r="F13"/>
      <c r="G13"/>
      <c r="H13"/>
      <c r="I13"/>
      <c r="J13"/>
      <c r="K13"/>
      <c r="L13"/>
      <c r="M13"/>
    </row>
    <row r="14" spans="1:13" s="105" customFormat="1" x14ac:dyDescent="0.25">
      <c r="A14"/>
      <c r="B14"/>
      <c r="D14"/>
      <c r="E14"/>
      <c r="F14"/>
      <c r="G14"/>
      <c r="H14"/>
      <c r="I14"/>
      <c r="J14"/>
      <c r="K14"/>
      <c r="L14"/>
      <c r="M14"/>
    </row>
    <row r="15" spans="1:13" s="105" customFormat="1" x14ac:dyDescent="0.25">
      <c r="A15"/>
      <c r="B15"/>
      <c r="D15"/>
      <c r="E15"/>
      <c r="F15"/>
      <c r="G15"/>
      <c r="H15"/>
      <c r="I15"/>
      <c r="J15"/>
      <c r="K15"/>
      <c r="L15"/>
      <c r="M15"/>
    </row>
    <row r="16" spans="1:13" s="105" customFormat="1" x14ac:dyDescent="0.25">
      <c r="A16"/>
      <c r="B16"/>
      <c r="D16"/>
      <c r="E16"/>
      <c r="F16"/>
      <c r="G16"/>
      <c r="H16"/>
      <c r="I16"/>
      <c r="J16"/>
      <c r="K16"/>
      <c r="L16"/>
      <c r="M16"/>
    </row>
    <row r="17" spans="1:13" s="105" customFormat="1" x14ac:dyDescent="0.25">
      <c r="A17"/>
      <c r="D17"/>
      <c r="E17"/>
      <c r="F17"/>
      <c r="G17"/>
      <c r="H17"/>
      <c r="I17"/>
      <c r="J17"/>
      <c r="K17"/>
      <c r="L17"/>
      <c r="M17"/>
    </row>
    <row r="18" spans="1:13" s="105" customFormat="1" x14ac:dyDescent="0.25">
      <c r="A18"/>
      <c r="D18"/>
      <c r="E18"/>
      <c r="F18"/>
      <c r="G18"/>
      <c r="H18"/>
      <c r="I18"/>
      <c r="J18"/>
      <c r="K18"/>
      <c r="L18"/>
      <c r="M18"/>
    </row>
  </sheetData>
  <autoFilter ref="A4:M9" xr:uid="{D559034C-E1A8-4788-A336-55187472940D}">
    <filterColumn colId="12" showButton="0"/>
    <sortState xmlns:xlrd2="http://schemas.microsoft.com/office/spreadsheetml/2017/richdata2" ref="A5:M9">
      <sortCondition sortBy="cellColor" ref="B4:B9" dxfId="1535"/>
    </sortState>
  </autoFilter>
  <mergeCells count="2">
    <mergeCell ref="G1:I1"/>
    <mergeCell ref="A2:B2"/>
  </mergeCells>
  <conditionalFormatting sqref="A5:M9">
    <cfRule type="containsText" dxfId="1175" priority="2" operator="containsText" text="En Attente d'un Retrait Tardif">
      <formula>NOT(ISERROR(SEARCH("En Attente d'un Retrait Tardif",A5)))</formula>
    </cfRule>
    <cfRule type="containsText" dxfId="1174" priority="3" operator="containsText" text="Rétiré dans les délais">
      <formula>NOT(ISERROR(SEARCH("Rétiré dans les délais",A5)))</formula>
    </cfRule>
  </conditionalFormatting>
  <conditionalFormatting sqref="B1:B1048576">
    <cfRule type="duplicateValues" dxfId="1173" priority="1"/>
  </conditionalFormatting>
  <conditionalFormatting sqref="B5:B9">
    <cfRule type="duplicateValues" dxfId="1172" priority="1575"/>
  </conditionalFormatting>
  <conditionalFormatting sqref="B17:B1048576 B10 B1:B4">
    <cfRule type="duplicateValues" dxfId="1171" priority="5"/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C90A-AE1D-4ED1-BAF2-7DE7AFF563B1}">
  <sheetPr codeName="Feuil129">
    <tabColor theme="5" tint="-0.249977111117893"/>
  </sheetPr>
  <dimension ref="A1:M43"/>
  <sheetViews>
    <sheetView zoomScaleNormal="100" workbookViewId="0">
      <selection activeCell="G22" sqref="G22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35.140625" customWidth="1"/>
    <col min="5" max="5" width="14.42578125" customWidth="1"/>
    <col min="6" max="6" width="24.7109375" customWidth="1"/>
    <col min="7" max="7" width="36.5703125" customWidth="1"/>
    <col min="8" max="8" width="24.140625" customWidth="1"/>
    <col min="9" max="9" width="19.28515625" customWidth="1"/>
    <col min="10" max="10" width="28" customWidth="1"/>
    <col min="13" max="13" width="24.28515625" customWidth="1"/>
  </cols>
  <sheetData>
    <row r="1" spans="1:13" ht="19.5" thickBot="1" x14ac:dyDescent="0.35">
      <c r="A1" s="348" t="s">
        <v>1293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325</v>
      </c>
      <c r="F2" s="25"/>
      <c r="G2" s="314">
        <v>45771</v>
      </c>
      <c r="H2" s="365">
        <f ca="1">I2-G2</f>
        <v>325</v>
      </c>
      <c r="I2" s="315">
        <f ca="1">TODAY()</f>
        <v>46096</v>
      </c>
      <c r="J2" s="340" t="s">
        <v>1274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3</v>
      </c>
      <c r="B5" s="479">
        <v>4054462381</v>
      </c>
      <c r="C5" s="480" t="s">
        <v>26</v>
      </c>
      <c r="D5" s="433" t="s">
        <v>1281</v>
      </c>
      <c r="E5" s="381" t="s">
        <v>17</v>
      </c>
      <c r="F5" s="381" t="s">
        <v>1143</v>
      </c>
      <c r="G5" s="390" t="str">
        <f t="shared" ref="G5:G16" si="0">IF(I5="",IF($E$2&lt;=15,"EnattentedeRetrait","EnAttented'unRetraitTardif"),IF(I5-$G$2&lt;=15,"Rétirédanslesdélais",IF(I5-$G$2&gt;15,"Rétirétardivement-30000FCFAamende")))</f>
        <v>Rétirédanslesdélais</v>
      </c>
      <c r="H5" s="461" t="s">
        <v>697</v>
      </c>
      <c r="I5" s="462">
        <v>45779</v>
      </c>
      <c r="J5" s="470">
        <v>7120000</v>
      </c>
      <c r="K5" s="381"/>
      <c r="L5" s="381"/>
      <c r="M5" s="381"/>
    </row>
    <row r="6" spans="1:13" s="394" customFormat="1" ht="15.75" x14ac:dyDescent="0.25">
      <c r="A6" s="397">
        <v>1</v>
      </c>
      <c r="B6" s="479">
        <v>4054532900</v>
      </c>
      <c r="C6" s="402" t="s">
        <v>24</v>
      </c>
      <c r="D6" s="433" t="s">
        <v>1276</v>
      </c>
      <c r="E6" s="381" t="s">
        <v>17</v>
      </c>
      <c r="F6" s="381" t="s">
        <v>1207</v>
      </c>
      <c r="G6" s="390" t="str">
        <f t="shared" si="0"/>
        <v>Rétirédanslesdélais</v>
      </c>
      <c r="H6" s="461" t="s">
        <v>692</v>
      </c>
      <c r="I6" s="462">
        <v>45776</v>
      </c>
      <c r="J6" s="470">
        <v>0</v>
      </c>
      <c r="K6" s="381"/>
      <c r="L6" s="381"/>
      <c r="M6" s="381"/>
    </row>
    <row r="7" spans="1:13" s="346" customFormat="1" ht="15" customHeight="1" x14ac:dyDescent="0.25">
      <c r="A7" s="397">
        <v>2</v>
      </c>
      <c r="B7" s="479">
        <v>4054532910</v>
      </c>
      <c r="C7" s="402" t="s">
        <v>24</v>
      </c>
      <c r="D7" s="433" t="s">
        <v>1276</v>
      </c>
      <c r="E7" s="381" t="s">
        <v>17</v>
      </c>
      <c r="F7" s="381" t="s">
        <v>1207</v>
      </c>
      <c r="G7" s="390" t="str">
        <f t="shared" si="0"/>
        <v>Rétirédanslesdélais</v>
      </c>
      <c r="H7" s="461" t="s">
        <v>694</v>
      </c>
      <c r="I7" s="462">
        <v>45776</v>
      </c>
      <c r="J7" s="470">
        <v>0</v>
      </c>
      <c r="K7" s="381"/>
      <c r="L7" s="381"/>
      <c r="M7" s="381"/>
    </row>
    <row r="8" spans="1:13" s="346" customFormat="1" ht="15.75" x14ac:dyDescent="0.25">
      <c r="A8" s="397">
        <v>4</v>
      </c>
      <c r="B8" s="479">
        <v>4054535140</v>
      </c>
      <c r="C8" s="402" t="s">
        <v>26</v>
      </c>
      <c r="D8" s="433" t="s">
        <v>1105</v>
      </c>
      <c r="E8" s="381" t="s">
        <v>17</v>
      </c>
      <c r="F8" s="381" t="s">
        <v>1207</v>
      </c>
      <c r="G8" s="390" t="str">
        <f t="shared" si="0"/>
        <v>Rétirédanslesdélais</v>
      </c>
      <c r="H8" s="461" t="s">
        <v>689</v>
      </c>
      <c r="I8" s="462">
        <v>45776</v>
      </c>
      <c r="J8" s="470" t="s">
        <v>1294</v>
      </c>
      <c r="K8" s="381"/>
      <c r="L8" s="381"/>
      <c r="M8" s="381"/>
    </row>
    <row r="9" spans="1:13" ht="15.75" x14ac:dyDescent="0.25">
      <c r="A9" s="397">
        <v>5</v>
      </c>
      <c r="B9" s="479">
        <v>4054535210</v>
      </c>
      <c r="C9" s="402" t="s">
        <v>26</v>
      </c>
      <c r="D9" s="433" t="s">
        <v>1105</v>
      </c>
      <c r="E9" s="381" t="s">
        <v>17</v>
      </c>
      <c r="F9" s="381" t="s">
        <v>1207</v>
      </c>
      <c r="G9" s="390" t="str">
        <f t="shared" si="0"/>
        <v>Rétirédanslesdélais</v>
      </c>
      <c r="H9" s="461" t="s">
        <v>690</v>
      </c>
      <c r="I9" s="462">
        <v>45776</v>
      </c>
      <c r="J9" s="470">
        <v>0</v>
      </c>
      <c r="K9" s="381"/>
      <c r="L9" s="381"/>
      <c r="M9" s="381"/>
    </row>
    <row r="10" spans="1:13" ht="15.75" x14ac:dyDescent="0.25">
      <c r="A10" s="397">
        <v>6</v>
      </c>
      <c r="B10" s="491">
        <v>4054541050</v>
      </c>
      <c r="C10" s="402" t="s">
        <v>26</v>
      </c>
      <c r="D10" s="433" t="s">
        <v>67</v>
      </c>
      <c r="E10" s="381" t="s">
        <v>17</v>
      </c>
      <c r="F10" s="381" t="s">
        <v>1097</v>
      </c>
      <c r="G10" s="390" t="str">
        <f t="shared" si="0"/>
        <v>Rétirétardivement-30000FCFAamende</v>
      </c>
      <c r="H10" s="461" t="s">
        <v>741</v>
      </c>
      <c r="I10" s="462">
        <v>45793</v>
      </c>
      <c r="J10" s="470">
        <v>120000</v>
      </c>
      <c r="K10" s="381"/>
      <c r="L10" s="381"/>
      <c r="M10" s="381"/>
    </row>
    <row r="11" spans="1:13" ht="15.75" x14ac:dyDescent="0.25">
      <c r="A11" s="397">
        <v>7</v>
      </c>
      <c r="B11" s="496">
        <v>4054541300</v>
      </c>
      <c r="C11" s="402" t="s">
        <v>26</v>
      </c>
      <c r="D11" s="433" t="s">
        <v>1295</v>
      </c>
      <c r="E11" s="381" t="s">
        <v>17</v>
      </c>
      <c r="F11" s="381" t="s">
        <v>1207</v>
      </c>
      <c r="G11" s="390" t="str">
        <f t="shared" si="0"/>
        <v>Rétirédanslesdélais</v>
      </c>
      <c r="H11" s="461" t="s">
        <v>707</v>
      </c>
      <c r="I11" s="462">
        <v>45785</v>
      </c>
      <c r="J11" s="470">
        <v>0</v>
      </c>
      <c r="K11" s="381"/>
      <c r="L11" s="381"/>
      <c r="M11" s="381"/>
    </row>
    <row r="12" spans="1:13" ht="15.75" x14ac:dyDescent="0.25">
      <c r="A12" s="397">
        <v>8</v>
      </c>
      <c r="B12" s="496">
        <v>4054546390</v>
      </c>
      <c r="C12" s="402" t="s">
        <v>26</v>
      </c>
      <c r="D12" s="433" t="s">
        <v>1295</v>
      </c>
      <c r="E12" s="381" t="s">
        <v>17</v>
      </c>
      <c r="F12" s="381" t="s">
        <v>1207</v>
      </c>
      <c r="G12" s="390" t="str">
        <f t="shared" si="0"/>
        <v>Rétirédanslesdélais</v>
      </c>
      <c r="H12" s="461" t="s">
        <v>708</v>
      </c>
      <c r="I12" s="462">
        <v>45785</v>
      </c>
      <c r="J12" s="470">
        <v>0</v>
      </c>
      <c r="K12" s="381"/>
      <c r="L12" s="381"/>
      <c r="M12" s="381"/>
    </row>
    <row r="13" spans="1:13" ht="15.75" x14ac:dyDescent="0.25">
      <c r="A13" s="397">
        <v>9</v>
      </c>
      <c r="B13" s="479">
        <v>4054562700</v>
      </c>
      <c r="C13" s="402" t="s">
        <v>26</v>
      </c>
      <c r="D13" s="433" t="s">
        <v>1296</v>
      </c>
      <c r="E13" s="381" t="s">
        <v>17</v>
      </c>
      <c r="F13" s="381" t="s">
        <v>1207</v>
      </c>
      <c r="G13" s="390" t="str">
        <f t="shared" si="0"/>
        <v>Rétirédanslesdélais</v>
      </c>
      <c r="H13" s="461" t="s">
        <v>703</v>
      </c>
      <c r="I13" s="462">
        <v>45784</v>
      </c>
      <c r="J13" s="470">
        <v>0</v>
      </c>
      <c r="K13" s="381"/>
      <c r="L13" s="381"/>
      <c r="M13" s="381"/>
    </row>
    <row r="14" spans="1:13" ht="15.75" x14ac:dyDescent="0.25">
      <c r="A14" s="397">
        <v>10</v>
      </c>
      <c r="B14" s="479">
        <v>4054563990</v>
      </c>
      <c r="C14" s="402" t="s">
        <v>26</v>
      </c>
      <c r="D14" s="433" t="s">
        <v>1075</v>
      </c>
      <c r="E14" s="381" t="s">
        <v>17</v>
      </c>
      <c r="F14" s="381" t="s">
        <v>1097</v>
      </c>
      <c r="G14" s="390" t="str">
        <f t="shared" si="0"/>
        <v>Rétirédanslesdélais</v>
      </c>
      <c r="H14" s="461" t="s">
        <v>691</v>
      </c>
      <c r="I14" s="462">
        <v>45776</v>
      </c>
      <c r="J14" s="470">
        <v>0</v>
      </c>
      <c r="K14" s="381"/>
      <c r="L14" s="381"/>
      <c r="M14" s="381"/>
    </row>
    <row r="15" spans="1:13" ht="15.75" x14ac:dyDescent="0.25">
      <c r="A15" s="397">
        <v>11</v>
      </c>
      <c r="B15" s="491">
        <v>4054565520</v>
      </c>
      <c r="C15" s="402" t="s">
        <v>26</v>
      </c>
      <c r="D15" s="433" t="s">
        <v>67</v>
      </c>
      <c r="E15" s="381" t="s">
        <v>17</v>
      </c>
      <c r="F15" s="381" t="s">
        <v>1097</v>
      </c>
      <c r="G15" s="390" t="str">
        <f t="shared" si="0"/>
        <v>Rétirétardivement-30000FCFAamende</v>
      </c>
      <c r="H15" s="461" t="s">
        <v>742</v>
      </c>
      <c r="I15" s="462">
        <v>45793</v>
      </c>
      <c r="J15" s="470">
        <v>0</v>
      </c>
      <c r="K15" s="381"/>
      <c r="L15" s="381"/>
      <c r="M15" s="381"/>
    </row>
    <row r="16" spans="1:13" ht="15.75" x14ac:dyDescent="0.25">
      <c r="A16" s="397">
        <v>12</v>
      </c>
      <c r="B16" s="491">
        <v>4054580920</v>
      </c>
      <c r="C16" s="402" t="s">
        <v>26</v>
      </c>
      <c r="D16" s="433" t="s">
        <v>1119</v>
      </c>
      <c r="E16" s="381" t="s">
        <v>17</v>
      </c>
      <c r="F16" s="381" t="s">
        <v>1207</v>
      </c>
      <c r="G16" s="390" t="str">
        <f t="shared" si="0"/>
        <v>Rétirétardivement-30000FCFAamende</v>
      </c>
      <c r="H16" s="461" t="s">
        <v>730</v>
      </c>
      <c r="I16" s="462">
        <v>45793</v>
      </c>
      <c r="J16" s="470">
        <v>0</v>
      </c>
      <c r="K16" s="381"/>
      <c r="L16" s="381"/>
      <c r="M16" s="381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</sheetData>
  <autoFilter ref="A4:M16" xr:uid="{D559034C-E1A8-4788-A336-55187472940D}">
    <filterColumn colId="12" showButton="0"/>
    <sortState xmlns:xlrd2="http://schemas.microsoft.com/office/spreadsheetml/2017/richdata2" ref="A5:M16">
      <sortCondition ref="B4:B16"/>
    </sortState>
  </autoFilter>
  <mergeCells count="2">
    <mergeCell ref="G1:I1"/>
    <mergeCell ref="A2:B2"/>
  </mergeCells>
  <conditionalFormatting sqref="B44:B1048576 B1:B22">
    <cfRule type="duplicateValues" dxfId="1170" priority="1"/>
  </conditionalFormatting>
  <conditionalFormatting sqref="G5:G16">
    <cfRule type="containsText" dxfId="1169" priority="2" operator="containsText" text="En Attente d'un Retrait Tardif">
      <formula>NOT(ISERROR(SEARCH("En Attente d'un Retrait Tardif",G5)))</formula>
    </cfRule>
    <cfRule type="containsText" dxfId="1168" priority="3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6A93-5378-4755-94EE-4FE651733BFE}">
  <sheetPr codeName="Feuil130">
    <tabColor theme="5" tint="-0.249977111117893"/>
  </sheetPr>
  <dimension ref="A1:M28"/>
  <sheetViews>
    <sheetView zoomScaleNormal="100" workbookViewId="0">
      <selection activeCell="D10" sqref="D10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1297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328</v>
      </c>
      <c r="F2" s="25"/>
      <c r="G2" s="314">
        <v>45768</v>
      </c>
      <c r="H2" s="365">
        <f ca="1">I2-G2</f>
        <v>328</v>
      </c>
      <c r="I2" s="315">
        <f ca="1">TODAY()</f>
        <v>46096</v>
      </c>
      <c r="J2" s="340" t="s">
        <v>1298</v>
      </c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11</v>
      </c>
      <c r="B5" s="479">
        <v>2156316580</v>
      </c>
      <c r="C5" s="478" t="s">
        <v>355</v>
      </c>
      <c r="D5" s="433" t="s">
        <v>1290</v>
      </c>
      <c r="E5" s="381" t="s">
        <v>17</v>
      </c>
      <c r="F5" s="381" t="s">
        <v>1097</v>
      </c>
      <c r="G5" s="390" t="str">
        <f t="shared" ref="G5:G28" si="0">IF(I5="",IF($E$2&lt;=15,"EnattentedeRetrait","EnAttented'unRetraitTardif"),IF(I5-$G$2&lt;=15,"Rétirédanslesdélais",IF(I5-$G$2&gt;15,"Rétirétardivement-30000FCFAamende")))</f>
        <v>Rétirédanslesdélais</v>
      </c>
      <c r="H5" s="461" t="s">
        <v>681</v>
      </c>
      <c r="I5" s="462">
        <v>45775</v>
      </c>
      <c r="J5" s="470">
        <v>0</v>
      </c>
      <c r="K5" s="381"/>
      <c r="L5" s="381"/>
      <c r="M5" s="381"/>
    </row>
    <row r="6" spans="1:13" s="394" customFormat="1" ht="15.75" x14ac:dyDescent="0.25">
      <c r="A6" s="397">
        <v>6</v>
      </c>
      <c r="B6" s="479">
        <v>4054468140</v>
      </c>
      <c r="C6" s="478" t="s">
        <v>355</v>
      </c>
      <c r="D6" s="433" t="s">
        <v>1299</v>
      </c>
      <c r="E6" s="381" t="s">
        <v>17</v>
      </c>
      <c r="F6" s="381" t="s">
        <v>1097</v>
      </c>
      <c r="G6" s="390" t="str">
        <f t="shared" si="0"/>
        <v>Rétirédanslesdélais</v>
      </c>
      <c r="H6" s="461" t="s">
        <v>662</v>
      </c>
      <c r="I6" s="462">
        <v>45770</v>
      </c>
      <c r="J6" s="470">
        <v>0</v>
      </c>
      <c r="K6" s="381"/>
      <c r="L6" s="381"/>
      <c r="M6" s="381"/>
    </row>
    <row r="7" spans="1:13" s="346" customFormat="1" ht="15" customHeight="1" x14ac:dyDescent="0.25">
      <c r="A7" s="397">
        <v>20</v>
      </c>
      <c r="B7" s="479">
        <v>4054468180</v>
      </c>
      <c r="C7" s="478" t="s">
        <v>355</v>
      </c>
      <c r="D7" s="433" t="s">
        <v>1299</v>
      </c>
      <c r="E7" s="381" t="s">
        <v>17</v>
      </c>
      <c r="F7" s="381" t="s">
        <v>1097</v>
      </c>
      <c r="G7" s="390" t="str">
        <f t="shared" si="0"/>
        <v>Rétirédanslesdélais</v>
      </c>
      <c r="H7" s="461" t="s">
        <v>666</v>
      </c>
      <c r="I7" s="462">
        <v>45770</v>
      </c>
      <c r="J7" s="470">
        <v>0</v>
      </c>
      <c r="K7" s="381"/>
      <c r="L7" s="381"/>
      <c r="M7" s="381"/>
    </row>
    <row r="8" spans="1:13" s="346" customFormat="1" ht="15.75" x14ac:dyDescent="0.25">
      <c r="A8" s="397">
        <v>10</v>
      </c>
      <c r="B8" s="479">
        <v>4054510350</v>
      </c>
      <c r="C8" s="478" t="s">
        <v>465</v>
      </c>
      <c r="D8" s="433" t="s">
        <v>1212</v>
      </c>
      <c r="E8" s="381" t="s">
        <v>17</v>
      </c>
      <c r="F8" s="381" t="s">
        <v>1097</v>
      </c>
      <c r="G8" s="390" t="str">
        <f t="shared" si="0"/>
        <v>Rétirédanslesdélais</v>
      </c>
      <c r="H8" s="461" t="s">
        <v>663</v>
      </c>
      <c r="I8" s="462">
        <v>45771</v>
      </c>
      <c r="J8" s="470">
        <v>0</v>
      </c>
      <c r="K8" s="381"/>
      <c r="L8" s="381"/>
      <c r="M8" s="381"/>
    </row>
    <row r="9" spans="1:13" ht="15.75" x14ac:dyDescent="0.25">
      <c r="A9" s="397">
        <v>18</v>
      </c>
      <c r="B9" s="479">
        <v>4054511870</v>
      </c>
      <c r="C9" s="478" t="s">
        <v>465</v>
      </c>
      <c r="D9" s="433" t="s">
        <v>204</v>
      </c>
      <c r="E9" s="381" t="s">
        <v>1143</v>
      </c>
      <c r="F9" s="381" t="s">
        <v>1097</v>
      </c>
      <c r="G9" s="390" t="str">
        <f t="shared" si="0"/>
        <v>Rétirédanslesdélais</v>
      </c>
      <c r="H9" s="461" t="s">
        <v>695</v>
      </c>
      <c r="I9" s="462">
        <v>45779</v>
      </c>
      <c r="J9" s="470">
        <v>0</v>
      </c>
      <c r="K9" s="381"/>
      <c r="L9" s="381"/>
      <c r="M9" s="381"/>
    </row>
    <row r="10" spans="1:13" ht="15.75" x14ac:dyDescent="0.25">
      <c r="A10" s="397">
        <v>17</v>
      </c>
      <c r="B10" s="479">
        <v>4054511910</v>
      </c>
      <c r="C10" s="478" t="s">
        <v>465</v>
      </c>
      <c r="D10" s="433" t="s">
        <v>204</v>
      </c>
      <c r="E10" s="381" t="s">
        <v>1143</v>
      </c>
      <c r="F10" s="381" t="s">
        <v>1097</v>
      </c>
      <c r="G10" s="390" t="str">
        <f t="shared" si="0"/>
        <v>Rétirédanslesdélais</v>
      </c>
      <c r="H10" s="461" t="s">
        <v>696</v>
      </c>
      <c r="I10" s="462">
        <v>45779</v>
      </c>
      <c r="J10" s="470">
        <v>0</v>
      </c>
      <c r="K10" s="381"/>
      <c r="L10" s="381"/>
      <c r="M10" s="381"/>
    </row>
    <row r="11" spans="1:13" ht="15.75" x14ac:dyDescent="0.25">
      <c r="A11" s="397">
        <v>22</v>
      </c>
      <c r="B11" s="479">
        <v>4054512590</v>
      </c>
      <c r="C11" s="478" t="s">
        <v>355</v>
      </c>
      <c r="D11" s="433" t="s">
        <v>1259</v>
      </c>
      <c r="E11" s="381" t="s">
        <v>17</v>
      </c>
      <c r="F11" s="381" t="s">
        <v>1097</v>
      </c>
      <c r="G11" s="390" t="str">
        <f t="shared" si="0"/>
        <v>Rétirétardivement-30000FCFAamende</v>
      </c>
      <c r="H11" s="461" t="s">
        <v>732</v>
      </c>
      <c r="I11" s="462">
        <v>45796</v>
      </c>
      <c r="J11" s="470">
        <v>380000</v>
      </c>
      <c r="K11" s="381"/>
      <c r="L11" s="381"/>
      <c r="M11" s="381"/>
    </row>
    <row r="12" spans="1:13" ht="15.75" x14ac:dyDescent="0.25">
      <c r="A12" s="397">
        <v>5</v>
      </c>
      <c r="B12" s="479">
        <v>4054520430</v>
      </c>
      <c r="C12" s="478" t="s">
        <v>355</v>
      </c>
      <c r="D12" s="433" t="s">
        <v>1300</v>
      </c>
      <c r="E12" s="381" t="s">
        <v>17</v>
      </c>
      <c r="F12" s="381" t="s">
        <v>1097</v>
      </c>
      <c r="G12" s="390" t="str">
        <f t="shared" si="0"/>
        <v>Rétirédanslesdélais</v>
      </c>
      <c r="H12" s="461" t="s">
        <v>671</v>
      </c>
      <c r="I12" s="462">
        <v>45771</v>
      </c>
      <c r="J12" s="470">
        <v>0</v>
      </c>
      <c r="K12" s="381"/>
      <c r="L12" s="381"/>
      <c r="M12" s="381"/>
    </row>
    <row r="13" spans="1:13" ht="15.75" x14ac:dyDescent="0.25">
      <c r="A13" s="397">
        <v>3</v>
      </c>
      <c r="B13" s="479">
        <v>4054520460</v>
      </c>
      <c r="C13" s="478" t="s">
        <v>355</v>
      </c>
      <c r="D13" s="433" t="s">
        <v>1301</v>
      </c>
      <c r="E13" s="381" t="s">
        <v>17</v>
      </c>
      <c r="F13" s="381" t="s">
        <v>1097</v>
      </c>
      <c r="G13" s="390" t="str">
        <f t="shared" si="0"/>
        <v>Rétirédanslesdélais</v>
      </c>
      <c r="H13" s="461" t="s">
        <v>674</v>
      </c>
      <c r="I13" s="462">
        <v>45771</v>
      </c>
      <c r="J13" s="470">
        <v>0</v>
      </c>
      <c r="K13" s="381"/>
      <c r="L13" s="381"/>
      <c r="M13" s="381"/>
    </row>
    <row r="14" spans="1:13" ht="15.75" x14ac:dyDescent="0.25">
      <c r="A14" s="397">
        <v>16</v>
      </c>
      <c r="B14" s="479">
        <v>4054528650</v>
      </c>
      <c r="C14" s="478" t="s">
        <v>355</v>
      </c>
      <c r="D14" s="433" t="s">
        <v>1301</v>
      </c>
      <c r="E14" s="381" t="s">
        <v>17</v>
      </c>
      <c r="F14" s="381" t="s">
        <v>1097</v>
      </c>
      <c r="G14" s="390" t="str">
        <f t="shared" si="0"/>
        <v>Rétirédanslesdélais</v>
      </c>
      <c r="H14" s="461" t="s">
        <v>673</v>
      </c>
      <c r="I14" s="462">
        <v>45772</v>
      </c>
      <c r="J14" s="470">
        <v>0</v>
      </c>
      <c r="K14" s="381"/>
      <c r="L14" s="381"/>
      <c r="M14" s="381"/>
    </row>
    <row r="15" spans="1:13" ht="15.75" x14ac:dyDescent="0.25">
      <c r="A15" s="397">
        <v>23</v>
      </c>
      <c r="B15" s="479">
        <v>4054530620</v>
      </c>
      <c r="C15" s="478" t="s">
        <v>355</v>
      </c>
      <c r="D15" s="433" t="s">
        <v>1277</v>
      </c>
      <c r="E15" s="381" t="s">
        <v>17</v>
      </c>
      <c r="F15" s="381" t="s">
        <v>1097</v>
      </c>
      <c r="G15" s="390" t="str">
        <f t="shared" si="0"/>
        <v>Rétirédanslesdélais</v>
      </c>
      <c r="H15" s="461" t="s">
        <v>675</v>
      </c>
      <c r="I15" s="462">
        <v>45772</v>
      </c>
      <c r="J15" s="470">
        <v>0</v>
      </c>
      <c r="K15" s="381"/>
      <c r="L15" s="381"/>
      <c r="M15" s="381"/>
    </row>
    <row r="16" spans="1:13" ht="15.75" x14ac:dyDescent="0.25">
      <c r="A16" s="397">
        <v>2</v>
      </c>
      <c r="B16" s="479">
        <v>4054539000</v>
      </c>
      <c r="C16" s="478" t="s">
        <v>355</v>
      </c>
      <c r="D16" s="433" t="s">
        <v>1301</v>
      </c>
      <c r="E16" s="381" t="s">
        <v>17</v>
      </c>
      <c r="F16" s="381" t="s">
        <v>1097</v>
      </c>
      <c r="G16" s="390" t="str">
        <f t="shared" si="0"/>
        <v>Rétirédanslesdélais</v>
      </c>
      <c r="H16" s="461" t="s">
        <v>676</v>
      </c>
      <c r="I16" s="462">
        <v>45772</v>
      </c>
      <c r="J16" s="470" t="s">
        <v>1302</v>
      </c>
      <c r="K16" s="381"/>
      <c r="L16" s="381"/>
      <c r="M16" s="381"/>
    </row>
    <row r="17" spans="1:13" ht="15.75" x14ac:dyDescent="0.25">
      <c r="A17" s="397">
        <v>13</v>
      </c>
      <c r="B17" s="479">
        <v>4054540850</v>
      </c>
      <c r="C17" s="478" t="s">
        <v>465</v>
      </c>
      <c r="D17" s="433" t="s">
        <v>67</v>
      </c>
      <c r="E17" s="381" t="s">
        <v>17</v>
      </c>
      <c r="F17" s="381" t="s">
        <v>1097</v>
      </c>
      <c r="G17" s="390" t="str">
        <f t="shared" si="0"/>
        <v>Rétirédanslesdélais</v>
      </c>
      <c r="H17" s="461" t="s">
        <v>688</v>
      </c>
      <c r="I17" s="462">
        <v>45776</v>
      </c>
      <c r="J17" s="470">
        <v>0</v>
      </c>
      <c r="K17" s="381"/>
      <c r="L17" s="381"/>
      <c r="M17" s="381"/>
    </row>
    <row r="18" spans="1:13" ht="15.75" x14ac:dyDescent="0.25">
      <c r="A18" s="397">
        <v>12</v>
      </c>
      <c r="B18" s="479">
        <v>4054541360</v>
      </c>
      <c r="C18" s="478" t="s">
        <v>465</v>
      </c>
      <c r="D18" s="433" t="s">
        <v>1212</v>
      </c>
      <c r="E18" s="381" t="s">
        <v>17</v>
      </c>
      <c r="F18" s="381" t="s">
        <v>1097</v>
      </c>
      <c r="G18" s="390" t="str">
        <f t="shared" si="0"/>
        <v>Rétirédanslesdélais</v>
      </c>
      <c r="H18" s="461" t="s">
        <v>687</v>
      </c>
      <c r="I18" s="462">
        <v>45776</v>
      </c>
      <c r="J18" s="470">
        <v>0</v>
      </c>
      <c r="K18" s="381"/>
      <c r="L18" s="381"/>
      <c r="M18" s="381"/>
    </row>
    <row r="19" spans="1:13" ht="15.75" x14ac:dyDescent="0.25">
      <c r="A19" s="397">
        <v>8</v>
      </c>
      <c r="B19" s="479">
        <v>4054545080</v>
      </c>
      <c r="C19" s="478" t="s">
        <v>465</v>
      </c>
      <c r="D19" s="433" t="s">
        <v>1212</v>
      </c>
      <c r="E19" s="381" t="s">
        <v>17</v>
      </c>
      <c r="F19" s="381" t="s">
        <v>1097</v>
      </c>
      <c r="G19" s="390" t="str">
        <f t="shared" si="0"/>
        <v>Rétirédanslesdélais</v>
      </c>
      <c r="H19" s="461" t="s">
        <v>686</v>
      </c>
      <c r="I19" s="462">
        <v>45776</v>
      </c>
      <c r="J19" s="470">
        <v>0</v>
      </c>
      <c r="K19" s="381"/>
      <c r="L19" s="381"/>
      <c r="M19" s="381"/>
    </row>
    <row r="20" spans="1:13" ht="15.75" x14ac:dyDescent="0.25">
      <c r="A20" s="397">
        <v>1</v>
      </c>
      <c r="B20" s="479">
        <v>4054546450</v>
      </c>
      <c r="C20" s="478" t="s">
        <v>355</v>
      </c>
      <c r="D20" s="433" t="s">
        <v>1301</v>
      </c>
      <c r="E20" s="381" t="s">
        <v>17</v>
      </c>
      <c r="F20" s="381" t="s">
        <v>1097</v>
      </c>
      <c r="G20" s="390" t="str">
        <f t="shared" si="0"/>
        <v>Rétirédanslesdélais</v>
      </c>
      <c r="H20" s="461" t="s">
        <v>672</v>
      </c>
      <c r="I20" s="462">
        <v>45771</v>
      </c>
      <c r="J20" s="470">
        <v>0</v>
      </c>
      <c r="K20" s="381"/>
      <c r="L20" s="381"/>
      <c r="M20" s="381"/>
    </row>
    <row r="21" spans="1:13" ht="15.75" x14ac:dyDescent="0.25">
      <c r="A21" s="397">
        <v>4</v>
      </c>
      <c r="B21" s="479">
        <v>4054546470</v>
      </c>
      <c r="C21" s="478" t="s">
        <v>355</v>
      </c>
      <c r="D21" s="433" t="s">
        <v>1300</v>
      </c>
      <c r="E21" s="381" t="s">
        <v>17</v>
      </c>
      <c r="F21" s="381" t="s">
        <v>1097</v>
      </c>
      <c r="G21" s="390" t="str">
        <f t="shared" si="0"/>
        <v>Rétirédanslesdélais</v>
      </c>
      <c r="H21" s="461" t="s">
        <v>670</v>
      </c>
      <c r="I21" s="462">
        <v>45771</v>
      </c>
      <c r="J21" s="470">
        <v>0</v>
      </c>
      <c r="K21" s="381"/>
      <c r="L21" s="381"/>
      <c r="M21" s="381"/>
    </row>
    <row r="22" spans="1:13" ht="15.75" x14ac:dyDescent="0.25">
      <c r="A22" s="397">
        <v>15</v>
      </c>
      <c r="B22" s="479">
        <v>4054546960</v>
      </c>
      <c r="C22" s="478" t="s">
        <v>355</v>
      </c>
      <c r="D22" s="433" t="s">
        <v>1075</v>
      </c>
      <c r="E22" s="381" t="s">
        <v>17</v>
      </c>
      <c r="F22" s="381" t="s">
        <v>1097</v>
      </c>
      <c r="G22" s="390" t="str">
        <f t="shared" si="0"/>
        <v>Rétirédanslesdélais</v>
      </c>
      <c r="H22" s="461" t="s">
        <v>677</v>
      </c>
      <c r="I22" s="462">
        <v>45771</v>
      </c>
      <c r="J22" s="470">
        <v>0</v>
      </c>
      <c r="K22" s="381"/>
      <c r="L22" s="381"/>
      <c r="M22" s="381"/>
    </row>
    <row r="23" spans="1:13" ht="15.75" x14ac:dyDescent="0.25">
      <c r="A23" s="397">
        <v>14</v>
      </c>
      <c r="B23" s="479">
        <v>4054546970</v>
      </c>
      <c r="C23" s="478" t="s">
        <v>355</v>
      </c>
      <c r="D23" s="433" t="s">
        <v>1075</v>
      </c>
      <c r="E23" s="381" t="s">
        <v>17</v>
      </c>
      <c r="F23" s="381" t="s">
        <v>1097</v>
      </c>
      <c r="G23" s="390" t="str">
        <f t="shared" si="0"/>
        <v>Rétirédanslesdélais</v>
      </c>
      <c r="H23" s="461" t="s">
        <v>678</v>
      </c>
      <c r="I23" s="462">
        <v>45771</v>
      </c>
      <c r="J23" s="470">
        <v>0</v>
      </c>
      <c r="K23" s="381"/>
      <c r="L23" s="381"/>
      <c r="M23" s="381"/>
    </row>
    <row r="24" spans="1:13" ht="15.75" x14ac:dyDescent="0.25">
      <c r="A24" s="397">
        <v>21</v>
      </c>
      <c r="B24" s="479">
        <v>4054547000</v>
      </c>
      <c r="C24" s="478" t="s">
        <v>355</v>
      </c>
      <c r="D24" s="433" t="s">
        <v>1303</v>
      </c>
      <c r="E24" s="381" t="s">
        <v>259</v>
      </c>
      <c r="F24" s="381" t="s">
        <v>1097</v>
      </c>
      <c r="G24" s="390" t="str">
        <f t="shared" si="0"/>
        <v>Rétirédanslesdélais</v>
      </c>
      <c r="H24" s="461" t="s">
        <v>679</v>
      </c>
      <c r="I24" s="462">
        <v>45771</v>
      </c>
      <c r="J24" s="470">
        <v>0</v>
      </c>
      <c r="K24" s="381"/>
      <c r="L24" s="381"/>
      <c r="M24" s="381"/>
    </row>
    <row r="25" spans="1:13" ht="15.75" x14ac:dyDescent="0.25">
      <c r="A25" s="397">
        <v>9</v>
      </c>
      <c r="B25" s="479">
        <v>4054552790</v>
      </c>
      <c r="C25" s="478" t="s">
        <v>355</v>
      </c>
      <c r="D25" s="433" t="s">
        <v>1259</v>
      </c>
      <c r="E25" s="381" t="s">
        <v>17</v>
      </c>
      <c r="F25" s="381" t="s">
        <v>1097</v>
      </c>
      <c r="G25" s="390" t="str">
        <f t="shared" si="0"/>
        <v>Rétirédanslesdélais</v>
      </c>
      <c r="H25" s="461" t="s">
        <v>680</v>
      </c>
      <c r="I25" s="462">
        <v>45772</v>
      </c>
      <c r="J25" s="470">
        <v>0</v>
      </c>
      <c r="K25" s="381"/>
      <c r="L25" s="381"/>
      <c r="M25" s="381"/>
    </row>
    <row r="26" spans="1:13" ht="15.75" x14ac:dyDescent="0.25">
      <c r="A26" s="397">
        <v>24</v>
      </c>
      <c r="B26" s="479">
        <v>4054558100</v>
      </c>
      <c r="C26" s="478" t="s">
        <v>355</v>
      </c>
      <c r="D26" s="433" t="s">
        <v>1304</v>
      </c>
      <c r="E26" s="381" t="s">
        <v>17</v>
      </c>
      <c r="F26" s="381" t="s">
        <v>1097</v>
      </c>
      <c r="G26" s="390" t="str">
        <f t="shared" si="0"/>
        <v>Rétirétardivement-30000FCFAamende</v>
      </c>
      <c r="H26" s="461" t="s">
        <v>693</v>
      </c>
      <c r="I26" s="462">
        <v>45784</v>
      </c>
      <c r="J26" s="470">
        <v>0</v>
      </c>
      <c r="K26" s="381"/>
      <c r="L26" s="381"/>
      <c r="M26" s="381"/>
    </row>
    <row r="27" spans="1:13" ht="15.75" x14ac:dyDescent="0.25">
      <c r="A27" s="397">
        <v>19</v>
      </c>
      <c r="B27" s="479">
        <v>4054563490</v>
      </c>
      <c r="C27" s="478" t="s">
        <v>465</v>
      </c>
      <c r="D27" s="433" t="s">
        <v>1299</v>
      </c>
      <c r="E27" s="381" t="s">
        <v>1143</v>
      </c>
      <c r="F27" s="381" t="s">
        <v>1097</v>
      </c>
      <c r="G27" s="390" t="str">
        <f t="shared" si="0"/>
        <v>Rétirédanslesdélais</v>
      </c>
      <c r="H27" s="461" t="s">
        <v>664</v>
      </c>
      <c r="I27" s="462">
        <v>45770</v>
      </c>
      <c r="J27" s="470">
        <v>0</v>
      </c>
      <c r="K27" s="381"/>
      <c r="L27" s="381"/>
      <c r="M27" s="381"/>
    </row>
    <row r="28" spans="1:13" ht="15.75" x14ac:dyDescent="0.25">
      <c r="A28" s="397">
        <v>7</v>
      </c>
      <c r="B28" s="479">
        <v>4054568220</v>
      </c>
      <c r="C28" s="478" t="s">
        <v>465</v>
      </c>
      <c r="D28" s="433" t="s">
        <v>1299</v>
      </c>
      <c r="E28" s="381" t="s">
        <v>1143</v>
      </c>
      <c r="F28" s="381" t="s">
        <v>1097</v>
      </c>
      <c r="G28" s="390" t="str">
        <f t="shared" si="0"/>
        <v>Rétirédanslesdélais</v>
      </c>
      <c r="H28" s="461" t="s">
        <v>665</v>
      </c>
      <c r="I28" s="462">
        <v>45770</v>
      </c>
      <c r="J28" s="470">
        <v>0</v>
      </c>
      <c r="K28" s="381"/>
      <c r="L28" s="381"/>
      <c r="M28" s="381"/>
    </row>
  </sheetData>
  <autoFilter ref="A4:M28" xr:uid="{D559034C-E1A8-4788-A336-55187472940D}">
    <filterColumn colId="12" showButton="0"/>
    <sortState xmlns:xlrd2="http://schemas.microsoft.com/office/spreadsheetml/2017/richdata2" ref="A5:M28">
      <sortCondition ref="B4:B28"/>
    </sortState>
  </autoFilter>
  <mergeCells count="2">
    <mergeCell ref="G1:I1"/>
    <mergeCell ref="A2:B2"/>
  </mergeCells>
  <conditionalFormatting sqref="B1:B1048576">
    <cfRule type="duplicateValues" dxfId="1167" priority="1"/>
  </conditionalFormatting>
  <conditionalFormatting sqref="G5:G28">
    <cfRule type="containsText" dxfId="1166" priority="2" operator="containsText" text="En Attente d'un Retrait Tardif">
      <formula>NOT(ISERROR(SEARCH("En Attente d'un Retrait Tardif",G5)))</formula>
    </cfRule>
    <cfRule type="containsText" dxfId="1165" priority="3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C35E-33B0-4C60-96D9-92FB2566A767}">
  <sheetPr codeName="Feuil131">
    <tabColor theme="5" tint="-0.249977111117893"/>
  </sheetPr>
  <dimension ref="A1:M5"/>
  <sheetViews>
    <sheetView zoomScaleNormal="100" workbookViewId="0">
      <selection activeCell="G21" sqref="G21"/>
    </sheetView>
  </sheetViews>
  <sheetFormatPr baseColWidth="10" defaultRowHeight="15" x14ac:dyDescent="0.25"/>
  <cols>
    <col min="1" max="1" width="7.42578125" customWidth="1"/>
    <col min="2" max="2" width="15" style="105" bestFit="1" customWidth="1"/>
    <col min="3" max="3" width="10" style="105" customWidth="1"/>
    <col min="4" max="4" width="40.28515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1269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291</v>
      </c>
      <c r="F2" s="25"/>
      <c r="G2" s="314">
        <v>45805</v>
      </c>
      <c r="H2" s="365">
        <f ca="1">I2-G2</f>
        <v>291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x14ac:dyDescent="0.25">
      <c r="A4" s="481" t="s">
        <v>1</v>
      </c>
      <c r="B4" s="481" t="s">
        <v>2</v>
      </c>
      <c r="C4" s="481" t="s">
        <v>3</v>
      </c>
      <c r="D4" s="481" t="s">
        <v>5</v>
      </c>
      <c r="E4" s="481" t="s">
        <v>1065</v>
      </c>
      <c r="F4" s="481" t="s">
        <v>1066</v>
      </c>
      <c r="G4" s="481" t="s">
        <v>1067</v>
      </c>
      <c r="H4" s="481" t="s">
        <v>167</v>
      </c>
      <c r="I4" s="481" t="s">
        <v>1068</v>
      </c>
      <c r="J4" s="481" t="s">
        <v>8</v>
      </c>
      <c r="K4" s="481" t="s">
        <v>9</v>
      </c>
      <c r="L4" s="481" t="s">
        <v>10</v>
      </c>
      <c r="M4" s="481" t="s">
        <v>11</v>
      </c>
    </row>
    <row r="5" spans="1:13" s="394" customFormat="1" ht="15.75" x14ac:dyDescent="0.25">
      <c r="A5" s="390">
        <v>1</v>
      </c>
      <c r="B5" s="390">
        <v>4054590790</v>
      </c>
      <c r="C5" s="402" t="s">
        <v>360</v>
      </c>
      <c r="D5" s="420" t="s">
        <v>274</v>
      </c>
      <c r="E5" s="390" t="s">
        <v>17</v>
      </c>
      <c r="F5" s="390" t="s">
        <v>1207</v>
      </c>
      <c r="G5" s="390" t="str">
        <f>IF(I5="",IF($E$2&lt;=15,"EnattentedeRetrait","EnAttented'unRetraitTardif"),IF(I5-$G$2&lt;=15,"Rétirédanslesdélais",IF(I5-$G$2&gt;15,"Rétirétardivement-30000FCFAamende")))</f>
        <v>Rétirédanslesdélais</v>
      </c>
      <c r="H5" s="390" t="s">
        <v>722</v>
      </c>
      <c r="I5" s="493">
        <v>45791</v>
      </c>
      <c r="J5" s="390"/>
      <c r="K5" s="390"/>
      <c r="L5" s="390"/>
      <c r="M5" s="390"/>
    </row>
  </sheetData>
  <autoFilter ref="A4:M5" xr:uid="{D559034C-E1A8-4788-A336-55187472940D}">
    <filterColumn colId="12" showButton="0"/>
    <sortState xmlns:xlrd2="http://schemas.microsoft.com/office/spreadsheetml/2017/richdata2" ref="A5:M5">
      <sortCondition ref="C4:C5"/>
    </sortState>
  </autoFilter>
  <mergeCells count="2">
    <mergeCell ref="G1:I1"/>
    <mergeCell ref="A2:B2"/>
  </mergeCells>
  <conditionalFormatting sqref="A5:B5">
    <cfRule type="containsText" dxfId="1164" priority="5" operator="containsText" text="En Attente d'un Retrait Tardif">
      <formula>NOT(ISERROR(SEARCH("En Attente d'un Retrait Tardif",A5)))</formula>
    </cfRule>
    <cfRule type="containsText" dxfId="1163" priority="6" operator="containsText" text="Rétiré dans les délais">
      <formula>NOT(ISERROR(SEARCH("Rétiré dans les délais",A5)))</formula>
    </cfRule>
  </conditionalFormatting>
  <conditionalFormatting sqref="B1:B3 B6:B1048576">
    <cfRule type="duplicateValues" dxfId="1162" priority="1592"/>
  </conditionalFormatting>
  <conditionalFormatting sqref="B6:B1048576 B1:B3">
    <cfRule type="duplicateValues" dxfId="1161" priority="1595"/>
  </conditionalFormatting>
  <conditionalFormatting sqref="D5:M5">
    <cfRule type="containsText" dxfId="1160" priority="3" operator="containsText" text="En Attente d'un Retrait Tardif">
      <formula>NOT(ISERROR(SEARCH("En Attente d'un Retrait Tardif",D5)))</formula>
    </cfRule>
    <cfRule type="containsText" dxfId="1159" priority="4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0067-FA01-4157-B259-E031919FAEFB}">
  <sheetPr codeName="Feuil132">
    <tabColor theme="5" tint="-0.249977111117893"/>
  </sheetPr>
  <dimension ref="A1:M12"/>
  <sheetViews>
    <sheetView workbookViewId="0">
      <selection activeCell="B10" sqref="B10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59" customWidth="1"/>
    <col min="5" max="5" width="14.425781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1305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331</v>
      </c>
      <c r="F2" s="25"/>
      <c r="G2" s="314">
        <v>45765</v>
      </c>
      <c r="H2" s="365">
        <f ca="1">I2-G2</f>
        <v>331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290" t="s">
        <v>1</v>
      </c>
      <c r="B4" s="476" t="s">
        <v>2</v>
      </c>
      <c r="C4" s="476" t="s">
        <v>3</v>
      </c>
      <c r="D4" s="477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473">
        <v>1</v>
      </c>
      <c r="B5" s="275">
        <v>2157829660</v>
      </c>
      <c r="C5" s="474" t="s">
        <v>26</v>
      </c>
      <c r="D5" s="475" t="s">
        <v>1202</v>
      </c>
      <c r="E5" s="381" t="s">
        <v>17</v>
      </c>
      <c r="F5" s="381" t="s">
        <v>1143</v>
      </c>
      <c r="G5" s="390" t="str">
        <f t="shared" ref="G5:G12" si="0">IF(I5="",IF($E$2&lt;=15,"EnattentedeRetrait","EnAttented'unRetraitTardif"),IF(I5-$G$2&lt;=15,"Rétirédanslesdélais",IF(I5-$G$2&gt;15,"Rétirétardivement-30000FCFAamende")))</f>
        <v>Rétirédanslesdélais</v>
      </c>
      <c r="H5" s="461" t="s">
        <v>669</v>
      </c>
      <c r="I5" s="462">
        <v>45771</v>
      </c>
      <c r="J5" s="470">
        <v>0</v>
      </c>
      <c r="K5" s="381"/>
      <c r="L5" s="381"/>
      <c r="M5" s="381"/>
    </row>
    <row r="6" spans="1:13" s="394" customFormat="1" ht="15.75" x14ac:dyDescent="0.25">
      <c r="A6" s="397">
        <v>2</v>
      </c>
      <c r="B6" s="275">
        <v>4054471211</v>
      </c>
      <c r="C6" s="474" t="s">
        <v>26</v>
      </c>
      <c r="D6" s="433" t="s">
        <v>1306</v>
      </c>
      <c r="E6" s="381" t="s">
        <v>17</v>
      </c>
      <c r="F6" s="381" t="s">
        <v>1097</v>
      </c>
      <c r="G6" s="390" t="str">
        <f t="shared" si="0"/>
        <v>Rétirédanslesdélais</v>
      </c>
      <c r="H6" s="461" t="s">
        <v>661</v>
      </c>
      <c r="I6" s="462">
        <v>45770</v>
      </c>
      <c r="J6" s="470">
        <v>0</v>
      </c>
      <c r="K6" s="381"/>
      <c r="L6" s="381"/>
      <c r="M6" s="381"/>
    </row>
    <row r="7" spans="1:13" s="346" customFormat="1" ht="15" customHeight="1" x14ac:dyDescent="0.25">
      <c r="A7" s="473">
        <v>3</v>
      </c>
      <c r="B7" s="275">
        <v>4054532920</v>
      </c>
      <c r="C7" s="474" t="s">
        <v>26</v>
      </c>
      <c r="D7" s="433" t="s">
        <v>1306</v>
      </c>
      <c r="E7" s="381" t="s">
        <v>17</v>
      </c>
      <c r="F7" s="381" t="s">
        <v>1207</v>
      </c>
      <c r="G7" s="390" t="str">
        <f t="shared" si="0"/>
        <v>Rétirédanslesdélais</v>
      </c>
      <c r="H7" s="461" t="s">
        <v>660</v>
      </c>
      <c r="I7" s="462">
        <v>45770</v>
      </c>
      <c r="J7" s="470">
        <v>0</v>
      </c>
      <c r="K7" s="381"/>
      <c r="L7" s="381"/>
      <c r="M7" s="381"/>
    </row>
    <row r="8" spans="1:13" s="346" customFormat="1" ht="15.75" x14ac:dyDescent="0.25">
      <c r="A8" s="397">
        <v>4</v>
      </c>
      <c r="B8" s="275">
        <v>4054532990</v>
      </c>
      <c r="C8" s="474" t="s">
        <v>26</v>
      </c>
      <c r="D8" s="433" t="s">
        <v>1306</v>
      </c>
      <c r="E8" s="381" t="s">
        <v>17</v>
      </c>
      <c r="F8" s="381" t="s">
        <v>1207</v>
      </c>
      <c r="G8" s="390" t="str">
        <f t="shared" si="0"/>
        <v>Rétirédanslesdélais</v>
      </c>
      <c r="H8" s="461" t="s">
        <v>667</v>
      </c>
      <c r="I8" s="462">
        <v>45771</v>
      </c>
      <c r="J8" s="470">
        <v>0</v>
      </c>
      <c r="K8" s="381"/>
      <c r="L8" s="381"/>
      <c r="M8" s="381"/>
    </row>
    <row r="9" spans="1:13" ht="15.75" x14ac:dyDescent="0.25">
      <c r="A9" s="473">
        <v>5</v>
      </c>
      <c r="B9" s="339">
        <v>4054568100</v>
      </c>
      <c r="C9" s="474" t="s">
        <v>26</v>
      </c>
      <c r="D9" s="433" t="s">
        <v>1278</v>
      </c>
      <c r="E9" s="381" t="s">
        <v>17</v>
      </c>
      <c r="F9" s="381" t="s">
        <v>1097</v>
      </c>
      <c r="G9" s="390" t="str">
        <f t="shared" si="0"/>
        <v>Rétirédanslesdélais</v>
      </c>
      <c r="H9" s="461" t="s">
        <v>685</v>
      </c>
      <c r="I9" s="462">
        <v>45775</v>
      </c>
      <c r="J9" s="470">
        <v>0</v>
      </c>
      <c r="K9" s="381"/>
      <c r="L9" s="381"/>
      <c r="M9" s="381"/>
    </row>
    <row r="10" spans="1:13" ht="15.75" x14ac:dyDescent="0.25">
      <c r="A10" s="397">
        <v>6</v>
      </c>
      <c r="B10" s="339">
        <v>4054568107</v>
      </c>
      <c r="C10" s="474" t="s">
        <v>26</v>
      </c>
      <c r="D10" s="433" t="s">
        <v>1278</v>
      </c>
      <c r="E10" s="381" t="s">
        <v>17</v>
      </c>
      <c r="F10" s="381" t="s">
        <v>1097</v>
      </c>
      <c r="G10" s="390" t="str">
        <f t="shared" si="0"/>
        <v>Rétirédanslesdélais</v>
      </c>
      <c r="H10" s="461" t="s">
        <v>684</v>
      </c>
      <c r="I10" s="462">
        <v>45775</v>
      </c>
      <c r="J10" s="470">
        <v>0</v>
      </c>
      <c r="K10" s="381"/>
      <c r="L10" s="381"/>
      <c r="M10" s="381"/>
    </row>
    <row r="11" spans="1:13" ht="15.75" x14ac:dyDescent="0.25">
      <c r="A11" s="473">
        <v>7</v>
      </c>
      <c r="B11" s="339">
        <v>4054568108</v>
      </c>
      <c r="C11" s="474" t="s">
        <v>26</v>
      </c>
      <c r="D11" s="433" t="s">
        <v>1278</v>
      </c>
      <c r="E11" s="381" t="s">
        <v>17</v>
      </c>
      <c r="F11" s="381" t="s">
        <v>1097</v>
      </c>
      <c r="G11" s="390" t="str">
        <f t="shared" si="0"/>
        <v>Rétirédanslesdélais</v>
      </c>
      <c r="H11" s="461" t="s">
        <v>682</v>
      </c>
      <c r="I11" s="462">
        <v>45775</v>
      </c>
      <c r="J11" s="470">
        <v>0</v>
      </c>
      <c r="K11" s="381"/>
      <c r="L11" s="381"/>
      <c r="M11" s="381"/>
    </row>
    <row r="12" spans="1:13" ht="15.75" x14ac:dyDescent="0.25">
      <c r="A12" s="397">
        <v>8</v>
      </c>
      <c r="B12" s="339">
        <v>4054568109</v>
      </c>
      <c r="C12" s="474" t="s">
        <v>26</v>
      </c>
      <c r="D12" s="433" t="s">
        <v>1278</v>
      </c>
      <c r="E12" s="381" t="s">
        <v>17</v>
      </c>
      <c r="F12" s="381" t="s">
        <v>1097</v>
      </c>
      <c r="G12" s="390" t="str">
        <f t="shared" si="0"/>
        <v>Rétirédanslesdélais</v>
      </c>
      <c r="H12" s="461" t="s">
        <v>683</v>
      </c>
      <c r="I12" s="462">
        <v>45775</v>
      </c>
      <c r="J12" s="470">
        <v>0</v>
      </c>
      <c r="K12" s="381"/>
      <c r="L12" s="381"/>
      <c r="M12" s="381"/>
    </row>
  </sheetData>
  <autoFilter ref="A4:M12" xr:uid="{D559034C-E1A8-4788-A336-55187472940D}">
    <filterColumn colId="12" showButton="0"/>
    <sortState xmlns:xlrd2="http://schemas.microsoft.com/office/spreadsheetml/2017/richdata2" ref="A5:M12">
      <sortCondition ref="C4:C12"/>
    </sortState>
  </autoFilter>
  <mergeCells count="2">
    <mergeCell ref="G1:I1"/>
    <mergeCell ref="A2:B2"/>
  </mergeCells>
  <conditionalFormatting sqref="B5:B12">
    <cfRule type="containsText" dxfId="1158" priority="1" operator="containsText" text="En Attente d'un Retrait Tardif">
      <formula>NOT(ISERROR(SEARCH("En Attente d'un Retrait Tardif",B5)))</formula>
    </cfRule>
    <cfRule type="containsText" dxfId="1157" priority="2" operator="containsText" text="Rétiré dans les délais">
      <formula>NOT(ISERROR(SEARCH("Rétiré dans les délais",B5)))</formula>
    </cfRule>
  </conditionalFormatting>
  <conditionalFormatting sqref="G5:G12">
    <cfRule type="containsText" dxfId="1156" priority="3" operator="containsText" text="En Attente d'un Retrait Tardif">
      <formula>NOT(ISERROR(SEARCH("En Attente d'un Retrait Tardif",G5)))</formula>
    </cfRule>
    <cfRule type="containsText" dxfId="1155" priority="4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D7A3-FB99-4F07-AC2E-F3263ADEC139}">
  <sheetPr codeName="Feuil133">
    <tabColor theme="5" tint="-0.249977111117893"/>
  </sheetPr>
  <dimension ref="A1:M18"/>
  <sheetViews>
    <sheetView workbookViewId="0">
      <selection activeCell="B8" sqref="B8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4.14062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1307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338</v>
      </c>
      <c r="F2" s="25"/>
      <c r="G2" s="314">
        <v>45758</v>
      </c>
      <c r="H2" s="365">
        <f ca="1">I2-G2</f>
        <v>338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456">
        <v>4054526040</v>
      </c>
      <c r="C5" s="469" t="s">
        <v>645</v>
      </c>
      <c r="D5" s="433" t="s">
        <v>1122</v>
      </c>
      <c r="E5" s="385" t="s">
        <v>17</v>
      </c>
      <c r="F5" s="381" t="s">
        <v>1070</v>
      </c>
      <c r="G5" s="390" t="str">
        <f t="shared" ref="G5:G18" si="0">IF(I5="",IF($E$2&lt;=15,"EnattentedeRetrait","EnAttented'unRetraitTardif"),IF(I5-$G$2&lt;=15,"Rétirédanslesdélais",IF(I5-$G$2&gt;15,"Rétirétardivement-30000FCFAamende")))</f>
        <v>Rétirétardivement-30000FCFAamende</v>
      </c>
      <c r="H5" s="461" t="s">
        <v>710</v>
      </c>
      <c r="I5" s="462">
        <v>45786</v>
      </c>
      <c r="J5" s="470">
        <v>0</v>
      </c>
      <c r="K5" s="381"/>
      <c r="L5" s="381"/>
      <c r="M5" s="381"/>
    </row>
    <row r="6" spans="1:13" s="394" customFormat="1" ht="15.75" x14ac:dyDescent="0.25">
      <c r="A6" s="397">
        <v>2</v>
      </c>
      <c r="B6" s="456">
        <v>4054526041</v>
      </c>
      <c r="C6" s="469" t="s">
        <v>645</v>
      </c>
      <c r="D6" s="433" t="s">
        <v>1122</v>
      </c>
      <c r="E6" s="385" t="s">
        <v>17</v>
      </c>
      <c r="F6" s="381" t="s">
        <v>1070</v>
      </c>
      <c r="G6" s="390" t="str">
        <f t="shared" si="0"/>
        <v>Rétirétardivement-30000FCFAamende</v>
      </c>
      <c r="H6" s="461" t="s">
        <v>712</v>
      </c>
      <c r="I6" s="462">
        <v>45786</v>
      </c>
      <c r="J6" s="470" t="s">
        <v>709</v>
      </c>
      <c r="K6" s="381"/>
      <c r="L6" s="381"/>
      <c r="M6" s="381"/>
    </row>
    <row r="7" spans="1:13" s="346" customFormat="1" ht="15" customHeight="1" x14ac:dyDescent="0.25">
      <c r="A7" s="397">
        <v>3</v>
      </c>
      <c r="B7" s="456">
        <v>4054561630</v>
      </c>
      <c r="C7" s="469" t="s">
        <v>645</v>
      </c>
      <c r="D7" s="433" t="s">
        <v>1177</v>
      </c>
      <c r="E7" s="385" t="s">
        <v>17</v>
      </c>
      <c r="F7" s="381" t="s">
        <v>1070</v>
      </c>
      <c r="G7" s="390" t="str">
        <f t="shared" si="0"/>
        <v>Rétirétardivement-30000FCFAamende</v>
      </c>
      <c r="H7" s="461" t="s">
        <v>711</v>
      </c>
      <c r="I7" s="462">
        <v>45786</v>
      </c>
      <c r="J7" s="470">
        <v>0</v>
      </c>
      <c r="K7" s="381"/>
      <c r="L7" s="381"/>
      <c r="M7" s="381"/>
    </row>
    <row r="8" spans="1:13" s="346" customFormat="1" ht="15.75" x14ac:dyDescent="0.25">
      <c r="A8" s="397">
        <v>4</v>
      </c>
      <c r="B8" s="456">
        <v>4054471210</v>
      </c>
      <c r="C8" s="469" t="s">
        <v>26</v>
      </c>
      <c r="D8" s="433" t="s">
        <v>1308</v>
      </c>
      <c r="E8" s="385" t="s">
        <v>17</v>
      </c>
      <c r="F8" s="381" t="s">
        <v>1097</v>
      </c>
      <c r="G8" s="390" t="str">
        <f t="shared" si="0"/>
        <v>Rétirédanslesdélais</v>
      </c>
      <c r="H8" s="461" t="s">
        <v>652</v>
      </c>
      <c r="I8" s="462">
        <v>45762</v>
      </c>
      <c r="J8" s="470">
        <v>0</v>
      </c>
      <c r="K8" s="381"/>
      <c r="L8" s="381"/>
      <c r="M8" s="381"/>
    </row>
    <row r="9" spans="1:13" ht="15.75" x14ac:dyDescent="0.25">
      <c r="A9" s="397">
        <v>5</v>
      </c>
      <c r="B9" s="456">
        <v>4054516020</v>
      </c>
      <c r="C9" s="469" t="s">
        <v>26</v>
      </c>
      <c r="D9" s="433" t="s">
        <v>1309</v>
      </c>
      <c r="E9" s="385" t="s">
        <v>17</v>
      </c>
      <c r="F9" s="381" t="s">
        <v>1070</v>
      </c>
      <c r="G9" s="390" t="str">
        <f t="shared" si="0"/>
        <v>Rétirédanslesdélais</v>
      </c>
      <c r="H9" s="461" t="s">
        <v>655</v>
      </c>
      <c r="I9" s="462">
        <v>45763</v>
      </c>
      <c r="J9" s="470">
        <v>0</v>
      </c>
      <c r="K9" s="381"/>
      <c r="L9" s="381"/>
      <c r="M9" s="381"/>
    </row>
    <row r="10" spans="1:13" ht="15.75" x14ac:dyDescent="0.25">
      <c r="A10" s="397">
        <v>6</v>
      </c>
      <c r="B10" s="456">
        <v>4054516060</v>
      </c>
      <c r="C10" s="469" t="s">
        <v>26</v>
      </c>
      <c r="D10" s="433" t="s">
        <v>1141</v>
      </c>
      <c r="E10" s="385" t="s">
        <v>17</v>
      </c>
      <c r="F10" s="381" t="s">
        <v>1070</v>
      </c>
      <c r="G10" s="390" t="str">
        <f t="shared" si="0"/>
        <v>Rétirédanslesdélais</v>
      </c>
      <c r="H10" s="461" t="s">
        <v>646</v>
      </c>
      <c r="I10" s="462">
        <v>45762</v>
      </c>
      <c r="J10" s="470">
        <v>0</v>
      </c>
      <c r="K10" s="381"/>
      <c r="L10" s="381"/>
      <c r="M10" s="381"/>
    </row>
    <row r="11" spans="1:13" ht="15.75" x14ac:dyDescent="0.25">
      <c r="A11" s="397">
        <v>7</v>
      </c>
      <c r="B11" s="456">
        <v>4054520150</v>
      </c>
      <c r="C11" s="469" t="s">
        <v>26</v>
      </c>
      <c r="D11" s="433" t="s">
        <v>1310</v>
      </c>
      <c r="E11" s="385" t="s">
        <v>17</v>
      </c>
      <c r="F11" s="381" t="s">
        <v>1070</v>
      </c>
      <c r="G11" s="390" t="str">
        <f t="shared" si="0"/>
        <v>Rétirédanslesdélais</v>
      </c>
      <c r="H11" s="455" t="s">
        <v>658</v>
      </c>
      <c r="I11" s="472">
        <v>45764</v>
      </c>
      <c r="J11" s="471">
        <v>320000</v>
      </c>
      <c r="K11" s="381"/>
      <c r="L11" s="381"/>
      <c r="M11" s="381"/>
    </row>
    <row r="12" spans="1:13" ht="15.75" x14ac:dyDescent="0.25">
      <c r="A12" s="397">
        <v>8</v>
      </c>
      <c r="B12" s="456">
        <v>4054522670</v>
      </c>
      <c r="C12" s="469" t="s">
        <v>26</v>
      </c>
      <c r="D12" s="433" t="s">
        <v>1105</v>
      </c>
      <c r="E12" s="385" t="s">
        <v>17</v>
      </c>
      <c r="F12" s="381" t="s">
        <v>1070</v>
      </c>
      <c r="G12" s="390" t="str">
        <f t="shared" si="0"/>
        <v>Rétirédanslesdélais</v>
      </c>
      <c r="H12" s="455" t="s">
        <v>651</v>
      </c>
      <c r="I12" s="472">
        <v>45762</v>
      </c>
      <c r="J12" s="471">
        <v>40000</v>
      </c>
      <c r="K12" s="381"/>
      <c r="L12" s="381"/>
      <c r="M12" s="381"/>
    </row>
    <row r="13" spans="1:13" ht="15.75" x14ac:dyDescent="0.25">
      <c r="A13" s="397">
        <v>9</v>
      </c>
      <c r="B13" s="456">
        <v>4054528690</v>
      </c>
      <c r="C13" s="469" t="s">
        <v>26</v>
      </c>
      <c r="D13" s="433" t="s">
        <v>256</v>
      </c>
      <c r="E13" s="385" t="s">
        <v>17</v>
      </c>
      <c r="F13" s="381" t="s">
        <v>1070</v>
      </c>
      <c r="G13" s="390" t="str">
        <f t="shared" si="0"/>
        <v>Rétirédanslesdélais</v>
      </c>
      <c r="H13" s="461" t="s">
        <v>654</v>
      </c>
      <c r="I13" s="462">
        <v>45763</v>
      </c>
      <c r="J13" s="470">
        <v>0</v>
      </c>
      <c r="K13" s="381"/>
      <c r="L13" s="381"/>
      <c r="M13" s="381"/>
    </row>
    <row r="14" spans="1:13" ht="15.75" x14ac:dyDescent="0.25">
      <c r="A14" s="397">
        <v>10</v>
      </c>
      <c r="B14" s="456">
        <v>4054529190</v>
      </c>
      <c r="C14" s="469" t="s">
        <v>26</v>
      </c>
      <c r="D14" s="433" t="s">
        <v>1122</v>
      </c>
      <c r="E14" s="385" t="s">
        <v>17</v>
      </c>
      <c r="F14" s="381" t="s">
        <v>1070</v>
      </c>
      <c r="G14" s="390" t="str">
        <f t="shared" si="0"/>
        <v>Rétirédanslesdélais</v>
      </c>
      <c r="H14" s="461" t="s">
        <v>647</v>
      </c>
      <c r="I14" s="462">
        <v>45762</v>
      </c>
      <c r="J14" s="470">
        <v>0</v>
      </c>
      <c r="K14" s="381"/>
      <c r="L14" s="381"/>
      <c r="M14" s="381"/>
    </row>
    <row r="15" spans="1:13" ht="15.75" x14ac:dyDescent="0.25">
      <c r="A15" s="397">
        <v>11</v>
      </c>
      <c r="B15" s="456">
        <v>4054529200</v>
      </c>
      <c r="C15" s="469" t="s">
        <v>26</v>
      </c>
      <c r="D15" s="433" t="s">
        <v>1122</v>
      </c>
      <c r="E15" s="385" t="s">
        <v>17</v>
      </c>
      <c r="F15" s="381" t="s">
        <v>1070</v>
      </c>
      <c r="G15" s="390" t="str">
        <f t="shared" si="0"/>
        <v>Rétirédanslesdélais</v>
      </c>
      <c r="H15" s="461" t="s">
        <v>648</v>
      </c>
      <c r="I15" s="462">
        <v>45762</v>
      </c>
      <c r="J15" s="470">
        <v>0</v>
      </c>
      <c r="K15" s="381"/>
      <c r="L15" s="381"/>
      <c r="M15" s="381"/>
    </row>
    <row r="16" spans="1:13" ht="15.75" x14ac:dyDescent="0.25">
      <c r="A16" s="397">
        <v>12</v>
      </c>
      <c r="B16" s="456">
        <v>4054529210</v>
      </c>
      <c r="C16" s="469" t="s">
        <v>26</v>
      </c>
      <c r="D16" s="433" t="s">
        <v>1311</v>
      </c>
      <c r="E16" s="385" t="s">
        <v>17</v>
      </c>
      <c r="F16" s="381" t="s">
        <v>1070</v>
      </c>
      <c r="G16" s="390" t="str">
        <f t="shared" si="0"/>
        <v>Rétirédanslesdélais</v>
      </c>
      <c r="H16" s="461" t="s">
        <v>649</v>
      </c>
      <c r="I16" s="462">
        <v>45762</v>
      </c>
      <c r="J16" s="470">
        <v>0</v>
      </c>
      <c r="K16" s="381"/>
      <c r="L16" s="381"/>
      <c r="M16" s="381"/>
    </row>
    <row r="17" spans="1:13" ht="15.75" x14ac:dyDescent="0.25">
      <c r="A17" s="397">
        <v>13</v>
      </c>
      <c r="B17" s="456">
        <v>4054529230</v>
      </c>
      <c r="C17" s="469" t="s">
        <v>26</v>
      </c>
      <c r="D17" s="433" t="s">
        <v>1122</v>
      </c>
      <c r="E17" s="385" t="s">
        <v>17</v>
      </c>
      <c r="F17" s="381" t="s">
        <v>1070</v>
      </c>
      <c r="G17" s="390" t="str">
        <f t="shared" si="0"/>
        <v>Rétirédanslesdélais</v>
      </c>
      <c r="H17" s="461" t="s">
        <v>650</v>
      </c>
      <c r="I17" s="462">
        <v>45762</v>
      </c>
      <c r="J17" s="470">
        <v>0</v>
      </c>
      <c r="K17" s="381"/>
      <c r="L17" s="381"/>
      <c r="M17" s="381"/>
    </row>
    <row r="18" spans="1:13" ht="15.75" x14ac:dyDescent="0.25">
      <c r="A18" s="397">
        <v>14</v>
      </c>
      <c r="B18" s="456">
        <v>4054550720</v>
      </c>
      <c r="C18" s="469" t="s">
        <v>26</v>
      </c>
      <c r="D18" s="433" t="s">
        <v>1312</v>
      </c>
      <c r="E18" s="385" t="s">
        <v>17</v>
      </c>
      <c r="F18" s="381" t="s">
        <v>1070</v>
      </c>
      <c r="G18" s="390" t="str">
        <f t="shared" si="0"/>
        <v>Rétirédanslesdélais</v>
      </c>
      <c r="H18" s="461" t="s">
        <v>656</v>
      </c>
      <c r="I18" s="462">
        <v>45764</v>
      </c>
      <c r="J18" s="470">
        <v>0</v>
      </c>
      <c r="K18" s="381"/>
      <c r="L18" s="381"/>
      <c r="M18" s="381"/>
    </row>
  </sheetData>
  <autoFilter ref="A4:M18" xr:uid="{D559034C-E1A8-4788-A336-55187472940D}">
    <filterColumn colId="12" showButton="0"/>
    <sortState xmlns:xlrd2="http://schemas.microsoft.com/office/spreadsheetml/2017/richdata2" ref="A5:M18">
      <sortCondition ref="C4:C18"/>
    </sortState>
  </autoFilter>
  <mergeCells count="2">
    <mergeCell ref="G1:I1"/>
    <mergeCell ref="A2:B2"/>
  </mergeCells>
  <conditionalFormatting sqref="G5:G18">
    <cfRule type="containsText" dxfId="1154" priority="1" operator="containsText" text="En Attente d'un Retrait Tardif">
      <formula>NOT(ISERROR(SEARCH("En Attente d'un Retrait Tardif",G5)))</formula>
    </cfRule>
    <cfRule type="containsText" dxfId="1153" priority="2" operator="containsText" text="Rétiré dans les délais">
      <formula>NOT(ISERROR(SEARCH("Rétiré dans les délais",G5)))</formula>
    </cfRule>
  </conditionalFormatting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6CCE-24FB-4DDD-B9DF-B2F338041A60}">
  <sheetPr codeName="Feuil134">
    <tabColor theme="5" tint="-0.249977111117893"/>
  </sheetPr>
  <dimension ref="A1:L20"/>
  <sheetViews>
    <sheetView workbookViewId="0">
      <selection activeCell="C21" sqref="C21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43.140625" customWidth="1"/>
    <col min="4" max="4" width="13.140625" customWidth="1"/>
    <col min="5" max="5" width="24" customWidth="1"/>
    <col min="6" max="6" width="30.85546875" customWidth="1"/>
    <col min="7" max="7" width="24.140625" customWidth="1"/>
    <col min="8" max="8" width="19.28515625" customWidth="1"/>
    <col min="9" max="9" width="28" customWidth="1"/>
    <col min="12" max="12" width="27.28515625" customWidth="1"/>
  </cols>
  <sheetData>
    <row r="1" spans="1:12" ht="19.5" thickBot="1" x14ac:dyDescent="0.35">
      <c r="A1" s="348" t="s">
        <v>1313</v>
      </c>
      <c r="B1" s="431"/>
      <c r="C1" s="288"/>
      <c r="D1" s="288"/>
      <c r="E1" s="288"/>
      <c r="F1" s="729"/>
      <c r="G1" s="729"/>
      <c r="H1" s="729"/>
      <c r="I1" s="208"/>
      <c r="J1" s="208"/>
      <c r="K1" s="208"/>
    </row>
    <row r="2" spans="1:12" ht="24" thickBot="1" x14ac:dyDescent="0.3">
      <c r="A2" s="730" t="s">
        <v>0</v>
      </c>
      <c r="B2" s="730"/>
      <c r="C2" s="25"/>
      <c r="D2" s="358">
        <f ca="1">H2-F2</f>
        <v>355</v>
      </c>
      <c r="E2" s="25"/>
      <c r="F2" s="314">
        <v>45741</v>
      </c>
      <c r="G2" s="365">
        <f ca="1">H2-F2</f>
        <v>355</v>
      </c>
      <c r="H2" s="315">
        <f ca="1">TODAY()</f>
        <v>46096</v>
      </c>
      <c r="I2" s="340"/>
      <c r="J2" s="340"/>
      <c r="K2" s="208"/>
    </row>
    <row r="3" spans="1:12" x14ac:dyDescent="0.25">
      <c r="C3" s="292"/>
      <c r="D3" s="292"/>
      <c r="E3" s="292"/>
      <c r="F3" s="105"/>
      <c r="G3" s="105"/>
      <c r="H3" s="208"/>
      <c r="I3" s="208"/>
      <c r="J3" s="208"/>
      <c r="K3" s="369"/>
    </row>
    <row r="4" spans="1:12" ht="17.25" x14ac:dyDescent="0.25">
      <c r="A4" s="318" t="s">
        <v>1</v>
      </c>
      <c r="B4" s="434" t="s">
        <v>2</v>
      </c>
      <c r="C4" s="336" t="s">
        <v>5</v>
      </c>
      <c r="D4" s="318" t="s">
        <v>1065</v>
      </c>
      <c r="E4" s="318" t="s">
        <v>1066</v>
      </c>
      <c r="F4" s="318" t="s">
        <v>1067</v>
      </c>
      <c r="G4" s="318" t="s">
        <v>167</v>
      </c>
      <c r="H4" s="318" t="s">
        <v>1068</v>
      </c>
      <c r="I4" s="318" t="s">
        <v>8</v>
      </c>
      <c r="J4" s="318" t="s">
        <v>9</v>
      </c>
      <c r="K4" s="318" t="s">
        <v>10</v>
      </c>
      <c r="L4" s="318" t="s">
        <v>11</v>
      </c>
    </row>
    <row r="5" spans="1:12" s="394" customFormat="1" ht="15.75" x14ac:dyDescent="0.25">
      <c r="A5" s="397">
        <v>1</v>
      </c>
      <c r="B5" s="455">
        <v>4054464070</v>
      </c>
      <c r="C5" s="433" t="s">
        <v>1314</v>
      </c>
      <c r="D5" s="381" t="s">
        <v>17</v>
      </c>
      <c r="E5" s="381" t="s">
        <v>1207</v>
      </c>
      <c r="F5" s="390" t="str">
        <f t="shared" ref="F5:F11" si="0">IF(H5="",IF($D$2&lt;=15,"EnattentedeRetrait","EnAttented'unRetraitTardif"),IF(H5-$F$2&lt;=15,"Rétirédanslesdélais",IF(H5-$F$2&gt;15,"Rétirétardivement-30000FCFAamende")))</f>
        <v>Rétirédanslesdélais</v>
      </c>
      <c r="G5" s="461" t="s">
        <v>632</v>
      </c>
      <c r="H5" s="462">
        <v>45748</v>
      </c>
      <c r="I5" s="461">
        <v>0</v>
      </c>
      <c r="J5" s="381"/>
      <c r="K5" s="381"/>
      <c r="L5" s="381"/>
    </row>
    <row r="6" spans="1:12" s="394" customFormat="1" ht="15.75" x14ac:dyDescent="0.25">
      <c r="A6" s="397">
        <v>2</v>
      </c>
      <c r="B6" s="467">
        <v>4054479660</v>
      </c>
      <c r="C6" s="433" t="s">
        <v>1108</v>
      </c>
      <c r="D6" s="381" t="s">
        <v>17</v>
      </c>
      <c r="E6" s="381" t="s">
        <v>1315</v>
      </c>
      <c r="F6" s="390" t="str">
        <f t="shared" si="0"/>
        <v>Rétirétardivement-30000FCFAamende</v>
      </c>
      <c r="G6" s="461" t="s">
        <v>668</v>
      </c>
      <c r="H6" s="462">
        <v>45771</v>
      </c>
      <c r="I6" s="461">
        <v>264000</v>
      </c>
      <c r="J6" s="381"/>
      <c r="K6" s="381"/>
      <c r="L6" s="381"/>
    </row>
    <row r="7" spans="1:12" s="346" customFormat="1" ht="15" customHeight="1" x14ac:dyDescent="0.25">
      <c r="A7" s="397">
        <v>3</v>
      </c>
      <c r="B7" s="455">
        <v>4054505520</v>
      </c>
      <c r="C7" s="433" t="s">
        <v>1316</v>
      </c>
      <c r="D7" s="381" t="s">
        <v>17</v>
      </c>
      <c r="E7" s="381" t="s">
        <v>1207</v>
      </c>
      <c r="F7" s="390" t="str">
        <f t="shared" si="0"/>
        <v>Rétirédanslesdélais</v>
      </c>
      <c r="G7" s="461" t="s">
        <v>639</v>
      </c>
      <c r="H7" s="462">
        <v>45756</v>
      </c>
      <c r="I7" s="461">
        <v>0</v>
      </c>
      <c r="J7" s="381"/>
      <c r="K7" s="381"/>
      <c r="L7" s="381"/>
    </row>
    <row r="8" spans="1:12" s="346" customFormat="1" ht="15.75" x14ac:dyDescent="0.25">
      <c r="A8" s="397">
        <v>4</v>
      </c>
      <c r="B8" s="455">
        <v>4054520220</v>
      </c>
      <c r="C8" s="433" t="s">
        <v>1223</v>
      </c>
      <c r="D8" s="381" t="s">
        <v>17</v>
      </c>
      <c r="E8" s="381" t="s">
        <v>1207</v>
      </c>
      <c r="F8" s="390" t="str">
        <f t="shared" si="0"/>
        <v>Rétirédanslesdélais</v>
      </c>
      <c r="G8" s="461" t="s">
        <v>629</v>
      </c>
      <c r="H8" s="462">
        <v>45742</v>
      </c>
      <c r="I8" s="461">
        <v>0</v>
      </c>
      <c r="J8" s="381"/>
      <c r="K8" s="381"/>
      <c r="L8" s="381"/>
    </row>
    <row r="9" spans="1:12" ht="15.75" x14ac:dyDescent="0.25">
      <c r="A9" s="397">
        <v>5</v>
      </c>
      <c r="B9" s="455">
        <v>4054522660</v>
      </c>
      <c r="C9" s="433" t="s">
        <v>1105</v>
      </c>
      <c r="D9" s="381" t="s">
        <v>17</v>
      </c>
      <c r="E9" s="381" t="s">
        <v>1207</v>
      </c>
      <c r="F9" s="390" t="str">
        <f t="shared" si="0"/>
        <v>Rétirédanslesdélais</v>
      </c>
      <c r="G9" s="461" t="s">
        <v>628</v>
      </c>
      <c r="H9" s="462">
        <v>45742</v>
      </c>
      <c r="I9" s="461">
        <v>0</v>
      </c>
      <c r="J9" s="381"/>
      <c r="K9" s="381"/>
      <c r="L9" s="381"/>
    </row>
    <row r="10" spans="1:12" ht="15.75" x14ac:dyDescent="0.25">
      <c r="A10" s="397">
        <v>6</v>
      </c>
      <c r="B10" s="455">
        <v>4054528670</v>
      </c>
      <c r="C10" s="433" t="s">
        <v>256</v>
      </c>
      <c r="D10" s="381" t="s">
        <v>17</v>
      </c>
      <c r="E10" s="381" t="s">
        <v>1207</v>
      </c>
      <c r="F10" s="390" t="str">
        <f t="shared" si="0"/>
        <v>Rétirédanslesdélais</v>
      </c>
      <c r="G10" s="461" t="s">
        <v>631</v>
      </c>
      <c r="H10" s="462">
        <v>45748</v>
      </c>
      <c r="I10" s="461">
        <v>0</v>
      </c>
      <c r="J10" s="381"/>
      <c r="K10" s="381"/>
      <c r="L10" s="381"/>
    </row>
    <row r="11" spans="1:12" ht="15.75" x14ac:dyDescent="0.25">
      <c r="A11" s="381">
        <v>7</v>
      </c>
      <c r="B11" s="455">
        <v>4054518811</v>
      </c>
      <c r="C11" s="373" t="s">
        <v>72</v>
      </c>
      <c r="D11" s="381" t="s">
        <v>17</v>
      </c>
      <c r="E11" s="381" t="s">
        <v>1207</v>
      </c>
      <c r="F11" s="390" t="str">
        <f t="shared" si="0"/>
        <v>Rétirédanslesdélais</v>
      </c>
      <c r="G11" s="461" t="s">
        <v>627</v>
      </c>
      <c r="H11" s="462">
        <v>45742</v>
      </c>
      <c r="I11" s="461">
        <v>0</v>
      </c>
      <c r="J11" s="373"/>
      <c r="K11" s="373"/>
      <c r="L11" s="373"/>
    </row>
    <row r="12" spans="1:12" x14ac:dyDescent="0.25">
      <c r="B12"/>
    </row>
    <row r="13" spans="1:12" x14ac:dyDescent="0.25">
      <c r="B13"/>
    </row>
    <row r="14" spans="1:12" x14ac:dyDescent="0.25">
      <c r="B14"/>
    </row>
    <row r="15" spans="1:12" x14ac:dyDescent="0.25">
      <c r="B15"/>
    </row>
    <row r="16" spans="1:1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</sheetData>
  <autoFilter ref="A4:L10" xr:uid="{D559034C-E1A8-4788-A336-55187472940D}">
    <filterColumn colId="11" showButton="0"/>
    <sortState xmlns:xlrd2="http://schemas.microsoft.com/office/spreadsheetml/2017/richdata2" ref="A5:L10">
      <sortCondition ref="A4:A10"/>
    </sortState>
  </autoFilter>
  <mergeCells count="2">
    <mergeCell ref="F1:H1"/>
    <mergeCell ref="A2:B2"/>
  </mergeCells>
  <conditionalFormatting sqref="B1:B4">
    <cfRule type="duplicateValues" dxfId="1152" priority="34"/>
  </conditionalFormatting>
  <conditionalFormatting sqref="B1:B1048576">
    <cfRule type="duplicateValues" dxfId="1151" priority="26"/>
  </conditionalFormatting>
  <conditionalFormatting sqref="B11 B1:B4 B21:B1048576">
    <cfRule type="duplicateValues" dxfId="1150" priority="1484"/>
    <cfRule type="duplicateValues" dxfId="1149" priority="1485"/>
    <cfRule type="duplicateValues" dxfId="1148" priority="1486"/>
    <cfRule type="duplicateValues" dxfId="1147" priority="1487"/>
    <cfRule type="duplicateValues" dxfId="1146" priority="1488"/>
    <cfRule type="duplicateValues" dxfId="1145" priority="1489"/>
    <cfRule type="duplicateValues" dxfId="1144" priority="1490"/>
    <cfRule type="duplicateValues" dxfId="1143" priority="1491"/>
    <cfRule type="duplicateValues" dxfId="1142" priority="1492"/>
  </conditionalFormatting>
  <conditionalFormatting sqref="B11 B21:B1048576">
    <cfRule type="duplicateValues" dxfId="1141" priority="1520"/>
  </conditionalFormatting>
  <conditionalFormatting sqref="B21:B1048576 B1:B11">
    <cfRule type="duplicateValues" dxfId="1140" priority="1523"/>
    <cfRule type="duplicateValues" dxfId="1139" priority="1524"/>
    <cfRule type="duplicateValues" dxfId="1138" priority="1525"/>
    <cfRule type="duplicateValues" dxfId="1137" priority="1526"/>
  </conditionalFormatting>
  <conditionalFormatting sqref="F5:F11">
    <cfRule type="containsText" dxfId="1136" priority="32" operator="containsText" text="En Attente d'un Retrait Tardif">
      <formula>NOT(ISERROR(SEARCH("En Attente d'un Retrait Tardif",F5)))</formula>
    </cfRule>
    <cfRule type="containsText" dxfId="1135" priority="33" operator="containsText" text="Rétiré dans les délais">
      <formula>NOT(ISERROR(SEARCH("Rétiré dans les délais",F5)))</formula>
    </cfRule>
  </conditionalFormatting>
  <conditionalFormatting sqref="G1:G4 G12:G1048576">
    <cfRule type="duplicateValues" dxfId="1134" priority="31"/>
  </conditionalFormatting>
  <conditionalFormatting sqref="G5:G11">
    <cfRule type="duplicateValues" dxfId="1133" priority="6"/>
    <cfRule type="duplicateValues" dxfId="1132" priority="7"/>
    <cfRule type="duplicateValues" dxfId="1131" priority="8"/>
    <cfRule type="duplicateValues" dxfId="1130" priority="9"/>
    <cfRule type="duplicateValues" dxfId="1129" priority="10"/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E2CB-9924-4DC4-9334-0BA7FE2DBEB8}">
  <sheetPr codeName="Feuil135">
    <tabColor theme="5" tint="-0.249977111117893"/>
  </sheetPr>
  <dimension ref="A1:M16"/>
  <sheetViews>
    <sheetView workbookViewId="0">
      <selection activeCell="B5" sqref="B5:I14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2.85546875" customWidth="1"/>
    <col min="13" max="13" width="27.28515625" customWidth="1"/>
  </cols>
  <sheetData>
    <row r="1" spans="1:13" ht="19.5" thickBot="1" x14ac:dyDescent="0.35">
      <c r="A1" s="348" t="s">
        <v>1317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355</v>
      </c>
      <c r="F2" s="25"/>
      <c r="G2" s="314">
        <v>45741</v>
      </c>
      <c r="H2" s="365">
        <f ca="1">I2-G2</f>
        <v>355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34.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460" t="s">
        <v>1318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350">
        <v>4054519740</v>
      </c>
      <c r="C5" s="280" t="s">
        <v>355</v>
      </c>
      <c r="D5" s="465" t="s">
        <v>1212</v>
      </c>
      <c r="E5" s="381" t="s">
        <v>17</v>
      </c>
      <c r="F5" s="381" t="s">
        <v>1097</v>
      </c>
      <c r="G5" s="390" t="str">
        <f t="shared" ref="G5:G14" si="0">IF(I5="",IF($E$2&lt;=15,"EnattentedeRetrait","EnAttented'unRetraitTardif"),IF(I5-$G$2&lt;=15,"Rétirédanslesdélais",IF(I5-$G$2&gt;15,"Rétirétardivement-30000FCFAamende")))</f>
        <v>Rétirétardivement-30000FCFAamende</v>
      </c>
      <c r="H5" s="381" t="s">
        <v>644</v>
      </c>
      <c r="I5" s="391">
        <v>45758</v>
      </c>
      <c r="J5" s="464" t="s">
        <v>643</v>
      </c>
      <c r="K5" s="381"/>
      <c r="L5" s="381"/>
      <c r="M5" s="381"/>
    </row>
    <row r="6" spans="1:13" s="394" customFormat="1" ht="15.75" x14ac:dyDescent="0.25">
      <c r="A6" s="397">
        <v>2</v>
      </c>
      <c r="B6" s="350">
        <v>4054518400</v>
      </c>
      <c r="C6" s="280" t="s">
        <v>355</v>
      </c>
      <c r="D6" s="465" t="s">
        <v>1212</v>
      </c>
      <c r="E6" s="381" t="s">
        <v>17</v>
      </c>
      <c r="F6" s="381" t="s">
        <v>1097</v>
      </c>
      <c r="G6" s="390" t="str">
        <f t="shared" si="0"/>
        <v>Rétirétardivement-30000FCFAamende</v>
      </c>
      <c r="H6" s="381" t="s">
        <v>642</v>
      </c>
      <c r="I6" s="391">
        <v>45758</v>
      </c>
      <c r="J6" s="464" t="s">
        <v>643</v>
      </c>
      <c r="K6" s="381"/>
      <c r="L6" s="381"/>
      <c r="M6" s="381"/>
    </row>
    <row r="7" spans="1:13" s="346" customFormat="1" ht="15" customHeight="1" x14ac:dyDescent="0.25">
      <c r="A7" s="397">
        <v>3</v>
      </c>
      <c r="B7" s="350">
        <v>4054519610</v>
      </c>
      <c r="C7" s="280" t="s">
        <v>355</v>
      </c>
      <c r="D7" s="465" t="s">
        <v>1279</v>
      </c>
      <c r="E7" s="381" t="s">
        <v>17</v>
      </c>
      <c r="F7" s="381" t="s">
        <v>1097</v>
      </c>
      <c r="G7" s="390" t="str">
        <f t="shared" si="0"/>
        <v>Rétirédanslesdélais</v>
      </c>
      <c r="H7" s="381" t="s">
        <v>633</v>
      </c>
      <c r="I7" s="391">
        <v>45748</v>
      </c>
      <c r="J7" s="463"/>
      <c r="K7" s="381"/>
      <c r="L7" s="381"/>
      <c r="M7" s="381"/>
    </row>
    <row r="8" spans="1:13" s="346" customFormat="1" ht="15.75" x14ac:dyDescent="0.25">
      <c r="A8" s="397">
        <v>4</v>
      </c>
      <c r="B8" s="350">
        <v>4054520690</v>
      </c>
      <c r="C8" s="280" t="s">
        <v>355</v>
      </c>
      <c r="D8" s="465" t="s">
        <v>1319</v>
      </c>
      <c r="E8" s="381" t="s">
        <v>17</v>
      </c>
      <c r="F8" s="381" t="s">
        <v>623</v>
      </c>
      <c r="G8" s="390" t="str">
        <f t="shared" si="0"/>
        <v>Rétirédanslesdélais</v>
      </c>
      <c r="H8" s="381" t="s">
        <v>638</v>
      </c>
      <c r="I8" s="391">
        <v>45755</v>
      </c>
      <c r="J8" s="463"/>
      <c r="K8" s="381"/>
      <c r="L8" s="381"/>
      <c r="M8" s="381"/>
    </row>
    <row r="9" spans="1:13" ht="15.75" x14ac:dyDescent="0.25">
      <c r="A9" s="397">
        <v>5</v>
      </c>
      <c r="B9" s="350">
        <v>4054498450</v>
      </c>
      <c r="C9" s="280" t="s">
        <v>355</v>
      </c>
      <c r="D9" s="465" t="s">
        <v>34</v>
      </c>
      <c r="E9" s="381" t="s">
        <v>17</v>
      </c>
      <c r="F9" s="417" t="s">
        <v>1207</v>
      </c>
      <c r="G9" s="390" t="str">
        <f t="shared" si="0"/>
        <v>Rétirédanslesdélais</v>
      </c>
      <c r="H9" s="381" t="s">
        <v>634</v>
      </c>
      <c r="I9" s="391">
        <v>45749</v>
      </c>
      <c r="J9" s="463"/>
      <c r="K9" s="381"/>
      <c r="L9" s="381"/>
      <c r="M9" s="381"/>
    </row>
    <row r="10" spans="1:13" ht="15.75" x14ac:dyDescent="0.25">
      <c r="A10" s="397">
        <v>6</v>
      </c>
      <c r="B10" s="350">
        <v>4054526130</v>
      </c>
      <c r="C10" s="280" t="s">
        <v>355</v>
      </c>
      <c r="D10" s="465" t="s">
        <v>1236</v>
      </c>
      <c r="E10" s="381" t="s">
        <v>17</v>
      </c>
      <c r="F10" s="466" t="s">
        <v>1320</v>
      </c>
      <c r="G10" s="390" t="str">
        <f t="shared" si="0"/>
        <v>Rétirédanslesdélais</v>
      </c>
      <c r="H10" s="381" t="s">
        <v>640</v>
      </c>
      <c r="I10" s="391">
        <v>45756</v>
      </c>
      <c r="J10" s="463"/>
      <c r="K10" s="381"/>
      <c r="L10" s="381"/>
      <c r="M10" s="381"/>
    </row>
    <row r="11" spans="1:13" ht="15.75" x14ac:dyDescent="0.25">
      <c r="A11" s="397">
        <v>7</v>
      </c>
      <c r="B11" s="350">
        <v>2156467630</v>
      </c>
      <c r="C11" s="280" t="s">
        <v>355</v>
      </c>
      <c r="D11" s="465" t="s">
        <v>1290</v>
      </c>
      <c r="E11" s="381" t="s">
        <v>17</v>
      </c>
      <c r="F11" s="430" t="s">
        <v>1321</v>
      </c>
      <c r="G11" s="390" t="str">
        <f t="shared" si="0"/>
        <v>Rétirédanslesdélais</v>
      </c>
      <c r="H11" s="381" t="s">
        <v>635</v>
      </c>
      <c r="I11" s="391">
        <v>45749</v>
      </c>
      <c r="J11" s="463"/>
      <c r="K11" s="381"/>
      <c r="L11" s="381"/>
      <c r="M11" s="381"/>
    </row>
    <row r="12" spans="1:13" ht="15.75" x14ac:dyDescent="0.25">
      <c r="A12" s="397">
        <v>8</v>
      </c>
      <c r="B12" s="350">
        <v>2156316570</v>
      </c>
      <c r="C12" s="280" t="s">
        <v>355</v>
      </c>
      <c r="D12" s="465" t="s">
        <v>1290</v>
      </c>
      <c r="E12" s="381" t="s">
        <v>17</v>
      </c>
      <c r="F12" s="430" t="s">
        <v>1321</v>
      </c>
      <c r="G12" s="390" t="str">
        <f t="shared" si="0"/>
        <v>Rétirédanslesdélais</v>
      </c>
      <c r="H12" s="381" t="s">
        <v>636</v>
      </c>
      <c r="I12" s="391">
        <v>45749</v>
      </c>
      <c r="J12" s="463"/>
      <c r="K12" s="381"/>
      <c r="L12" s="381"/>
      <c r="M12" s="381"/>
    </row>
    <row r="13" spans="1:13" ht="15.75" x14ac:dyDescent="0.25">
      <c r="A13" s="397">
        <v>9</v>
      </c>
      <c r="B13" s="350">
        <v>4054487420</v>
      </c>
      <c r="C13" s="280" t="s">
        <v>465</v>
      </c>
      <c r="D13" s="465" t="s">
        <v>1212</v>
      </c>
      <c r="E13" s="437" t="s">
        <v>17</v>
      </c>
      <c r="F13" s="381" t="s">
        <v>1097</v>
      </c>
      <c r="G13" s="390" t="str">
        <f t="shared" si="0"/>
        <v>Rétirétardivement-30000FCFAamende</v>
      </c>
      <c r="H13" s="381" t="s">
        <v>641</v>
      </c>
      <c r="I13" s="391">
        <v>45758</v>
      </c>
      <c r="J13" s="464" t="s">
        <v>643</v>
      </c>
      <c r="K13" s="381"/>
      <c r="L13" s="381"/>
      <c r="M13" s="381"/>
    </row>
    <row r="14" spans="1:13" ht="15.75" x14ac:dyDescent="0.25">
      <c r="A14" s="397">
        <v>10</v>
      </c>
      <c r="B14" s="350">
        <v>4054395650</v>
      </c>
      <c r="C14" s="280" t="s">
        <v>360</v>
      </c>
      <c r="D14" s="465" t="s">
        <v>274</v>
      </c>
      <c r="E14" s="437" t="s">
        <v>17</v>
      </c>
      <c r="F14" s="430" t="s">
        <v>1322</v>
      </c>
      <c r="G14" s="390" t="str">
        <f t="shared" si="0"/>
        <v>Rétirédanslesdélais</v>
      </c>
      <c r="H14" s="381" t="s">
        <v>637</v>
      </c>
      <c r="I14" s="391">
        <v>45751</v>
      </c>
      <c r="J14" s="463"/>
      <c r="K14" s="381"/>
      <c r="L14" s="381"/>
      <c r="M14" s="381"/>
    </row>
    <row r="16" spans="1:13" x14ac:dyDescent="0.25">
      <c r="B16"/>
      <c r="C16"/>
    </row>
  </sheetData>
  <autoFilter ref="A4:M14" xr:uid="{D559034C-E1A8-4788-A336-55187472940D}">
    <filterColumn colId="12" showButton="0"/>
    <sortState xmlns:xlrd2="http://schemas.microsoft.com/office/spreadsheetml/2017/richdata2" ref="A5:M13">
      <sortCondition ref="A4:A12"/>
    </sortState>
  </autoFilter>
  <mergeCells count="2">
    <mergeCell ref="G1:I1"/>
    <mergeCell ref="A2:B2"/>
  </mergeCells>
  <conditionalFormatting sqref="B1:B4">
    <cfRule type="duplicateValues" dxfId="1128" priority="23"/>
  </conditionalFormatting>
  <conditionalFormatting sqref="B1:B1048576">
    <cfRule type="duplicateValues" dxfId="1127" priority="1"/>
    <cfRule type="duplicateValues" dxfId="1126" priority="1517"/>
  </conditionalFormatting>
  <conditionalFormatting sqref="B5:B6">
    <cfRule type="duplicateValues" dxfId="1125" priority="15"/>
  </conditionalFormatting>
  <conditionalFormatting sqref="B7">
    <cfRule type="duplicateValues" dxfId="1124" priority="14"/>
  </conditionalFormatting>
  <conditionalFormatting sqref="B8">
    <cfRule type="duplicateValues" dxfId="1123" priority="12"/>
  </conditionalFormatting>
  <conditionalFormatting sqref="B9">
    <cfRule type="duplicateValues" dxfId="1122" priority="11"/>
  </conditionalFormatting>
  <conditionalFormatting sqref="B10">
    <cfRule type="duplicateValues" dxfId="1121" priority="10"/>
  </conditionalFormatting>
  <conditionalFormatting sqref="B11">
    <cfRule type="duplicateValues" dxfId="1120" priority="9"/>
  </conditionalFormatting>
  <conditionalFormatting sqref="B12">
    <cfRule type="duplicateValues" dxfId="1119" priority="8"/>
  </conditionalFormatting>
  <conditionalFormatting sqref="B13">
    <cfRule type="duplicateValues" dxfId="1118" priority="7"/>
  </conditionalFormatting>
  <conditionalFormatting sqref="B14">
    <cfRule type="duplicateValues" dxfId="1117" priority="4"/>
  </conditionalFormatting>
  <conditionalFormatting sqref="B15 B1:B4 B17:B1048576">
    <cfRule type="duplicateValues" dxfId="1116" priority="1523"/>
    <cfRule type="duplicateValues" dxfId="1115" priority="1524"/>
    <cfRule type="duplicateValues" dxfId="1114" priority="1525"/>
    <cfRule type="duplicateValues" dxfId="1113" priority="1526"/>
    <cfRule type="duplicateValues" dxfId="1112" priority="1527"/>
    <cfRule type="duplicateValues" dxfId="1111" priority="1528"/>
    <cfRule type="duplicateValues" dxfId="1110" priority="1529"/>
    <cfRule type="duplicateValues" dxfId="1109" priority="1530"/>
    <cfRule type="duplicateValues" dxfId="1108" priority="1531"/>
  </conditionalFormatting>
  <conditionalFormatting sqref="B15 B17:B1048576">
    <cfRule type="duplicateValues" dxfId="1107" priority="1559"/>
  </conditionalFormatting>
  <conditionalFormatting sqref="B17:B1048576 B1:B4 B15">
    <cfRule type="duplicateValues" dxfId="1106" priority="1562"/>
    <cfRule type="duplicateValues" dxfId="1105" priority="1563"/>
    <cfRule type="duplicateValues" dxfId="1104" priority="1564"/>
    <cfRule type="duplicateValues" dxfId="1103" priority="1565"/>
  </conditionalFormatting>
  <conditionalFormatting sqref="G5:G14">
    <cfRule type="containsText" dxfId="1102" priority="21" operator="containsText" text="En Attente d'un Retrait Tardif">
      <formula>NOT(ISERROR(SEARCH("En Attente d'un Retrait Tardif",G5)))</formula>
    </cfRule>
    <cfRule type="containsText" dxfId="1101" priority="22" operator="containsText" text="Rétiré dans les délais">
      <formula>NOT(ISERROR(SEARCH("Rétiré dans les délais",G5)))</formula>
    </cfRule>
  </conditionalFormatting>
  <conditionalFormatting sqref="H1:H1048576">
    <cfRule type="duplicateValues" dxfId="1100" priority="20"/>
  </conditionalFormatting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C149-501A-4869-8AFB-427B204A86D4}">
  <sheetPr codeName="Feuil97">
    <tabColor theme="5" tint="-0.249977111117893"/>
  </sheetPr>
  <dimension ref="A1:M12"/>
  <sheetViews>
    <sheetView workbookViewId="0">
      <selection activeCell="B5" sqref="B5:I12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1323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366</v>
      </c>
      <c r="F2" s="25"/>
      <c r="G2" s="314">
        <v>45730</v>
      </c>
      <c r="H2" s="365">
        <f ca="1">I2-G2</f>
        <v>366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81">
        <v>1</v>
      </c>
      <c r="B5" s="456">
        <v>2306379091</v>
      </c>
      <c r="C5" s="280" t="s">
        <v>26</v>
      </c>
      <c r="D5" s="433" t="s">
        <v>1324</v>
      </c>
      <c r="E5" s="381" t="s">
        <v>17</v>
      </c>
      <c r="F5" s="381" t="s">
        <v>1207</v>
      </c>
      <c r="G5" s="390" t="str">
        <f t="shared" ref="G5:G12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622</v>
      </c>
      <c r="I5" s="391">
        <v>45740</v>
      </c>
      <c r="J5" s="381"/>
      <c r="K5" s="381"/>
      <c r="L5" s="381"/>
      <c r="M5" s="381"/>
    </row>
    <row r="6" spans="1:13" s="394" customFormat="1" ht="15.75" x14ac:dyDescent="0.25">
      <c r="A6" s="381">
        <v>2</v>
      </c>
      <c r="B6" s="456">
        <v>4054451340</v>
      </c>
      <c r="C6" s="280" t="s">
        <v>26</v>
      </c>
      <c r="D6" s="433" t="s">
        <v>1144</v>
      </c>
      <c r="E6" s="381" t="s">
        <v>17</v>
      </c>
      <c r="F6" s="381" t="s">
        <v>1207</v>
      </c>
      <c r="G6" s="390" t="str">
        <f t="shared" si="0"/>
        <v>Rétirédanslesdélais</v>
      </c>
      <c r="H6" s="381" t="s">
        <v>618</v>
      </c>
      <c r="I6" s="391">
        <v>45735</v>
      </c>
      <c r="J6" s="381"/>
      <c r="K6" s="381"/>
      <c r="L6" s="381"/>
      <c r="M6" s="381"/>
    </row>
    <row r="7" spans="1:13" s="346" customFormat="1" ht="15" customHeight="1" x14ac:dyDescent="0.25">
      <c r="A7" s="381">
        <v>3</v>
      </c>
      <c r="B7" s="456">
        <v>4054501790</v>
      </c>
      <c r="C7" s="280" t="s">
        <v>26</v>
      </c>
      <c r="D7" s="433" t="s">
        <v>1325</v>
      </c>
      <c r="E7" s="381" t="s">
        <v>17</v>
      </c>
      <c r="F7" s="381" t="s">
        <v>1207</v>
      </c>
      <c r="G7" s="390" t="str">
        <f t="shared" si="0"/>
        <v>Rétirédanslesdélais</v>
      </c>
      <c r="H7" s="381" t="s">
        <v>607</v>
      </c>
      <c r="I7" s="391">
        <v>45734</v>
      </c>
      <c r="J7" s="381"/>
      <c r="K7" s="381"/>
      <c r="L7" s="381"/>
      <c r="M7" s="381"/>
    </row>
    <row r="8" spans="1:13" s="346" customFormat="1" ht="15.75" x14ac:dyDescent="0.25">
      <c r="A8" s="381">
        <v>4</v>
      </c>
      <c r="B8" s="456">
        <v>4054501930</v>
      </c>
      <c r="C8" s="280" t="s">
        <v>24</v>
      </c>
      <c r="D8" s="433" t="s">
        <v>1075</v>
      </c>
      <c r="E8" s="381" t="s">
        <v>17</v>
      </c>
      <c r="F8" s="381" t="s">
        <v>1207</v>
      </c>
      <c r="G8" s="390" t="str">
        <f t="shared" si="0"/>
        <v>Rétirédanslesdélais</v>
      </c>
      <c r="H8" s="381" t="s">
        <v>608</v>
      </c>
      <c r="I8" s="391">
        <v>45734</v>
      </c>
      <c r="J8" s="381"/>
      <c r="K8" s="381"/>
      <c r="L8" s="381"/>
      <c r="M8" s="381"/>
    </row>
    <row r="9" spans="1:13" s="346" customFormat="1" ht="15.75" x14ac:dyDescent="0.25">
      <c r="A9" s="381">
        <v>5</v>
      </c>
      <c r="B9" s="456">
        <v>4054501940</v>
      </c>
      <c r="C9" s="280" t="s">
        <v>24</v>
      </c>
      <c r="D9" s="433" t="s">
        <v>1075</v>
      </c>
      <c r="E9" s="381" t="s">
        <v>17</v>
      </c>
      <c r="F9" s="381" t="s">
        <v>1207</v>
      </c>
      <c r="G9" s="390" t="str">
        <f t="shared" si="0"/>
        <v>Rétirédanslesdélais</v>
      </c>
      <c r="H9" s="381" t="s">
        <v>617</v>
      </c>
      <c r="I9" s="391">
        <v>45734</v>
      </c>
      <c r="J9" s="381"/>
      <c r="K9" s="381"/>
      <c r="L9" s="381"/>
      <c r="M9" s="381"/>
    </row>
    <row r="10" spans="1:13" ht="15.75" x14ac:dyDescent="0.25">
      <c r="A10" s="381">
        <v>6</v>
      </c>
      <c r="B10" s="456">
        <v>4054510240</v>
      </c>
      <c r="C10" s="280" t="s">
        <v>26</v>
      </c>
      <c r="D10" s="433" t="s">
        <v>256</v>
      </c>
      <c r="E10" s="381" t="s">
        <v>17</v>
      </c>
      <c r="F10" s="381" t="s">
        <v>1207</v>
      </c>
      <c r="G10" s="390" t="str">
        <f t="shared" si="0"/>
        <v>Rétirédanslesdélais</v>
      </c>
      <c r="H10" s="381" t="s">
        <v>621</v>
      </c>
      <c r="I10" s="391">
        <v>45737</v>
      </c>
      <c r="J10" s="381"/>
      <c r="K10" s="381"/>
      <c r="L10" s="381"/>
      <c r="M10" s="381"/>
    </row>
    <row r="11" spans="1:13" ht="15.75" x14ac:dyDescent="0.25">
      <c r="A11" s="381">
        <v>7</v>
      </c>
      <c r="B11" s="456">
        <v>4054518810</v>
      </c>
      <c r="C11" s="280" t="s">
        <v>26</v>
      </c>
      <c r="D11" s="433" t="s">
        <v>570</v>
      </c>
      <c r="E11" s="381" t="s">
        <v>17</v>
      </c>
      <c r="F11" s="381" t="s">
        <v>1207</v>
      </c>
      <c r="G11" s="390" t="str">
        <f t="shared" si="0"/>
        <v>Rétirédanslesdélais</v>
      </c>
      <c r="H11" s="381" t="s">
        <v>624</v>
      </c>
      <c r="I11" s="391">
        <v>45740</v>
      </c>
      <c r="J11" s="381"/>
      <c r="K11" s="381"/>
      <c r="L11" s="381"/>
      <c r="M11" s="381"/>
    </row>
    <row r="12" spans="1:13" ht="15.75" x14ac:dyDescent="0.25">
      <c r="A12" s="381">
        <v>8</v>
      </c>
      <c r="B12" s="456">
        <v>4054520250</v>
      </c>
      <c r="C12" s="280" t="s">
        <v>26</v>
      </c>
      <c r="D12" s="433" t="s">
        <v>67</v>
      </c>
      <c r="E12" s="381" t="s">
        <v>17</v>
      </c>
      <c r="F12" s="381" t="s">
        <v>1207</v>
      </c>
      <c r="G12" s="390" t="str">
        <f t="shared" si="0"/>
        <v>Rétirédanslesdélais</v>
      </c>
      <c r="H12" s="381" t="s">
        <v>630</v>
      </c>
      <c r="I12" s="391">
        <v>45744</v>
      </c>
      <c r="J12" s="381"/>
      <c r="K12" s="381"/>
      <c r="L12" s="381"/>
      <c r="M12" s="381"/>
    </row>
  </sheetData>
  <autoFilter ref="A4:M12" xr:uid="{D559034C-E1A8-4788-A336-55187472940D}">
    <filterColumn colId="12" showButton="0"/>
    <sortState xmlns:xlrd2="http://schemas.microsoft.com/office/spreadsheetml/2017/richdata2" ref="A5:M12">
      <sortCondition ref="A4:A12"/>
    </sortState>
  </autoFilter>
  <mergeCells count="2">
    <mergeCell ref="G1:I1"/>
    <mergeCell ref="A2:B2"/>
  </mergeCells>
  <conditionalFormatting sqref="B1:B4">
    <cfRule type="duplicateValues" dxfId="1099" priority="8"/>
  </conditionalFormatting>
  <conditionalFormatting sqref="B1:B1048576">
    <cfRule type="duplicateValues" dxfId="1098" priority="2"/>
    <cfRule type="duplicateValues" dxfId="1097" priority="1440"/>
    <cfRule type="duplicateValues" dxfId="1096" priority="1441"/>
    <cfRule type="duplicateValues" dxfId="1095" priority="1442"/>
    <cfRule type="duplicateValues" dxfId="1094" priority="1443"/>
    <cfRule type="duplicateValues" dxfId="1093" priority="1444"/>
    <cfRule type="duplicateValues" dxfId="1092" priority="1445"/>
    <cfRule type="duplicateValues" dxfId="1091" priority="1446"/>
    <cfRule type="duplicateValues" dxfId="1090" priority="1447"/>
    <cfRule type="duplicateValues" dxfId="1089" priority="1448"/>
    <cfRule type="duplicateValues" dxfId="1088" priority="1449"/>
    <cfRule type="duplicateValues" dxfId="1087" priority="1450"/>
  </conditionalFormatting>
  <conditionalFormatting sqref="B5:B12">
    <cfRule type="duplicateValues" dxfId="1086" priority="1"/>
  </conditionalFormatting>
  <conditionalFormatting sqref="B13:B1048576">
    <cfRule type="duplicateValues" dxfId="1085" priority="1473"/>
  </conditionalFormatting>
  <conditionalFormatting sqref="G5:G12">
    <cfRule type="containsText" dxfId="1084" priority="6" operator="containsText" text="En Attente d'un Retrait Tardif">
      <formula>NOT(ISERROR(SEARCH("En Attente d'un Retrait Tardif",G5)))</formula>
    </cfRule>
    <cfRule type="containsText" dxfId="1083" priority="7" operator="containsText" text="Rétiré dans les délais">
      <formula>NOT(ISERROR(SEARCH("Rétiré dans les délais",G5)))</formula>
    </cfRule>
  </conditionalFormatting>
  <conditionalFormatting sqref="H1:H1048576">
    <cfRule type="duplicateValues" dxfId="1082" priority="5"/>
  </conditionalFormatting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65F6-80F1-4004-A030-98EEC25D4E4D}">
  <sheetPr codeName="Feuil88">
    <tabColor theme="5" tint="-0.249977111117893"/>
  </sheetPr>
  <dimension ref="A1:M44"/>
  <sheetViews>
    <sheetView workbookViewId="0">
      <selection activeCell="B5" sqref="B5:I27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1326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371</v>
      </c>
      <c r="F2" s="25"/>
      <c r="G2" s="314">
        <v>45725</v>
      </c>
      <c r="H2" s="365">
        <f ca="1">I2-G2</f>
        <v>371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455">
        <v>4054470290</v>
      </c>
      <c r="C5" s="454" t="s">
        <v>465</v>
      </c>
      <c r="D5" s="433" t="s">
        <v>1327</v>
      </c>
      <c r="E5" s="381" t="s">
        <v>17</v>
      </c>
      <c r="F5" s="381" t="s">
        <v>1207</v>
      </c>
      <c r="G5" s="390" t="str">
        <f t="shared" ref="G5:G27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606</v>
      </c>
      <c r="I5" s="391">
        <v>45734</v>
      </c>
      <c r="J5" s="381"/>
      <c r="K5" s="381"/>
      <c r="L5" s="381"/>
      <c r="M5" s="381"/>
    </row>
    <row r="6" spans="1:13" s="394" customFormat="1" ht="15.75" x14ac:dyDescent="0.25">
      <c r="A6" s="397">
        <v>2</v>
      </c>
      <c r="B6" s="455">
        <v>4054471420</v>
      </c>
      <c r="C6" s="454" t="s">
        <v>355</v>
      </c>
      <c r="D6" s="433" t="s">
        <v>1240</v>
      </c>
      <c r="E6" s="381" t="s">
        <v>17</v>
      </c>
      <c r="F6" s="381" t="s">
        <v>1207</v>
      </c>
      <c r="G6" s="390" t="str">
        <f t="shared" si="0"/>
        <v>Rétirédanslesdélais</v>
      </c>
      <c r="H6" s="381" t="s">
        <v>614</v>
      </c>
      <c r="I6" s="391">
        <v>45734</v>
      </c>
      <c r="J6" s="381"/>
      <c r="K6" s="381"/>
      <c r="L6" s="381"/>
      <c r="M6" s="381"/>
    </row>
    <row r="7" spans="1:13" s="346" customFormat="1" ht="15" customHeight="1" x14ac:dyDescent="0.25">
      <c r="A7" s="397">
        <v>3</v>
      </c>
      <c r="B7" s="455">
        <v>4054479730</v>
      </c>
      <c r="C7" s="454" t="s">
        <v>355</v>
      </c>
      <c r="D7" s="433" t="s">
        <v>1240</v>
      </c>
      <c r="E7" s="381" t="s">
        <v>17</v>
      </c>
      <c r="F7" s="381" t="s">
        <v>1207</v>
      </c>
      <c r="G7" s="390" t="str">
        <f t="shared" si="0"/>
        <v>Rétirédanslesdélais</v>
      </c>
      <c r="H7" s="381" t="s">
        <v>612</v>
      </c>
      <c r="I7" s="391">
        <v>45734</v>
      </c>
      <c r="J7" s="381"/>
      <c r="K7" s="381"/>
      <c r="L7" s="381"/>
      <c r="M7" s="381"/>
    </row>
    <row r="8" spans="1:13" s="346" customFormat="1" ht="15.75" x14ac:dyDescent="0.25">
      <c r="A8" s="397">
        <v>4</v>
      </c>
      <c r="B8" s="455">
        <v>4054489390</v>
      </c>
      <c r="C8" s="454" t="s">
        <v>355</v>
      </c>
      <c r="D8" s="433" t="s">
        <v>1240</v>
      </c>
      <c r="E8" s="381" t="s">
        <v>17</v>
      </c>
      <c r="F8" s="381" t="s">
        <v>1207</v>
      </c>
      <c r="G8" s="390" t="str">
        <f t="shared" si="0"/>
        <v>Rétirédanslesdélais</v>
      </c>
      <c r="H8" s="381" t="s">
        <v>613</v>
      </c>
      <c r="I8" s="391">
        <v>45734</v>
      </c>
      <c r="J8" s="381"/>
      <c r="K8" s="381"/>
      <c r="L8" s="381"/>
      <c r="M8" s="381"/>
    </row>
    <row r="9" spans="1:13" s="346" customFormat="1" ht="15.75" x14ac:dyDescent="0.25">
      <c r="A9" s="397">
        <v>5</v>
      </c>
      <c r="B9" s="455">
        <v>4054489400</v>
      </c>
      <c r="C9" s="454" t="s">
        <v>355</v>
      </c>
      <c r="D9" s="433" t="s">
        <v>1240</v>
      </c>
      <c r="E9" s="381" t="s">
        <v>17</v>
      </c>
      <c r="F9" s="381" t="s">
        <v>1207</v>
      </c>
      <c r="G9" s="390" t="str">
        <f t="shared" si="0"/>
        <v>Rétirédanslesdélais</v>
      </c>
      <c r="H9" s="381" t="s">
        <v>609</v>
      </c>
      <c r="I9" s="391">
        <v>45734</v>
      </c>
      <c r="J9" s="381"/>
      <c r="K9" s="381"/>
      <c r="L9" s="381"/>
      <c r="M9" s="381"/>
    </row>
    <row r="10" spans="1:13" ht="15.75" x14ac:dyDescent="0.25">
      <c r="A10" s="397">
        <v>6</v>
      </c>
      <c r="B10" s="455">
        <v>4054490660</v>
      </c>
      <c r="C10" s="454" t="s">
        <v>355</v>
      </c>
      <c r="D10" s="433" t="s">
        <v>1240</v>
      </c>
      <c r="E10" s="430" t="s">
        <v>17</v>
      </c>
      <c r="F10" s="381" t="s">
        <v>1207</v>
      </c>
      <c r="G10" s="390" t="str">
        <f t="shared" si="0"/>
        <v>Rétirédanslesdélais</v>
      </c>
      <c r="H10" s="381" t="s">
        <v>615</v>
      </c>
      <c r="I10" s="391">
        <v>45734</v>
      </c>
      <c r="J10" s="381"/>
      <c r="K10" s="381"/>
      <c r="L10" s="381"/>
      <c r="M10" s="381"/>
    </row>
    <row r="11" spans="1:13" ht="15.75" x14ac:dyDescent="0.25">
      <c r="A11" s="397">
        <v>7</v>
      </c>
      <c r="B11" s="455">
        <v>4054490680</v>
      </c>
      <c r="C11" s="454" t="s">
        <v>355</v>
      </c>
      <c r="D11" s="433" t="s">
        <v>1240</v>
      </c>
      <c r="E11" s="381" t="s">
        <v>17</v>
      </c>
      <c r="F11" s="381" t="s">
        <v>1207</v>
      </c>
      <c r="G11" s="390" t="str">
        <f t="shared" si="0"/>
        <v>Rétirédanslesdélais</v>
      </c>
      <c r="H11" s="381" t="s">
        <v>611</v>
      </c>
      <c r="I11" s="391">
        <v>45734</v>
      </c>
      <c r="J11" s="381"/>
      <c r="K11" s="381"/>
      <c r="L11" s="381"/>
      <c r="M11" s="381"/>
    </row>
    <row r="12" spans="1:13" ht="15.75" x14ac:dyDescent="0.25">
      <c r="A12" s="397">
        <v>8</v>
      </c>
      <c r="B12" s="455">
        <v>4054490710</v>
      </c>
      <c r="C12" s="454" t="s">
        <v>355</v>
      </c>
      <c r="D12" s="433" t="s">
        <v>1240</v>
      </c>
      <c r="E12" s="381" t="s">
        <v>17</v>
      </c>
      <c r="F12" s="381" t="s">
        <v>1207</v>
      </c>
      <c r="G12" s="390" t="str">
        <f t="shared" si="0"/>
        <v>Rétirédanslesdélais</v>
      </c>
      <c r="H12" s="381" t="s">
        <v>610</v>
      </c>
      <c r="I12" s="391">
        <v>45734</v>
      </c>
      <c r="J12" s="381"/>
      <c r="K12" s="381"/>
      <c r="L12" s="381"/>
      <c r="M12" s="381"/>
    </row>
    <row r="13" spans="1:13" ht="15.75" x14ac:dyDescent="0.25">
      <c r="A13" s="397">
        <v>9</v>
      </c>
      <c r="B13" s="455">
        <v>4054490740</v>
      </c>
      <c r="C13" s="454" t="s">
        <v>355</v>
      </c>
      <c r="D13" s="433" t="s">
        <v>1279</v>
      </c>
      <c r="E13" s="381" t="s">
        <v>17</v>
      </c>
      <c r="F13" s="381" t="s">
        <v>1207</v>
      </c>
      <c r="G13" s="390" t="str">
        <f t="shared" si="0"/>
        <v>Rétirédanslesdélais</v>
      </c>
      <c r="H13" s="381" t="s">
        <v>596</v>
      </c>
      <c r="I13" s="391">
        <v>45730</v>
      </c>
      <c r="J13" s="381"/>
      <c r="K13" s="381"/>
      <c r="L13" s="381"/>
      <c r="M13" s="381"/>
    </row>
    <row r="14" spans="1:13" ht="15.75" x14ac:dyDescent="0.25">
      <c r="A14" s="397">
        <v>10</v>
      </c>
      <c r="B14" s="455">
        <v>4054490750</v>
      </c>
      <c r="C14" s="454" t="s">
        <v>355</v>
      </c>
      <c r="D14" s="451" t="s">
        <v>1279</v>
      </c>
      <c r="E14" s="437" t="s">
        <v>17</v>
      </c>
      <c r="F14" s="381" t="s">
        <v>1207</v>
      </c>
      <c r="G14" s="390" t="str">
        <f t="shared" si="0"/>
        <v>Rétirédanslesdélais</v>
      </c>
      <c r="H14" s="381" t="s">
        <v>597</v>
      </c>
      <c r="I14" s="391">
        <v>45730</v>
      </c>
      <c r="J14" s="381"/>
      <c r="K14" s="381"/>
      <c r="L14" s="381"/>
      <c r="M14" s="381"/>
    </row>
    <row r="15" spans="1:13" ht="15.75" x14ac:dyDescent="0.25">
      <c r="A15" s="397">
        <v>11</v>
      </c>
      <c r="B15" s="455">
        <v>4054499430</v>
      </c>
      <c r="C15" s="454" t="s">
        <v>355</v>
      </c>
      <c r="D15" s="451" t="s">
        <v>1279</v>
      </c>
      <c r="E15" s="437" t="s">
        <v>17</v>
      </c>
      <c r="F15" s="381" t="s">
        <v>1207</v>
      </c>
      <c r="G15" s="390" t="str">
        <f t="shared" si="0"/>
        <v>Rétirédanslesdélais</v>
      </c>
      <c r="H15" s="381" t="s">
        <v>595</v>
      </c>
      <c r="I15" s="391">
        <v>45730</v>
      </c>
      <c r="J15" s="381"/>
      <c r="K15" s="381"/>
      <c r="L15" s="381"/>
      <c r="M15" s="381"/>
    </row>
    <row r="16" spans="1:13" ht="15.75" x14ac:dyDescent="0.25">
      <c r="A16" s="397">
        <v>13</v>
      </c>
      <c r="B16" s="455">
        <v>4054476220</v>
      </c>
      <c r="C16" s="436" t="s">
        <v>355</v>
      </c>
      <c r="D16" s="451" t="s">
        <v>1259</v>
      </c>
      <c r="E16" s="437" t="s">
        <v>17</v>
      </c>
      <c r="F16" s="381" t="s">
        <v>1097</v>
      </c>
      <c r="G16" s="390" t="str">
        <f t="shared" si="0"/>
        <v>Rétirétardivement-30000FCFAamende</v>
      </c>
      <c r="H16" s="381" t="s">
        <v>625</v>
      </c>
      <c r="I16" s="391">
        <v>45741</v>
      </c>
      <c r="J16" s="381"/>
      <c r="K16" s="381"/>
      <c r="L16" s="381"/>
      <c r="M16" s="381"/>
    </row>
    <row r="17" spans="1:13" ht="15.75" x14ac:dyDescent="0.25">
      <c r="A17" s="397">
        <v>14</v>
      </c>
      <c r="B17" s="455">
        <v>4054476260</v>
      </c>
      <c r="C17" s="436" t="s">
        <v>355</v>
      </c>
      <c r="D17" s="451" t="s">
        <v>1259</v>
      </c>
      <c r="E17" s="437" t="s">
        <v>17</v>
      </c>
      <c r="F17" s="381" t="s">
        <v>1097</v>
      </c>
      <c r="G17" s="390" t="str">
        <f t="shared" si="0"/>
        <v>Rétirétardivement-30000FCFAamende</v>
      </c>
      <c r="H17" s="381" t="s">
        <v>626</v>
      </c>
      <c r="I17" s="391">
        <v>45741</v>
      </c>
      <c r="J17" s="381"/>
      <c r="K17" s="381"/>
      <c r="L17" s="381"/>
      <c r="M17" s="381"/>
    </row>
    <row r="18" spans="1:13" ht="15.75" x14ac:dyDescent="0.25">
      <c r="A18" s="397">
        <v>15</v>
      </c>
      <c r="B18" s="455">
        <v>2156468970</v>
      </c>
      <c r="C18" s="453" t="s">
        <v>355</v>
      </c>
      <c r="D18" s="451" t="s">
        <v>1290</v>
      </c>
      <c r="E18" s="437" t="s">
        <v>17</v>
      </c>
      <c r="F18" s="381" t="s">
        <v>1097</v>
      </c>
      <c r="G18" s="390" t="str">
        <f t="shared" si="0"/>
        <v>Rétirédanslesdélais</v>
      </c>
      <c r="H18" s="381" t="s">
        <v>600</v>
      </c>
      <c r="I18" s="391">
        <v>45733</v>
      </c>
      <c r="J18" s="381"/>
      <c r="K18" s="381"/>
      <c r="L18" s="381"/>
      <c r="M18" s="381"/>
    </row>
    <row r="19" spans="1:13" ht="15.75" x14ac:dyDescent="0.25">
      <c r="A19" s="397">
        <v>16</v>
      </c>
      <c r="B19" s="455">
        <v>2156469650</v>
      </c>
      <c r="C19" s="453" t="s">
        <v>355</v>
      </c>
      <c r="D19" s="451" t="s">
        <v>1290</v>
      </c>
      <c r="E19" s="437" t="s">
        <v>17</v>
      </c>
      <c r="F19" s="381" t="s">
        <v>1328</v>
      </c>
      <c r="G19" s="390" t="str">
        <f t="shared" si="0"/>
        <v>Rétirédanslesdélais</v>
      </c>
      <c r="H19" s="381" t="s">
        <v>605</v>
      </c>
      <c r="I19" s="391">
        <v>45733</v>
      </c>
      <c r="J19" s="381"/>
      <c r="K19" s="381"/>
      <c r="L19" s="381"/>
      <c r="M19" s="381"/>
    </row>
    <row r="20" spans="1:13" ht="15.75" x14ac:dyDescent="0.25">
      <c r="A20" s="397">
        <v>17</v>
      </c>
      <c r="B20" s="455">
        <v>4054468150</v>
      </c>
      <c r="C20" s="454" t="s">
        <v>355</v>
      </c>
      <c r="D20" s="451" t="s">
        <v>1299</v>
      </c>
      <c r="E20" s="437" t="s">
        <v>17</v>
      </c>
      <c r="F20" s="381" t="s">
        <v>1143</v>
      </c>
      <c r="G20" s="390" t="str">
        <f t="shared" si="0"/>
        <v>Rétirédanslesdélais</v>
      </c>
      <c r="H20" s="381" t="s">
        <v>591</v>
      </c>
      <c r="I20" s="391">
        <v>45729</v>
      </c>
      <c r="J20" s="381"/>
      <c r="K20" s="381"/>
      <c r="L20" s="381"/>
      <c r="M20" s="381"/>
    </row>
    <row r="21" spans="1:13" ht="15.75" x14ac:dyDescent="0.25">
      <c r="A21" s="397">
        <v>18</v>
      </c>
      <c r="B21" s="455">
        <v>4054468270</v>
      </c>
      <c r="C21" s="454" t="s">
        <v>355</v>
      </c>
      <c r="D21" s="451" t="s">
        <v>1299</v>
      </c>
      <c r="E21" s="437" t="s">
        <v>17</v>
      </c>
      <c r="F21" s="381" t="s">
        <v>1143</v>
      </c>
      <c r="G21" s="390" t="str">
        <f t="shared" si="0"/>
        <v>Rétirédanslesdélais</v>
      </c>
      <c r="H21" s="381" t="s">
        <v>592</v>
      </c>
      <c r="I21" s="391">
        <v>45729</v>
      </c>
      <c r="J21" s="381"/>
      <c r="K21" s="381"/>
      <c r="L21" s="381"/>
      <c r="M21" s="381"/>
    </row>
    <row r="22" spans="1:13" ht="15.75" x14ac:dyDescent="0.25">
      <c r="A22" s="397">
        <v>19</v>
      </c>
      <c r="B22" s="455">
        <v>4054468260</v>
      </c>
      <c r="C22" s="454" t="s">
        <v>355</v>
      </c>
      <c r="D22" s="451" t="s">
        <v>1299</v>
      </c>
      <c r="E22" s="437" t="s">
        <v>17</v>
      </c>
      <c r="F22" s="381" t="s">
        <v>1143</v>
      </c>
      <c r="G22" s="390" t="str">
        <f t="shared" si="0"/>
        <v>Rétirédanslesdélais</v>
      </c>
      <c r="H22" s="381" t="s">
        <v>593</v>
      </c>
      <c r="I22" s="391">
        <v>45729</v>
      </c>
      <c r="J22" s="381"/>
      <c r="K22" s="381"/>
      <c r="L22" s="381"/>
      <c r="M22" s="381"/>
    </row>
    <row r="23" spans="1:13" ht="15.75" x14ac:dyDescent="0.25">
      <c r="A23" s="397">
        <v>20</v>
      </c>
      <c r="B23" s="455">
        <v>4054498160</v>
      </c>
      <c r="C23" s="454" t="s">
        <v>355</v>
      </c>
      <c r="D23" s="451" t="s">
        <v>1329</v>
      </c>
      <c r="E23" s="437" t="s">
        <v>17</v>
      </c>
      <c r="F23" s="381" t="s">
        <v>1207</v>
      </c>
      <c r="G23" s="390" t="str">
        <f t="shared" si="0"/>
        <v>Rétirédanslesdélais</v>
      </c>
      <c r="H23" s="381" t="s">
        <v>616</v>
      </c>
      <c r="I23" s="391">
        <v>45734</v>
      </c>
      <c r="J23" s="381"/>
      <c r="K23" s="381"/>
      <c r="L23" s="381"/>
      <c r="M23" s="381"/>
    </row>
    <row r="24" spans="1:13" ht="15.75" x14ac:dyDescent="0.25">
      <c r="A24" s="397">
        <v>21</v>
      </c>
      <c r="B24" s="455">
        <v>4054508410</v>
      </c>
      <c r="C24" s="454" t="s">
        <v>355</v>
      </c>
      <c r="D24" s="451" t="s">
        <v>577</v>
      </c>
      <c r="E24" s="437" t="s">
        <v>17</v>
      </c>
      <c r="F24" s="381" t="s">
        <v>1207</v>
      </c>
      <c r="G24" s="390" t="str">
        <f t="shared" si="0"/>
        <v>Rétirédanslesdélais</v>
      </c>
      <c r="H24" s="381" t="s">
        <v>599</v>
      </c>
      <c r="I24" s="391">
        <v>45733</v>
      </c>
      <c r="J24" s="381"/>
      <c r="K24" s="381"/>
      <c r="L24" s="381"/>
      <c r="M24" s="381"/>
    </row>
    <row r="25" spans="1:13" ht="15.75" x14ac:dyDescent="0.25">
      <c r="A25" s="397">
        <v>22</v>
      </c>
      <c r="B25" s="455">
        <v>2155996820</v>
      </c>
      <c r="C25" s="453" t="s">
        <v>355</v>
      </c>
      <c r="D25" s="451" t="s">
        <v>1290</v>
      </c>
      <c r="E25" s="437" t="s">
        <v>17</v>
      </c>
      <c r="F25" s="381" t="s">
        <v>1328</v>
      </c>
      <c r="G25" s="390" t="str">
        <f t="shared" si="0"/>
        <v>Rétirédanslesdélais</v>
      </c>
      <c r="H25" s="381" t="s">
        <v>604</v>
      </c>
      <c r="I25" s="391">
        <v>45733</v>
      </c>
      <c r="J25" s="381"/>
      <c r="K25" s="381"/>
      <c r="L25" s="381"/>
      <c r="M25" s="381"/>
    </row>
    <row r="26" spans="1:13" ht="15.75" x14ac:dyDescent="0.25">
      <c r="A26" s="397">
        <v>23</v>
      </c>
      <c r="B26" s="455">
        <v>4054513970</v>
      </c>
      <c r="C26" s="436" t="s">
        <v>355</v>
      </c>
      <c r="D26" s="451" t="s">
        <v>1206</v>
      </c>
      <c r="E26" s="437" t="s">
        <v>17</v>
      </c>
      <c r="F26" s="381" t="s">
        <v>1097</v>
      </c>
      <c r="G26" s="390" t="str">
        <f t="shared" si="0"/>
        <v>Rétirédanslesdélais</v>
      </c>
      <c r="H26" s="381" t="s">
        <v>598</v>
      </c>
      <c r="I26" s="391">
        <v>45733</v>
      </c>
      <c r="J26" s="381"/>
      <c r="K26" s="381"/>
      <c r="L26" s="381"/>
      <c r="M26" s="381"/>
    </row>
    <row r="27" spans="1:13" ht="15.75" x14ac:dyDescent="0.25">
      <c r="A27" s="397">
        <v>24</v>
      </c>
      <c r="B27" s="455">
        <v>4054522680</v>
      </c>
      <c r="C27" s="454" t="s">
        <v>465</v>
      </c>
      <c r="D27" s="451" t="s">
        <v>578</v>
      </c>
      <c r="E27" s="437" t="s">
        <v>259</v>
      </c>
      <c r="F27" s="381" t="s">
        <v>1207</v>
      </c>
      <c r="G27" s="390" t="str">
        <f t="shared" si="0"/>
        <v>Rétirédanslesdélais</v>
      </c>
      <c r="H27" s="381" t="s">
        <v>602</v>
      </c>
      <c r="I27" s="391">
        <v>45733</v>
      </c>
      <c r="J27" s="381"/>
      <c r="K27" s="381"/>
      <c r="L27" s="381"/>
      <c r="M27" s="381"/>
    </row>
    <row r="29" spans="1:13" x14ac:dyDescent="0.25">
      <c r="B29"/>
      <c r="C29"/>
    </row>
    <row r="30" spans="1:13" x14ac:dyDescent="0.25">
      <c r="B30"/>
      <c r="C30"/>
    </row>
    <row r="31" spans="1:13" x14ac:dyDescent="0.25">
      <c r="B31"/>
      <c r="C31"/>
    </row>
    <row r="32" spans="1:1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</sheetData>
  <autoFilter ref="A4:M27" xr:uid="{D559034C-E1A8-4788-A336-55187472940D}">
    <filterColumn colId="12" showButton="0"/>
    <sortState xmlns:xlrd2="http://schemas.microsoft.com/office/spreadsheetml/2017/richdata2" ref="A5:M14">
      <sortCondition ref="A4:A13"/>
    </sortState>
  </autoFilter>
  <mergeCells count="2">
    <mergeCell ref="G1:I1"/>
    <mergeCell ref="A2:B2"/>
  </mergeCells>
  <conditionalFormatting sqref="B1:B4">
    <cfRule type="duplicateValues" dxfId="1081" priority="23"/>
  </conditionalFormatting>
  <conditionalFormatting sqref="B1:B28 B45:B1048576">
    <cfRule type="duplicateValues" dxfId="1080" priority="1"/>
    <cfRule type="duplicateValues" dxfId="1079" priority="17"/>
    <cfRule type="duplicateValues" dxfId="1078" priority="18"/>
    <cfRule type="duplicateValues" dxfId="1077" priority="19"/>
  </conditionalFormatting>
  <conditionalFormatting sqref="B28 B1:B4 B45:B1048576">
    <cfRule type="duplicateValues" dxfId="1076" priority="24"/>
    <cfRule type="duplicateValues" dxfId="1075" priority="25"/>
    <cfRule type="duplicateValues" dxfId="1074" priority="26"/>
    <cfRule type="duplicateValues" dxfId="1073" priority="27"/>
    <cfRule type="duplicateValues" dxfId="1072" priority="28"/>
    <cfRule type="duplicateValues" dxfId="1071" priority="29"/>
    <cfRule type="duplicateValues" dxfId="1070" priority="30"/>
    <cfRule type="duplicateValues" dxfId="1069" priority="31"/>
    <cfRule type="duplicateValues" dxfId="1068" priority="32"/>
  </conditionalFormatting>
  <conditionalFormatting sqref="B28 B45:B1048576">
    <cfRule type="duplicateValues" dxfId="1067" priority="33"/>
  </conditionalFormatting>
  <conditionalFormatting sqref="G5:G27">
    <cfRule type="containsText" dxfId="1066" priority="21" operator="containsText" text="En Attente d'un Retrait Tardif">
      <formula>NOT(ISERROR(SEARCH("En Attente d'un Retrait Tardif",G5)))</formula>
    </cfRule>
    <cfRule type="containsText" dxfId="1065" priority="22" operator="containsText" text="Rétiré dans les délais">
      <formula>NOT(ISERROR(SEARCH("Rétiré dans les délais",G5)))</formula>
    </cfRule>
  </conditionalFormatting>
  <conditionalFormatting sqref="H1:H1048576">
    <cfRule type="duplicateValues" dxfId="1064" priority="20"/>
  </conditionalFormatting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2C7F-D222-4AD9-895F-3CCD0E41ED6D}">
  <sheetPr codeName="Feuil96">
    <tabColor theme="5" tint="-0.249977111117893"/>
  </sheetPr>
  <dimension ref="A1:M19"/>
  <sheetViews>
    <sheetView workbookViewId="0">
      <selection activeCell="D18" sqref="D18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1330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372</v>
      </c>
      <c r="F2" s="25"/>
      <c r="G2" s="314">
        <v>45724</v>
      </c>
      <c r="H2" s="365">
        <f ca="1">I2-G2</f>
        <v>372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81">
        <v>1</v>
      </c>
      <c r="B5" s="457">
        <v>4054511650</v>
      </c>
      <c r="C5" s="436" t="s">
        <v>26</v>
      </c>
      <c r="D5" s="433" t="s">
        <v>1331</v>
      </c>
      <c r="E5" s="437" t="s">
        <v>17</v>
      </c>
      <c r="F5" s="437" t="s">
        <v>1207</v>
      </c>
      <c r="G5" s="390" t="str">
        <f t="shared" ref="G5:G19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594</v>
      </c>
      <c r="I5" s="391">
        <v>45729</v>
      </c>
      <c r="J5" s="381"/>
      <c r="K5" s="381"/>
      <c r="L5" s="381"/>
      <c r="M5" s="381"/>
    </row>
    <row r="6" spans="1:13" s="394" customFormat="1" ht="15.75" x14ac:dyDescent="0.25">
      <c r="A6" s="381">
        <v>2</v>
      </c>
      <c r="B6" s="457">
        <v>4054491490</v>
      </c>
      <c r="C6" s="436" t="s">
        <v>26</v>
      </c>
      <c r="D6" s="433" t="s">
        <v>1144</v>
      </c>
      <c r="E6" s="437" t="s">
        <v>17</v>
      </c>
      <c r="F6" s="437" t="s">
        <v>1207</v>
      </c>
      <c r="G6" s="390" t="str">
        <f t="shared" si="0"/>
        <v>Rétirédanslesdélais</v>
      </c>
      <c r="H6" s="381" t="s">
        <v>589</v>
      </c>
      <c r="I6" s="391">
        <v>45727</v>
      </c>
      <c r="J6" s="381"/>
      <c r="K6" s="381"/>
      <c r="L6" s="381"/>
      <c r="M6" s="381"/>
    </row>
    <row r="7" spans="1:13" s="346" customFormat="1" ht="15" customHeight="1" x14ac:dyDescent="0.25">
      <c r="A7" s="381">
        <v>3</v>
      </c>
      <c r="B7" s="458">
        <v>4054483310</v>
      </c>
      <c r="C7" s="436" t="s">
        <v>24</v>
      </c>
      <c r="D7" s="433" t="s">
        <v>1332</v>
      </c>
      <c r="E7" s="437" t="s">
        <v>17</v>
      </c>
      <c r="F7" s="437" t="s">
        <v>1207</v>
      </c>
      <c r="G7" s="390" t="str">
        <f t="shared" si="0"/>
        <v>Rétirédanslesdélais</v>
      </c>
      <c r="H7" s="381" t="s">
        <v>587</v>
      </c>
      <c r="I7" s="391">
        <v>45728</v>
      </c>
      <c r="J7" s="381"/>
      <c r="K7" s="381"/>
      <c r="L7" s="381"/>
      <c r="M7" s="381"/>
    </row>
    <row r="8" spans="1:13" s="346" customFormat="1" ht="15.75" x14ac:dyDescent="0.25">
      <c r="A8" s="381">
        <v>4</v>
      </c>
      <c r="B8" s="458">
        <v>4054511680</v>
      </c>
      <c r="C8" s="280" t="s">
        <v>24</v>
      </c>
      <c r="D8" s="433" t="s">
        <v>1333</v>
      </c>
      <c r="E8" s="437" t="s">
        <v>17</v>
      </c>
      <c r="F8" s="437" t="s">
        <v>1207</v>
      </c>
      <c r="G8" s="390" t="str">
        <f t="shared" si="0"/>
        <v>Rétirédanslesdélais</v>
      </c>
      <c r="H8" s="381" t="s">
        <v>588</v>
      </c>
      <c r="I8" s="391">
        <v>45729</v>
      </c>
      <c r="J8" s="381"/>
      <c r="K8" s="381"/>
      <c r="L8" s="381"/>
      <c r="M8" s="381"/>
    </row>
    <row r="9" spans="1:13" s="346" customFormat="1" ht="15.75" x14ac:dyDescent="0.25">
      <c r="A9" s="381">
        <v>5</v>
      </c>
      <c r="B9" s="458">
        <v>4054508450</v>
      </c>
      <c r="C9" s="436" t="s">
        <v>26</v>
      </c>
      <c r="D9" s="433" t="s">
        <v>203</v>
      </c>
      <c r="E9" s="437" t="s">
        <v>17</v>
      </c>
      <c r="F9" s="437" t="s">
        <v>1207</v>
      </c>
      <c r="G9" s="390" t="str">
        <f t="shared" si="0"/>
        <v>Rétirédanslesdélais</v>
      </c>
      <c r="H9" s="381" t="s">
        <v>590</v>
      </c>
      <c r="I9" s="391">
        <v>45729</v>
      </c>
      <c r="J9" s="381"/>
      <c r="K9" s="381"/>
      <c r="L9" s="381"/>
      <c r="M9" s="381"/>
    </row>
    <row r="10" spans="1:13" ht="15.75" x14ac:dyDescent="0.25">
      <c r="A10" s="381">
        <v>6</v>
      </c>
      <c r="B10" s="458">
        <v>4054471091</v>
      </c>
      <c r="C10" s="280" t="s">
        <v>24</v>
      </c>
      <c r="D10" s="433" t="s">
        <v>570</v>
      </c>
      <c r="E10" s="437" t="s">
        <v>17</v>
      </c>
      <c r="F10" s="437" t="s">
        <v>1207</v>
      </c>
      <c r="G10" s="390" t="str">
        <f t="shared" si="0"/>
        <v>Rétirédanslesdélais</v>
      </c>
      <c r="H10" s="381" t="s">
        <v>580</v>
      </c>
      <c r="I10" s="391">
        <v>45727</v>
      </c>
      <c r="J10" s="381"/>
      <c r="K10" s="381"/>
      <c r="L10" s="381"/>
      <c r="M10" s="381"/>
    </row>
    <row r="11" spans="1:13" ht="15.75" x14ac:dyDescent="0.25">
      <c r="A11" s="381">
        <v>7</v>
      </c>
      <c r="B11" s="457">
        <v>4054498561</v>
      </c>
      <c r="C11" s="436" t="s">
        <v>26</v>
      </c>
      <c r="D11" s="433" t="s">
        <v>570</v>
      </c>
      <c r="E11" s="437" t="s">
        <v>17</v>
      </c>
      <c r="F11" s="437" t="s">
        <v>1207</v>
      </c>
      <c r="G11" s="390" t="str">
        <f t="shared" si="0"/>
        <v>Rétirédanslesdélais</v>
      </c>
      <c r="H11" s="381" t="s">
        <v>581</v>
      </c>
      <c r="I11" s="391">
        <v>45727</v>
      </c>
      <c r="J11" s="381"/>
      <c r="K11" s="381"/>
      <c r="L11" s="381"/>
      <c r="M11" s="381"/>
    </row>
    <row r="12" spans="1:13" ht="15.75" x14ac:dyDescent="0.25">
      <c r="A12" s="381">
        <v>8</v>
      </c>
      <c r="B12" s="457">
        <v>4054491580</v>
      </c>
      <c r="C12" s="436" t="s">
        <v>26</v>
      </c>
      <c r="D12" s="433" t="s">
        <v>203</v>
      </c>
      <c r="E12" s="437" t="s">
        <v>17</v>
      </c>
      <c r="F12" s="437" t="s">
        <v>1207</v>
      </c>
      <c r="G12" s="390" t="str">
        <f t="shared" si="0"/>
        <v>Rétirédanslesdélais</v>
      </c>
      <c r="H12" s="381" t="s">
        <v>586</v>
      </c>
      <c r="I12" s="391">
        <v>45728</v>
      </c>
      <c r="J12" s="381"/>
      <c r="K12" s="381"/>
      <c r="L12" s="381"/>
      <c r="M12" s="381"/>
    </row>
    <row r="13" spans="1:13" ht="15.75" x14ac:dyDescent="0.25">
      <c r="A13" s="381">
        <v>9</v>
      </c>
      <c r="B13" s="458">
        <v>4054471290</v>
      </c>
      <c r="C13" s="280" t="s">
        <v>24</v>
      </c>
      <c r="D13" s="433" t="s">
        <v>1141</v>
      </c>
      <c r="E13" s="437" t="s">
        <v>17</v>
      </c>
      <c r="F13" s="437" t="s">
        <v>1207</v>
      </c>
      <c r="G13" s="390" t="str">
        <f t="shared" si="0"/>
        <v>Rétirédanslesdélais</v>
      </c>
      <c r="H13" s="381" t="s">
        <v>583</v>
      </c>
      <c r="I13" s="391">
        <v>45727</v>
      </c>
      <c r="J13" s="381"/>
      <c r="K13" s="381"/>
      <c r="L13" s="381"/>
      <c r="M13" s="381"/>
    </row>
    <row r="14" spans="1:13" ht="15.75" x14ac:dyDescent="0.25">
      <c r="A14" s="381">
        <v>10</v>
      </c>
      <c r="B14" s="457">
        <v>2156555450</v>
      </c>
      <c r="C14" s="436" t="s">
        <v>26</v>
      </c>
      <c r="D14" s="433" t="s">
        <v>1334</v>
      </c>
      <c r="E14" s="437" t="s">
        <v>17</v>
      </c>
      <c r="F14" s="437" t="s">
        <v>1143</v>
      </c>
      <c r="G14" s="390" t="str">
        <f t="shared" si="0"/>
        <v>Rétirédanslesdélais</v>
      </c>
      <c r="H14" s="381" t="s">
        <v>582</v>
      </c>
      <c r="I14" s="391">
        <v>45727</v>
      </c>
      <c r="J14" s="381"/>
      <c r="K14" s="381"/>
      <c r="L14" s="381"/>
      <c r="M14" s="381"/>
    </row>
    <row r="15" spans="1:13" ht="15.75" x14ac:dyDescent="0.25">
      <c r="A15" s="381">
        <v>11</v>
      </c>
      <c r="B15" s="457">
        <v>4054502990</v>
      </c>
      <c r="C15" s="436" t="s">
        <v>26</v>
      </c>
      <c r="D15" s="433" t="s">
        <v>570</v>
      </c>
      <c r="E15" s="437" t="s">
        <v>17</v>
      </c>
      <c r="F15" s="437" t="s">
        <v>1207</v>
      </c>
      <c r="G15" s="390" t="str">
        <f t="shared" si="0"/>
        <v>Rétirédanslesdélais</v>
      </c>
      <c r="H15" s="381" t="s">
        <v>601</v>
      </c>
      <c r="I15" s="391">
        <v>45733</v>
      </c>
      <c r="J15" s="417" t="s">
        <v>1335</v>
      </c>
      <c r="K15" s="381"/>
      <c r="L15" s="381"/>
      <c r="M15" s="381"/>
    </row>
    <row r="16" spans="1:13" ht="15.75" x14ac:dyDescent="0.25">
      <c r="A16" s="381">
        <v>12</v>
      </c>
      <c r="B16" s="457">
        <v>4054495470</v>
      </c>
      <c r="C16" s="436" t="s">
        <v>26</v>
      </c>
      <c r="D16" s="433" t="s">
        <v>1144</v>
      </c>
      <c r="E16" s="437" t="s">
        <v>17</v>
      </c>
      <c r="F16" s="437" t="s">
        <v>1207</v>
      </c>
      <c r="G16" s="390" t="str">
        <f t="shared" si="0"/>
        <v>Rétirédanslesdélais</v>
      </c>
      <c r="H16" s="381" t="s">
        <v>585</v>
      </c>
      <c r="I16" s="391">
        <v>45727</v>
      </c>
      <c r="J16" s="381"/>
      <c r="K16" s="381"/>
      <c r="L16" s="381"/>
      <c r="M16" s="381"/>
    </row>
    <row r="17" spans="1:13" ht="15.75" x14ac:dyDescent="0.25">
      <c r="A17" s="381">
        <v>13</v>
      </c>
      <c r="B17" s="457">
        <v>2306379090</v>
      </c>
      <c r="C17" s="436" t="s">
        <v>26</v>
      </c>
      <c r="D17" s="433" t="s">
        <v>1118</v>
      </c>
      <c r="E17" s="437" t="s">
        <v>17</v>
      </c>
      <c r="F17" s="437" t="s">
        <v>1207</v>
      </c>
      <c r="G17" s="390" t="str">
        <f t="shared" si="0"/>
        <v>Rétirédanslesdélais</v>
      </c>
      <c r="H17" s="381" t="s">
        <v>620</v>
      </c>
      <c r="I17" s="391">
        <v>45736</v>
      </c>
      <c r="J17" s="381"/>
      <c r="K17" s="381"/>
      <c r="L17" s="381"/>
      <c r="M17" s="381"/>
    </row>
    <row r="18" spans="1:13" ht="15.75" x14ac:dyDescent="0.25">
      <c r="A18" s="381">
        <v>14</v>
      </c>
      <c r="B18" s="457">
        <v>4054487460</v>
      </c>
      <c r="C18" s="436" t="s">
        <v>26</v>
      </c>
      <c r="D18" s="433" t="s">
        <v>1138</v>
      </c>
      <c r="E18" s="437" t="s">
        <v>17</v>
      </c>
      <c r="F18" s="437" t="s">
        <v>1097</v>
      </c>
      <c r="G18" s="390" t="str">
        <f t="shared" si="0"/>
        <v>Rétirédanslesdélais</v>
      </c>
      <c r="H18" s="381" t="s">
        <v>603</v>
      </c>
      <c r="I18" s="391">
        <v>45733</v>
      </c>
      <c r="J18" s="381"/>
      <c r="K18" s="381"/>
      <c r="L18" s="381"/>
      <c r="M18" s="381"/>
    </row>
    <row r="19" spans="1:13" ht="15.75" x14ac:dyDescent="0.25">
      <c r="A19" s="381">
        <v>15</v>
      </c>
      <c r="B19" s="459">
        <v>4054382310</v>
      </c>
      <c r="C19" s="436" t="s">
        <v>26</v>
      </c>
      <c r="D19" s="433" t="s">
        <v>1122</v>
      </c>
      <c r="E19" s="437" t="s">
        <v>17</v>
      </c>
      <c r="F19" s="437" t="s">
        <v>1207</v>
      </c>
      <c r="G19" s="390" t="str">
        <f t="shared" si="0"/>
        <v>Rétirédanslesdélais</v>
      </c>
      <c r="H19" s="381" t="s">
        <v>584</v>
      </c>
      <c r="I19" s="391">
        <v>45727</v>
      </c>
      <c r="J19" s="381"/>
      <c r="K19" s="381"/>
      <c r="L19" s="381"/>
      <c r="M19" s="381"/>
    </row>
  </sheetData>
  <autoFilter ref="A4:M19" xr:uid="{D559034C-E1A8-4788-A336-55187472940D}">
    <filterColumn colId="12" showButton="0"/>
    <sortState xmlns:xlrd2="http://schemas.microsoft.com/office/spreadsheetml/2017/richdata2" ref="A5:M14">
      <sortCondition ref="A4:A13"/>
    </sortState>
  </autoFilter>
  <mergeCells count="2">
    <mergeCell ref="G1:I1"/>
    <mergeCell ref="A2:B2"/>
  </mergeCells>
  <conditionalFormatting sqref="B1:B4 B10:B11 B22:B26 B38:B1048576">
    <cfRule type="duplicateValues" dxfId="1063" priority="1380"/>
    <cfRule type="duplicateValues" dxfId="1062" priority="1381"/>
  </conditionalFormatting>
  <conditionalFormatting sqref="B1:B4">
    <cfRule type="duplicateValues" dxfId="1061" priority="9"/>
  </conditionalFormatting>
  <conditionalFormatting sqref="B1:B19 B22:B26 B38:B1048576">
    <cfRule type="duplicateValues" dxfId="1060" priority="1376"/>
  </conditionalFormatting>
  <conditionalFormatting sqref="B1:B26 B38:B1048576">
    <cfRule type="duplicateValues" dxfId="1059" priority="1"/>
    <cfRule type="duplicateValues" dxfId="1058" priority="1439"/>
  </conditionalFormatting>
  <conditionalFormatting sqref="B10:B11 B1:B4 B22:B26 B38:B1048576">
    <cfRule type="duplicateValues" dxfId="1057" priority="1390"/>
    <cfRule type="duplicateValues" dxfId="1056" priority="1391"/>
    <cfRule type="duplicateValues" dxfId="1055" priority="1392"/>
    <cfRule type="duplicateValues" dxfId="1054" priority="1393"/>
    <cfRule type="duplicateValues" dxfId="1053" priority="1394"/>
    <cfRule type="duplicateValues" dxfId="1052" priority="1395"/>
    <cfRule type="duplicateValues" dxfId="1051" priority="1396"/>
    <cfRule type="duplicateValues" dxfId="1050" priority="1397"/>
    <cfRule type="duplicateValues" dxfId="1049" priority="1398"/>
  </conditionalFormatting>
  <conditionalFormatting sqref="B10:B11 B22:B26 B38:B1048576">
    <cfRule type="duplicateValues" dxfId="1048" priority="1435"/>
  </conditionalFormatting>
  <conditionalFormatting sqref="G5:G19">
    <cfRule type="containsText" dxfId="1047" priority="7" operator="containsText" text="En Attente d'un Retrait Tardif">
      <formula>NOT(ISERROR(SEARCH("En Attente d'un Retrait Tardif",G5)))</formula>
    </cfRule>
    <cfRule type="containsText" dxfId="1046" priority="8" operator="containsText" text="Rétiré dans les délais">
      <formula>NOT(ISERROR(SEARCH("Rétiré dans les délais",G5)))</formula>
    </cfRule>
  </conditionalFormatting>
  <conditionalFormatting sqref="H1:H1048576">
    <cfRule type="duplicateValues" dxfId="1045" priority="6"/>
  </conditionalFormatting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8AFA-6ECB-43A8-941E-8DE14865AC50}">
  <sheetPr codeName="Feuil89">
    <tabColor theme="5" tint="-0.249977111117893"/>
  </sheetPr>
  <dimension ref="A1:M27"/>
  <sheetViews>
    <sheetView workbookViewId="0">
      <selection activeCell="I29" sqref="I29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38.42578125" customWidth="1"/>
  </cols>
  <sheetData>
    <row r="1" spans="1:13" ht="19.5" thickBot="1" x14ac:dyDescent="0.35">
      <c r="A1" s="348" t="s">
        <v>1336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382</v>
      </c>
      <c r="F2" s="25"/>
      <c r="G2" s="314">
        <v>45714</v>
      </c>
      <c r="H2" s="365">
        <f ca="1">I2-G2</f>
        <v>382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446">
        <v>2306275740</v>
      </c>
      <c r="C5" s="436" t="s">
        <v>26</v>
      </c>
      <c r="D5" s="433" t="s">
        <v>1337</v>
      </c>
      <c r="E5" s="381" t="s">
        <v>17</v>
      </c>
      <c r="F5" s="381" t="s">
        <v>1097</v>
      </c>
      <c r="G5" s="390" t="str">
        <f t="shared" ref="G5:G22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562</v>
      </c>
      <c r="I5" s="391">
        <v>45719</v>
      </c>
      <c r="J5" s="381"/>
      <c r="K5" s="381"/>
      <c r="L5" s="381"/>
      <c r="M5" s="381"/>
    </row>
    <row r="6" spans="1:13" s="394" customFormat="1" ht="15.75" x14ac:dyDescent="0.25">
      <c r="A6" s="397">
        <v>2</v>
      </c>
      <c r="B6" s="443">
        <v>4054409310</v>
      </c>
      <c r="C6" s="436" t="s">
        <v>24</v>
      </c>
      <c r="D6" s="433" t="s">
        <v>1338</v>
      </c>
      <c r="E6" s="381" t="s">
        <v>17</v>
      </c>
      <c r="F6" s="381" t="s">
        <v>1097</v>
      </c>
      <c r="G6" s="390" t="str">
        <f t="shared" si="0"/>
        <v>Rétirétardivement-30000FCFAamende</v>
      </c>
      <c r="H6" s="381" t="s">
        <v>619</v>
      </c>
      <c r="I6" s="391">
        <v>45735</v>
      </c>
      <c r="J6" s="450">
        <v>1892000</v>
      </c>
      <c r="K6" s="381"/>
      <c r="L6" s="381"/>
      <c r="M6" s="381"/>
    </row>
    <row r="7" spans="1:13" s="346" customFormat="1" ht="15" customHeight="1" x14ac:dyDescent="0.25">
      <c r="A7" s="397">
        <v>3</v>
      </c>
      <c r="B7" s="446">
        <v>4054442460</v>
      </c>
      <c r="C7" s="436" t="s">
        <v>26</v>
      </c>
      <c r="D7" s="433" t="s">
        <v>1339</v>
      </c>
      <c r="E7" s="381" t="s">
        <v>17</v>
      </c>
      <c r="F7" s="381" t="s">
        <v>1097</v>
      </c>
      <c r="G7" s="390" t="str">
        <f t="shared" si="0"/>
        <v>Rétirédanslesdélais</v>
      </c>
      <c r="H7" s="381" t="s">
        <v>579</v>
      </c>
      <c r="I7" s="391">
        <v>45723</v>
      </c>
      <c r="J7" s="450" t="s">
        <v>1340</v>
      </c>
      <c r="K7" s="381"/>
      <c r="L7" s="381"/>
      <c r="M7" s="381"/>
    </row>
    <row r="8" spans="1:13" s="346" customFormat="1" ht="15.75" x14ac:dyDescent="0.25">
      <c r="A8" s="397">
        <v>4</v>
      </c>
      <c r="B8" s="446">
        <v>4054454120</v>
      </c>
      <c r="C8" s="436" t="s">
        <v>26</v>
      </c>
      <c r="D8" s="433" t="s">
        <v>1341</v>
      </c>
      <c r="E8" s="381" t="s">
        <v>17</v>
      </c>
      <c r="F8" s="381" t="s">
        <v>1070</v>
      </c>
      <c r="G8" s="390" t="str">
        <f t="shared" si="0"/>
        <v>Rétirédanslesdélais</v>
      </c>
      <c r="H8" s="381" t="s">
        <v>564</v>
      </c>
      <c r="I8" s="391">
        <v>45720</v>
      </c>
      <c r="J8" s="381"/>
      <c r="K8" s="381"/>
      <c r="L8" s="381"/>
      <c r="M8" s="381"/>
    </row>
    <row r="9" spans="1:13" ht="15.75" x14ac:dyDescent="0.25">
      <c r="A9" s="397">
        <v>5</v>
      </c>
      <c r="B9" s="446">
        <v>4054471310</v>
      </c>
      <c r="C9" s="436" t="s">
        <v>24</v>
      </c>
      <c r="D9" s="433" t="s">
        <v>1075</v>
      </c>
      <c r="E9" s="430" t="s">
        <v>17</v>
      </c>
      <c r="F9" s="381" t="s">
        <v>1070</v>
      </c>
      <c r="G9" s="390" t="str">
        <f t="shared" si="0"/>
        <v>Rétirédanslesdélais</v>
      </c>
      <c r="H9" s="381" t="s">
        <v>565</v>
      </c>
      <c r="I9" s="391">
        <v>45720</v>
      </c>
      <c r="J9" s="381"/>
      <c r="K9" s="381"/>
      <c r="L9" s="381"/>
      <c r="M9" s="381"/>
    </row>
    <row r="10" spans="1:13" ht="15.75" x14ac:dyDescent="0.25">
      <c r="A10" s="397">
        <v>6</v>
      </c>
      <c r="B10" s="446">
        <v>4054471319</v>
      </c>
      <c r="C10" s="436" t="s">
        <v>24</v>
      </c>
      <c r="D10" s="433" t="s">
        <v>1075</v>
      </c>
      <c r="E10" s="430" t="s">
        <v>17</v>
      </c>
      <c r="F10" s="381" t="s">
        <v>1070</v>
      </c>
      <c r="G10" s="390" t="str">
        <f t="shared" si="0"/>
        <v>Rétirédanslesdélais</v>
      </c>
      <c r="H10" s="381" t="s">
        <v>566</v>
      </c>
      <c r="I10" s="391">
        <v>45720</v>
      </c>
      <c r="J10" s="381"/>
      <c r="K10" s="381"/>
      <c r="L10" s="381"/>
      <c r="M10" s="381"/>
    </row>
    <row r="11" spans="1:13" ht="15.75" x14ac:dyDescent="0.25">
      <c r="A11" s="397">
        <v>7</v>
      </c>
      <c r="B11" s="446">
        <v>4054486410</v>
      </c>
      <c r="C11" s="436" t="s">
        <v>26</v>
      </c>
      <c r="D11" s="433" t="s">
        <v>1342</v>
      </c>
      <c r="E11" s="381" t="s">
        <v>17</v>
      </c>
      <c r="F11" s="381" t="s">
        <v>1097</v>
      </c>
      <c r="G11" s="390" t="str">
        <f t="shared" si="0"/>
        <v>Rétirédanslesdélais</v>
      </c>
      <c r="H11" s="381" t="s">
        <v>563</v>
      </c>
      <c r="I11" s="391">
        <v>45720</v>
      </c>
      <c r="J11" s="381"/>
      <c r="K11" s="381"/>
      <c r="L11" s="381"/>
      <c r="M11" s="381"/>
    </row>
    <row r="12" spans="1:13" ht="15.75" x14ac:dyDescent="0.25">
      <c r="A12" s="397">
        <v>8</v>
      </c>
      <c r="B12" s="446">
        <v>4054502050</v>
      </c>
      <c r="C12" s="436" t="s">
        <v>26</v>
      </c>
      <c r="D12" s="433" t="s">
        <v>1343</v>
      </c>
      <c r="E12" s="381" t="s">
        <v>17</v>
      </c>
      <c r="F12" s="381" t="s">
        <v>1097</v>
      </c>
      <c r="G12" s="390" t="str">
        <f t="shared" si="0"/>
        <v>Rétirédanslesdélais</v>
      </c>
      <c r="H12" s="381" t="s">
        <v>574</v>
      </c>
      <c r="I12" s="391">
        <v>45721</v>
      </c>
      <c r="J12" s="381"/>
      <c r="K12" s="381"/>
      <c r="L12" s="381"/>
      <c r="M12" s="381"/>
    </row>
    <row r="13" spans="1:13" ht="15.75" x14ac:dyDescent="0.25">
      <c r="A13" s="397">
        <v>9</v>
      </c>
      <c r="B13" s="446">
        <v>2156353760</v>
      </c>
      <c r="C13" s="436" t="s">
        <v>26</v>
      </c>
      <c r="D13" s="433" t="s">
        <v>1344</v>
      </c>
      <c r="E13" s="381" t="s">
        <v>17</v>
      </c>
      <c r="F13" s="381" t="s">
        <v>1097</v>
      </c>
      <c r="G13" s="390" t="str">
        <f t="shared" si="0"/>
        <v>Rétirédanslesdélais</v>
      </c>
      <c r="H13" s="381" t="s">
        <v>575</v>
      </c>
      <c r="I13" s="391">
        <v>45722</v>
      </c>
      <c r="J13" s="381"/>
      <c r="K13" s="381"/>
      <c r="L13" s="381"/>
      <c r="M13" s="381"/>
    </row>
    <row r="14" spans="1:13" ht="15.75" x14ac:dyDescent="0.25">
      <c r="A14" s="397">
        <v>10</v>
      </c>
      <c r="B14" s="446">
        <v>2306380910</v>
      </c>
      <c r="C14" s="436" t="s">
        <v>26</v>
      </c>
      <c r="D14" s="433" t="s">
        <v>1165</v>
      </c>
      <c r="E14" s="381" t="s">
        <v>17</v>
      </c>
      <c r="F14" s="381" t="s">
        <v>1097</v>
      </c>
      <c r="G14" s="390" t="str">
        <f t="shared" si="0"/>
        <v>Rétirédanslesdélais</v>
      </c>
      <c r="H14" s="381" t="s">
        <v>567</v>
      </c>
      <c r="I14" s="391">
        <v>45720</v>
      </c>
      <c r="J14" s="381"/>
      <c r="K14" s="381"/>
      <c r="L14" s="381"/>
      <c r="M14" s="381"/>
    </row>
    <row r="15" spans="1:13" ht="15.75" x14ac:dyDescent="0.25">
      <c r="A15" s="397">
        <v>11</v>
      </c>
      <c r="B15" s="446">
        <v>4054464090</v>
      </c>
      <c r="C15" s="436" t="s">
        <v>26</v>
      </c>
      <c r="D15" s="433" t="s">
        <v>256</v>
      </c>
      <c r="E15" s="381" t="s">
        <v>17</v>
      </c>
      <c r="F15" s="381" t="s">
        <v>1097</v>
      </c>
      <c r="G15" s="390" t="str">
        <f t="shared" si="0"/>
        <v>Rétirédanslesdélais</v>
      </c>
      <c r="H15" s="381" t="s">
        <v>576</v>
      </c>
      <c r="I15" s="391">
        <v>45722</v>
      </c>
      <c r="J15" s="381"/>
      <c r="K15" s="381"/>
      <c r="L15" s="381"/>
      <c r="M15" s="381"/>
    </row>
    <row r="16" spans="1:13" ht="15.75" x14ac:dyDescent="0.25">
      <c r="A16" s="397">
        <v>12</v>
      </c>
      <c r="B16" s="446">
        <v>4054486400</v>
      </c>
      <c r="C16" s="436" t="s">
        <v>26</v>
      </c>
      <c r="D16" s="433" t="s">
        <v>1345</v>
      </c>
      <c r="E16" s="381" t="s">
        <v>17</v>
      </c>
      <c r="F16" s="381" t="s">
        <v>1097</v>
      </c>
      <c r="G16" s="390" t="str">
        <f t="shared" si="0"/>
        <v>Rétirédanslesdélais</v>
      </c>
      <c r="H16" s="381" t="s">
        <v>568</v>
      </c>
      <c r="I16" s="391">
        <v>45720</v>
      </c>
      <c r="J16" s="381"/>
      <c r="K16" s="381"/>
      <c r="L16" s="381"/>
      <c r="M16" s="381"/>
    </row>
    <row r="17" spans="1:13" ht="15.75" x14ac:dyDescent="0.25">
      <c r="A17" s="397">
        <v>13</v>
      </c>
      <c r="B17" s="446">
        <v>4054490790</v>
      </c>
      <c r="C17" s="436" t="s">
        <v>26</v>
      </c>
      <c r="D17" s="433" t="s">
        <v>67</v>
      </c>
      <c r="E17" s="381" t="s">
        <v>17</v>
      </c>
      <c r="F17" s="381" t="s">
        <v>1097</v>
      </c>
      <c r="G17" s="390" t="str">
        <f t="shared" si="0"/>
        <v>Rétirédanslesdélais</v>
      </c>
      <c r="H17" s="381" t="s">
        <v>560</v>
      </c>
      <c r="I17" s="391">
        <v>45719</v>
      </c>
      <c r="J17" s="381"/>
      <c r="K17" s="381"/>
      <c r="L17" s="381"/>
      <c r="M17" s="381"/>
    </row>
    <row r="18" spans="1:13" ht="15.75" x14ac:dyDescent="0.25">
      <c r="A18" s="397">
        <v>14</v>
      </c>
      <c r="B18" s="446">
        <v>4054499710</v>
      </c>
      <c r="C18" s="436" t="s">
        <v>26</v>
      </c>
      <c r="D18" s="433" t="s">
        <v>1279</v>
      </c>
      <c r="E18" s="381" t="s">
        <v>17</v>
      </c>
      <c r="F18" s="381" t="s">
        <v>1097</v>
      </c>
      <c r="G18" s="390" t="str">
        <f t="shared" si="0"/>
        <v>Rétirédanslesdélais</v>
      </c>
      <c r="H18" s="381" t="s">
        <v>571</v>
      </c>
      <c r="I18" s="391">
        <v>45721</v>
      </c>
      <c r="J18" s="381"/>
      <c r="K18" s="381"/>
      <c r="L18" s="381"/>
      <c r="M18" s="381" t="s">
        <v>1346</v>
      </c>
    </row>
    <row r="19" spans="1:13" ht="15.75" x14ac:dyDescent="0.25">
      <c r="A19" s="397">
        <v>15</v>
      </c>
      <c r="B19" s="447">
        <v>4054508360</v>
      </c>
      <c r="C19" s="436" t="s">
        <v>26</v>
      </c>
      <c r="D19" s="452" t="s">
        <v>67</v>
      </c>
      <c r="E19" s="381" t="s">
        <v>17</v>
      </c>
      <c r="F19" s="381" t="s">
        <v>1097</v>
      </c>
      <c r="G19" s="444" t="str">
        <f t="shared" si="0"/>
        <v>Rétirédanslesdélais</v>
      </c>
      <c r="H19" s="381" t="s">
        <v>561</v>
      </c>
      <c r="I19" s="391">
        <v>45719</v>
      </c>
      <c r="J19" s="381"/>
      <c r="K19" s="445"/>
      <c r="L19" s="445"/>
      <c r="M19" s="445"/>
    </row>
    <row r="20" spans="1:13" ht="15.75" x14ac:dyDescent="0.25">
      <c r="A20" s="397">
        <v>16</v>
      </c>
      <c r="B20" s="448">
        <v>4054498560</v>
      </c>
      <c r="C20" s="436" t="s">
        <v>26</v>
      </c>
      <c r="D20" s="373" t="s">
        <v>1276</v>
      </c>
      <c r="E20" s="381" t="s">
        <v>17</v>
      </c>
      <c r="F20" s="381" t="s">
        <v>1097</v>
      </c>
      <c r="G20" s="390" t="str">
        <f t="shared" si="0"/>
        <v>Rétirédanslesdélais</v>
      </c>
      <c r="H20" s="381" t="s">
        <v>572</v>
      </c>
      <c r="I20" s="391">
        <v>45721</v>
      </c>
      <c r="J20" s="373"/>
      <c r="K20" s="373"/>
      <c r="L20" s="373"/>
      <c r="M20" s="373"/>
    </row>
    <row r="21" spans="1:13" ht="15.75" x14ac:dyDescent="0.25">
      <c r="A21" s="397">
        <v>17</v>
      </c>
      <c r="B21" s="449">
        <v>4054471090</v>
      </c>
      <c r="C21" s="436" t="s">
        <v>24</v>
      </c>
      <c r="D21" s="433" t="s">
        <v>1276</v>
      </c>
      <c r="E21" s="430" t="s">
        <v>17</v>
      </c>
      <c r="F21" s="381" t="s">
        <v>1097</v>
      </c>
      <c r="G21" s="390" t="str">
        <f t="shared" si="0"/>
        <v>Rétirédanslesdélais</v>
      </c>
      <c r="H21" s="381" t="s">
        <v>573</v>
      </c>
      <c r="I21" s="391">
        <v>45721</v>
      </c>
      <c r="J21" s="381"/>
      <c r="K21" s="381"/>
      <c r="L21" s="381"/>
      <c r="M21" s="381"/>
    </row>
    <row r="22" spans="1:13" ht="15.75" x14ac:dyDescent="0.25">
      <c r="A22" s="397">
        <v>18</v>
      </c>
      <c r="B22" s="449">
        <v>2306156061</v>
      </c>
      <c r="C22" s="436" t="s">
        <v>26</v>
      </c>
      <c r="D22" s="433" t="s">
        <v>1165</v>
      </c>
      <c r="E22" s="430" t="s">
        <v>17</v>
      </c>
      <c r="F22" s="381" t="s">
        <v>1097</v>
      </c>
      <c r="G22" s="390" t="str">
        <f t="shared" si="0"/>
        <v>Rétirédanslesdélais</v>
      </c>
      <c r="H22" s="381" t="s">
        <v>569</v>
      </c>
      <c r="I22" s="391">
        <v>45720</v>
      </c>
      <c r="J22" s="381"/>
      <c r="K22" s="381"/>
      <c r="L22" s="381"/>
      <c r="M22" s="381"/>
    </row>
    <row r="25" spans="1:13" x14ac:dyDescent="0.25">
      <c r="B25"/>
    </row>
    <row r="26" spans="1:13" x14ac:dyDescent="0.25">
      <c r="B26"/>
    </row>
    <row r="27" spans="1:13" x14ac:dyDescent="0.25">
      <c r="B27"/>
    </row>
  </sheetData>
  <autoFilter ref="A4:M22" xr:uid="{D559034C-E1A8-4788-A336-55187472940D}">
    <filterColumn colId="12" showButton="0"/>
    <sortState xmlns:xlrd2="http://schemas.microsoft.com/office/spreadsheetml/2017/richdata2" ref="A5:M12">
      <sortCondition ref="A4:A11"/>
    </sortState>
  </autoFilter>
  <mergeCells count="2">
    <mergeCell ref="G1:I1"/>
    <mergeCell ref="A2:B2"/>
  </mergeCells>
  <conditionalFormatting sqref="B1:B4">
    <cfRule type="duplicateValues" dxfId="1044" priority="10"/>
  </conditionalFormatting>
  <conditionalFormatting sqref="B1:B1048576">
    <cfRule type="duplicateValues" dxfId="1043" priority="1"/>
  </conditionalFormatting>
  <conditionalFormatting sqref="B28:B1048576 B1:B4 B13:B24">
    <cfRule type="duplicateValues" dxfId="1042" priority="1291"/>
    <cfRule type="duplicateValues" dxfId="1041" priority="1292"/>
    <cfRule type="duplicateValues" dxfId="1040" priority="1293"/>
    <cfRule type="duplicateValues" dxfId="1039" priority="1294"/>
    <cfRule type="duplicateValues" dxfId="1038" priority="1295"/>
    <cfRule type="duplicateValues" dxfId="1037" priority="1296"/>
    <cfRule type="duplicateValues" dxfId="1036" priority="1297"/>
    <cfRule type="duplicateValues" dxfId="1035" priority="1298"/>
    <cfRule type="duplicateValues" dxfId="1034" priority="1332"/>
  </conditionalFormatting>
  <conditionalFormatting sqref="B28:B1048576 B1:B24">
    <cfRule type="duplicateValues" dxfId="1033" priority="1323"/>
    <cfRule type="duplicateValues" dxfId="1032" priority="1324"/>
    <cfRule type="duplicateValues" dxfId="1031" priority="1325"/>
  </conditionalFormatting>
  <conditionalFormatting sqref="B28:B1048576 B13:B24">
    <cfRule type="duplicateValues" dxfId="1030" priority="1336"/>
  </conditionalFormatting>
  <conditionalFormatting sqref="G5:G22">
    <cfRule type="containsText" dxfId="1029" priority="8" operator="containsText" text="En Attente d'un Retrait Tardif">
      <formula>NOT(ISERROR(SEARCH("En Attente d'un Retrait Tardif",G5)))</formula>
    </cfRule>
    <cfRule type="containsText" dxfId="1028" priority="9" operator="containsText" text="Rétiré dans les délais">
      <formula>NOT(ISERROR(SEARCH("Rétiré dans les délais",G5)))</formula>
    </cfRule>
  </conditionalFormatting>
  <conditionalFormatting sqref="H1:H1048576">
    <cfRule type="duplicateValues" dxfId="1027" priority="6"/>
  </conditionalFormatting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7E56-24E2-4B41-877B-833B96D3F885}">
  <sheetPr codeName="Feuil90">
    <tabColor theme="5" tint="-0.249977111117893"/>
  </sheetPr>
  <dimension ref="A1:M21"/>
  <sheetViews>
    <sheetView workbookViewId="0">
      <selection activeCell="D20" sqref="D20"/>
    </sheetView>
  </sheetViews>
  <sheetFormatPr baseColWidth="10" defaultRowHeight="15" x14ac:dyDescent="0.25"/>
  <cols>
    <col min="1" max="1" width="7.42578125" customWidth="1"/>
    <col min="2" max="2" width="14.140625" style="105" bestFit="1" customWidth="1"/>
    <col min="3" max="3" width="11.7109375" style="10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1347</v>
      </c>
      <c r="B1" s="431"/>
      <c r="C1" s="431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393</v>
      </c>
      <c r="F2" s="25"/>
      <c r="G2" s="314">
        <v>45703</v>
      </c>
      <c r="H2" s="365">
        <f ca="1">I2-G2</f>
        <v>393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434" t="s">
        <v>2</v>
      </c>
      <c r="C4" s="432" t="s">
        <v>3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97">
        <v>1</v>
      </c>
      <c r="B5" s="443">
        <v>4054490640</v>
      </c>
      <c r="C5" s="436" t="s">
        <v>26</v>
      </c>
      <c r="D5" s="433" t="s">
        <v>1348</v>
      </c>
      <c r="E5" s="381" t="s">
        <v>17</v>
      </c>
      <c r="F5" s="381"/>
      <c r="G5" s="390" t="str">
        <f t="shared" ref="G5:G21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559</v>
      </c>
      <c r="I5" s="391">
        <v>45715</v>
      </c>
      <c r="J5" s="381"/>
      <c r="K5" s="381"/>
      <c r="L5" s="381"/>
      <c r="M5" s="381"/>
    </row>
    <row r="6" spans="1:13" s="394" customFormat="1" ht="15.75" x14ac:dyDescent="0.25">
      <c r="A6" s="397">
        <v>2</v>
      </c>
      <c r="B6" s="443">
        <v>4054471270</v>
      </c>
      <c r="C6" s="436" t="s">
        <v>24</v>
      </c>
      <c r="D6" s="433" t="s">
        <v>1141</v>
      </c>
      <c r="E6" s="381" t="s">
        <v>17</v>
      </c>
      <c r="F6" s="381" t="s">
        <v>1207</v>
      </c>
      <c r="G6" s="390" t="str">
        <f t="shared" si="0"/>
        <v>Rétirédanslesdélais</v>
      </c>
      <c r="H6" s="381" t="s">
        <v>540</v>
      </c>
      <c r="I6" s="391">
        <v>45707</v>
      </c>
      <c r="J6" s="381"/>
      <c r="K6" s="381"/>
      <c r="L6" s="381"/>
      <c r="M6" s="381"/>
    </row>
    <row r="7" spans="1:13" s="346" customFormat="1" ht="15" customHeight="1" x14ac:dyDescent="0.25">
      <c r="A7" s="397">
        <v>3</v>
      </c>
      <c r="B7" s="443">
        <v>4054461880</v>
      </c>
      <c r="C7" s="436" t="s">
        <v>24</v>
      </c>
      <c r="D7" s="433" t="s">
        <v>1075</v>
      </c>
      <c r="E7" s="381" t="s">
        <v>17</v>
      </c>
      <c r="F7" s="381" t="s">
        <v>501</v>
      </c>
      <c r="G7" s="390" t="str">
        <f t="shared" si="0"/>
        <v>Rétirédanslesdélais</v>
      </c>
      <c r="H7" s="381" t="s">
        <v>539</v>
      </c>
      <c r="I7" s="391">
        <v>45707</v>
      </c>
      <c r="J7" s="381"/>
      <c r="K7" s="381"/>
      <c r="L7" s="381"/>
      <c r="M7" s="381"/>
    </row>
    <row r="8" spans="1:13" s="346" customFormat="1" ht="15.75" x14ac:dyDescent="0.25">
      <c r="A8" s="397">
        <v>4</v>
      </c>
      <c r="B8" s="443">
        <v>4054475990</v>
      </c>
      <c r="C8" s="436" t="s">
        <v>26</v>
      </c>
      <c r="D8" s="433" t="s">
        <v>1308</v>
      </c>
      <c r="E8" s="381" t="s">
        <v>17</v>
      </c>
      <c r="F8" s="381" t="s">
        <v>1207</v>
      </c>
      <c r="G8" s="390" t="str">
        <f t="shared" si="0"/>
        <v>Rétirédanslesdélais</v>
      </c>
      <c r="H8" s="381" t="s">
        <v>541</v>
      </c>
      <c r="I8" s="391">
        <v>45706</v>
      </c>
      <c r="J8" s="381"/>
      <c r="K8" s="381"/>
      <c r="L8" s="381"/>
      <c r="M8" s="381"/>
    </row>
    <row r="9" spans="1:13" s="346" customFormat="1" ht="15.75" x14ac:dyDescent="0.25">
      <c r="A9" s="397">
        <v>5</v>
      </c>
      <c r="B9" s="443">
        <v>4054483220</v>
      </c>
      <c r="C9" s="436" t="s">
        <v>26</v>
      </c>
      <c r="D9" s="433" t="s">
        <v>1349</v>
      </c>
      <c r="E9" s="381" t="s">
        <v>17</v>
      </c>
      <c r="F9" s="381" t="s">
        <v>1207</v>
      </c>
      <c r="G9" s="390" t="str">
        <f t="shared" si="0"/>
        <v>Rétirédanslesdélais</v>
      </c>
      <c r="H9" s="381" t="s">
        <v>555</v>
      </c>
      <c r="I9" s="391">
        <v>45709</v>
      </c>
      <c r="J9" s="381"/>
      <c r="K9" s="381"/>
      <c r="L9" s="381"/>
      <c r="M9" s="381"/>
    </row>
    <row r="10" spans="1:13" ht="15.75" x14ac:dyDescent="0.25">
      <c r="A10" s="397">
        <v>6</v>
      </c>
      <c r="B10" s="443">
        <v>4054471080</v>
      </c>
      <c r="C10" s="436" t="s">
        <v>24</v>
      </c>
      <c r="D10" s="433" t="s">
        <v>570</v>
      </c>
      <c r="E10" s="430" t="s">
        <v>17</v>
      </c>
      <c r="F10" s="381" t="s">
        <v>1097</v>
      </c>
      <c r="G10" s="390" t="str">
        <f t="shared" si="0"/>
        <v>Rétirédanslesdélais</v>
      </c>
      <c r="H10" s="381" t="s">
        <v>546</v>
      </c>
      <c r="I10" s="391">
        <v>45707</v>
      </c>
      <c r="J10" s="381"/>
      <c r="K10" s="381"/>
      <c r="L10" s="381"/>
      <c r="M10" s="381"/>
    </row>
    <row r="11" spans="1:13" ht="15.75" x14ac:dyDescent="0.25">
      <c r="A11" s="397">
        <v>7</v>
      </c>
      <c r="B11" s="443">
        <v>4054478920</v>
      </c>
      <c r="C11" s="436" t="s">
        <v>26</v>
      </c>
      <c r="D11" s="433" t="s">
        <v>1076</v>
      </c>
      <c r="E11" s="381" t="s">
        <v>526</v>
      </c>
      <c r="F11" s="381" t="s">
        <v>527</v>
      </c>
      <c r="G11" s="390" t="str">
        <f t="shared" si="0"/>
        <v>Rétirédanslesdélais</v>
      </c>
      <c r="H11" s="381" t="s">
        <v>549</v>
      </c>
      <c r="I11" s="391">
        <v>45707</v>
      </c>
      <c r="J11" s="381"/>
      <c r="K11" s="381"/>
      <c r="L11" s="381"/>
      <c r="M11" s="381"/>
    </row>
    <row r="12" spans="1:13" ht="15.75" x14ac:dyDescent="0.25">
      <c r="A12" s="397">
        <v>8</v>
      </c>
      <c r="B12" s="443">
        <v>4054471050</v>
      </c>
      <c r="C12" s="436" t="s">
        <v>24</v>
      </c>
      <c r="D12" s="433" t="s">
        <v>570</v>
      </c>
      <c r="E12" s="381" t="s">
        <v>17</v>
      </c>
      <c r="F12" s="381"/>
      <c r="G12" s="390" t="str">
        <f t="shared" si="0"/>
        <v>Rétirédanslesdélais</v>
      </c>
      <c r="H12" s="381" t="s">
        <v>547</v>
      </c>
      <c r="I12" s="391">
        <v>45707</v>
      </c>
      <c r="J12" s="381"/>
      <c r="K12" s="381"/>
      <c r="L12" s="381"/>
      <c r="M12" s="381"/>
    </row>
    <row r="13" spans="1:13" ht="15.75" x14ac:dyDescent="0.25">
      <c r="A13" s="397">
        <v>9</v>
      </c>
      <c r="B13" s="443">
        <v>4054478870</v>
      </c>
      <c r="C13" s="436" t="s">
        <v>26</v>
      </c>
      <c r="D13" s="433" t="s">
        <v>1308</v>
      </c>
      <c r="E13" s="381" t="s">
        <v>17</v>
      </c>
      <c r="F13" s="381"/>
      <c r="G13" s="390" t="str">
        <f t="shared" si="0"/>
        <v>Rétirédanslesdélais</v>
      </c>
      <c r="H13" s="381" t="s">
        <v>542</v>
      </c>
      <c r="I13" s="391">
        <v>45706</v>
      </c>
      <c r="J13" s="381"/>
      <c r="K13" s="381"/>
      <c r="L13" s="381"/>
      <c r="M13" s="381"/>
    </row>
    <row r="14" spans="1:13" ht="15.75" x14ac:dyDescent="0.25">
      <c r="A14" s="397">
        <v>10</v>
      </c>
      <c r="B14" s="443">
        <v>4054451460</v>
      </c>
      <c r="C14" s="436" t="s">
        <v>26</v>
      </c>
      <c r="D14" s="433" t="s">
        <v>1146</v>
      </c>
      <c r="E14" s="381" t="s">
        <v>17</v>
      </c>
      <c r="F14" s="381"/>
      <c r="G14" s="390" t="str">
        <f t="shared" si="0"/>
        <v>Rétirédanslesdélais</v>
      </c>
      <c r="H14" s="381" t="s">
        <v>538</v>
      </c>
      <c r="I14" s="391">
        <v>45707</v>
      </c>
      <c r="J14" s="381"/>
      <c r="K14" s="381"/>
      <c r="L14" s="381"/>
      <c r="M14" s="381"/>
    </row>
    <row r="15" spans="1:13" ht="15.75" x14ac:dyDescent="0.25">
      <c r="A15" s="397">
        <v>11</v>
      </c>
      <c r="B15" s="443">
        <v>4054468041</v>
      </c>
      <c r="C15" s="436" t="s">
        <v>26</v>
      </c>
      <c r="D15" s="433" t="s">
        <v>1350</v>
      </c>
      <c r="E15" s="381" t="s">
        <v>17</v>
      </c>
      <c r="F15" s="381"/>
      <c r="G15" s="390" t="str">
        <f t="shared" si="0"/>
        <v>Rétirédanslesdélais</v>
      </c>
      <c r="H15" s="381" t="s">
        <v>543</v>
      </c>
      <c r="I15" s="391">
        <v>45707</v>
      </c>
      <c r="J15" s="381"/>
      <c r="K15" s="381"/>
      <c r="L15" s="381"/>
      <c r="M15" s="381"/>
    </row>
    <row r="16" spans="1:13" ht="15.75" x14ac:dyDescent="0.25">
      <c r="A16" s="397">
        <v>12</v>
      </c>
      <c r="B16" s="443">
        <v>4054468040</v>
      </c>
      <c r="C16" s="436" t="s">
        <v>26</v>
      </c>
      <c r="D16" s="433" t="s">
        <v>1350</v>
      </c>
      <c r="E16" s="381" t="s">
        <v>17</v>
      </c>
      <c r="F16" s="381"/>
      <c r="G16" s="390" t="str">
        <f t="shared" si="0"/>
        <v>Rétirédanslesdélais</v>
      </c>
      <c r="H16" s="381" t="s">
        <v>544</v>
      </c>
      <c r="I16" s="391">
        <v>45707</v>
      </c>
      <c r="J16" s="381"/>
      <c r="K16" s="381"/>
      <c r="L16" s="381"/>
      <c r="M16" s="381"/>
    </row>
    <row r="17" spans="1:13" ht="15.75" x14ac:dyDescent="0.25">
      <c r="A17" s="397">
        <v>13</v>
      </c>
      <c r="B17" s="443">
        <v>4054476120</v>
      </c>
      <c r="C17" s="436" t="s">
        <v>26</v>
      </c>
      <c r="D17" s="433" t="s">
        <v>1144</v>
      </c>
      <c r="E17" s="381" t="s">
        <v>17</v>
      </c>
      <c r="F17" s="381" t="s">
        <v>1207</v>
      </c>
      <c r="G17" s="390" t="str">
        <f t="shared" si="0"/>
        <v>Rétirédanslesdélais</v>
      </c>
      <c r="H17" s="381" t="s">
        <v>554</v>
      </c>
      <c r="I17" s="391">
        <v>45708</v>
      </c>
      <c r="J17" s="381" t="s">
        <v>1351</v>
      </c>
      <c r="K17" s="381"/>
      <c r="L17" s="381"/>
      <c r="M17" s="381"/>
    </row>
    <row r="18" spans="1:13" ht="15.75" x14ac:dyDescent="0.25">
      <c r="A18" s="397">
        <v>14</v>
      </c>
      <c r="B18" s="443">
        <v>4054442430</v>
      </c>
      <c r="C18" s="436" t="s">
        <v>26</v>
      </c>
      <c r="D18" s="433" t="s">
        <v>1138</v>
      </c>
      <c r="E18" s="381" t="s">
        <v>17</v>
      </c>
      <c r="F18" s="381"/>
      <c r="G18" s="390" t="str">
        <f t="shared" si="0"/>
        <v>Rétirédanslesdélais</v>
      </c>
      <c r="H18" s="381" t="s">
        <v>552</v>
      </c>
      <c r="I18" s="391">
        <v>45708</v>
      </c>
      <c r="J18" s="381"/>
      <c r="K18" s="381"/>
      <c r="L18" s="381"/>
      <c r="M18" s="381"/>
    </row>
    <row r="19" spans="1:13" ht="15.75" x14ac:dyDescent="0.25">
      <c r="A19" s="397">
        <v>15</v>
      </c>
      <c r="B19" s="443">
        <v>4054442440</v>
      </c>
      <c r="C19" s="436" t="s">
        <v>26</v>
      </c>
      <c r="D19" s="433" t="s">
        <v>1138</v>
      </c>
      <c r="E19" s="381" t="s">
        <v>17</v>
      </c>
      <c r="F19" s="381"/>
      <c r="G19" s="390" t="str">
        <f t="shared" si="0"/>
        <v>Rétirédanslesdélais</v>
      </c>
      <c r="H19" s="381" t="s">
        <v>551</v>
      </c>
      <c r="I19" s="391">
        <v>45708</v>
      </c>
      <c r="J19" s="381"/>
      <c r="K19" s="381"/>
      <c r="L19" s="381"/>
      <c r="M19" s="381"/>
    </row>
    <row r="20" spans="1:13" ht="15.75" x14ac:dyDescent="0.25">
      <c r="A20" s="397">
        <v>16</v>
      </c>
      <c r="B20" s="443">
        <v>4054442420</v>
      </c>
      <c r="C20" s="436" t="s">
        <v>26</v>
      </c>
      <c r="D20" s="433" t="s">
        <v>1138</v>
      </c>
      <c r="E20" s="381" t="s">
        <v>17</v>
      </c>
      <c r="F20" s="381"/>
      <c r="G20" s="390" t="str">
        <f t="shared" si="0"/>
        <v>Rétirédanslesdélais</v>
      </c>
      <c r="H20" s="381" t="s">
        <v>553</v>
      </c>
      <c r="I20" s="391">
        <v>45708</v>
      </c>
      <c r="J20" s="381"/>
      <c r="K20" s="381"/>
      <c r="L20" s="381"/>
      <c r="M20" s="381"/>
    </row>
    <row r="21" spans="1:13" ht="15.75" x14ac:dyDescent="0.25">
      <c r="A21" s="397">
        <v>17</v>
      </c>
      <c r="B21" s="443">
        <v>2306156060</v>
      </c>
      <c r="C21" s="436" t="s">
        <v>26</v>
      </c>
      <c r="D21" s="433" t="s">
        <v>1352</v>
      </c>
      <c r="E21" s="381" t="s">
        <v>17</v>
      </c>
      <c r="F21" s="381"/>
      <c r="G21" s="390" t="str">
        <f t="shared" si="0"/>
        <v>Rétirédanslesdélais</v>
      </c>
      <c r="H21" s="381" t="s">
        <v>550</v>
      </c>
      <c r="I21" s="391">
        <v>45707</v>
      </c>
      <c r="J21" s="381"/>
      <c r="K21" s="381"/>
      <c r="L21" s="381"/>
      <c r="M21" s="381"/>
    </row>
  </sheetData>
  <autoFilter ref="A4:M21" xr:uid="{D559034C-E1A8-4788-A336-55187472940D}">
    <filterColumn colId="12" showButton="0"/>
    <sortState xmlns:xlrd2="http://schemas.microsoft.com/office/spreadsheetml/2017/richdata2" ref="A5:M21">
      <sortCondition ref="A4:A13"/>
    </sortState>
  </autoFilter>
  <mergeCells count="2">
    <mergeCell ref="G1:I1"/>
    <mergeCell ref="A2:B2"/>
  </mergeCells>
  <conditionalFormatting sqref="B1:B4 B22:B1048576">
    <cfRule type="duplicateValues" dxfId="1026" priority="2"/>
    <cfRule type="duplicateValues" dxfId="1025" priority="9"/>
    <cfRule type="duplicateValues" dxfId="1024" priority="10"/>
    <cfRule type="duplicateValues" dxfId="1023" priority="11"/>
    <cfRule type="duplicateValues" dxfId="1022" priority="12"/>
    <cfRule type="duplicateValues" dxfId="1021" priority="13"/>
    <cfRule type="duplicateValues" dxfId="1020" priority="14"/>
    <cfRule type="duplicateValues" dxfId="1019" priority="15"/>
  </conditionalFormatting>
  <conditionalFormatting sqref="B1:B4">
    <cfRule type="duplicateValues" dxfId="1018" priority="7"/>
  </conditionalFormatting>
  <conditionalFormatting sqref="B1:B1048576">
    <cfRule type="duplicateValues" dxfId="1017" priority="1"/>
  </conditionalFormatting>
  <conditionalFormatting sqref="B22:B1048576 B1:B4">
    <cfRule type="duplicateValues" dxfId="1016" priority="4"/>
  </conditionalFormatting>
  <conditionalFormatting sqref="B22:B1048576">
    <cfRule type="duplicateValues" dxfId="1015" priority="16"/>
  </conditionalFormatting>
  <conditionalFormatting sqref="F22">
    <cfRule type="duplicateValues" dxfId="1014" priority="8"/>
  </conditionalFormatting>
  <conditionalFormatting sqref="G5:G21">
    <cfRule type="containsText" dxfId="1013" priority="5" operator="containsText" text="En Attente d'un Retrait Tardif">
      <formula>NOT(ISERROR(SEARCH("En Attente d'un Retrait Tardif",G5)))</formula>
    </cfRule>
    <cfRule type="containsText" dxfId="1012" priority="6" operator="containsText" text="Rétiré dans les délais">
      <formula>NOT(ISERROR(SEARCH("Rétiré dans les délais",G5)))</formula>
    </cfRule>
  </conditionalFormatting>
  <conditionalFormatting sqref="H1:H1048576">
    <cfRule type="duplicateValues" dxfId="1011" priority="3"/>
  </conditionalFormatting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D2AB-571C-4C55-B32D-492CFBE9D0A4}">
  <sheetPr codeName="Feuil91">
    <tabColor theme="5" tint="-0.249977111117893"/>
  </sheetPr>
  <dimension ref="A1:N20"/>
  <sheetViews>
    <sheetView workbookViewId="0">
      <selection activeCell="J29" sqref="J29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4" width="11.7109375" style="105" customWidth="1"/>
    <col min="5" max="5" width="43.140625" customWidth="1"/>
    <col min="6" max="6" width="13.140625" customWidth="1"/>
    <col min="7" max="7" width="24" customWidth="1"/>
    <col min="8" max="8" width="30.85546875" customWidth="1"/>
    <col min="9" max="9" width="24.140625" customWidth="1"/>
    <col min="10" max="10" width="19.28515625" customWidth="1"/>
    <col min="11" max="11" width="28" customWidth="1"/>
    <col min="14" max="14" width="27.28515625" customWidth="1"/>
  </cols>
  <sheetData>
    <row r="1" spans="1:14" ht="19.5" thickBot="1" x14ac:dyDescent="0.35">
      <c r="A1" s="348" t="s">
        <v>1353</v>
      </c>
      <c r="B1" s="98"/>
      <c r="C1" s="431"/>
      <c r="D1" s="431"/>
      <c r="E1" s="288"/>
      <c r="F1" s="288"/>
      <c r="G1" s="288"/>
      <c r="H1" s="729"/>
      <c r="I1" s="729"/>
      <c r="J1" s="729"/>
      <c r="K1" s="208"/>
      <c r="L1" s="208"/>
      <c r="M1" s="208"/>
    </row>
    <row r="2" spans="1:14" ht="24" thickBot="1" x14ac:dyDescent="0.3">
      <c r="A2" s="730" t="s">
        <v>0</v>
      </c>
      <c r="B2" s="730"/>
      <c r="C2" s="24"/>
      <c r="D2" s="24"/>
      <c r="E2" s="25"/>
      <c r="F2" s="358">
        <f ca="1">J2-H2</f>
        <v>396</v>
      </c>
      <c r="G2" s="25"/>
      <c r="H2" s="314">
        <v>45700</v>
      </c>
      <c r="I2" s="365">
        <f ca="1">J2-H2</f>
        <v>396</v>
      </c>
      <c r="J2" s="315">
        <f ca="1">TODAY()</f>
        <v>46096</v>
      </c>
      <c r="K2" s="340"/>
      <c r="L2" s="340"/>
      <c r="M2" s="208"/>
    </row>
    <row r="3" spans="1:14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4" ht="17.25" x14ac:dyDescent="0.25">
      <c r="A4" s="318" t="s">
        <v>1</v>
      </c>
      <c r="B4" s="335" t="s">
        <v>2</v>
      </c>
      <c r="C4" s="432" t="s">
        <v>3</v>
      </c>
      <c r="D4" s="432" t="s">
        <v>4</v>
      </c>
      <c r="E4" s="336" t="s">
        <v>5</v>
      </c>
      <c r="F4" s="318" t="s">
        <v>1065</v>
      </c>
      <c r="G4" s="318" t="s">
        <v>1066</v>
      </c>
      <c r="H4" s="318" t="s">
        <v>1067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318" t="s">
        <v>11</v>
      </c>
    </row>
    <row r="5" spans="1:14" s="394" customFormat="1" ht="15.75" x14ac:dyDescent="0.25">
      <c r="A5" s="381">
        <v>1</v>
      </c>
      <c r="B5" s="429">
        <v>4054396310</v>
      </c>
      <c r="C5" s="429" t="s">
        <v>355</v>
      </c>
      <c r="D5" s="429" t="s">
        <v>356</v>
      </c>
      <c r="E5" s="425"/>
      <c r="F5" s="381" t="s">
        <v>17</v>
      </c>
      <c r="G5" s="395" t="s">
        <v>1097</v>
      </c>
      <c r="H5" s="390" t="str">
        <f t="shared" ref="H5:H18" si="0">IF(J5="",IF($F$2&lt;=15,"EnattentedeRetrait","EnAttented'unRetraitTardif"),IF(J5-$H$2&lt;=15,"Rétirédanslesdélais",IF(J5-$H$2&gt;15,"Rétirétardivement-30000FCFAamende")))</f>
        <v>Rétirédanslesdélais</v>
      </c>
      <c r="I5" s="381" t="s">
        <v>534</v>
      </c>
      <c r="J5" s="391">
        <v>45706</v>
      </c>
      <c r="K5" s="381"/>
      <c r="L5" s="381"/>
      <c r="M5" s="381"/>
      <c r="N5" s="381"/>
    </row>
    <row r="6" spans="1:14" s="442" customFormat="1" ht="15.75" x14ac:dyDescent="0.25">
      <c r="A6" s="437">
        <v>2</v>
      </c>
      <c r="B6" s="427">
        <v>4054418600</v>
      </c>
      <c r="C6" s="427" t="s">
        <v>355</v>
      </c>
      <c r="D6" s="427" t="s">
        <v>358</v>
      </c>
      <c r="E6" s="438"/>
      <c r="F6" s="437" t="s">
        <v>17</v>
      </c>
      <c r="G6" s="439" t="s">
        <v>1097</v>
      </c>
      <c r="H6" s="440" t="str">
        <f t="shared" si="0"/>
        <v>Rétirédanslesdélais</v>
      </c>
      <c r="I6" s="437" t="s">
        <v>531</v>
      </c>
      <c r="J6" s="441">
        <v>45706</v>
      </c>
      <c r="K6" s="437"/>
      <c r="L6" s="437"/>
      <c r="M6" s="437"/>
      <c r="N6" s="437"/>
    </row>
    <row r="7" spans="1:14" s="346" customFormat="1" ht="15" customHeight="1" x14ac:dyDescent="0.25">
      <c r="A7" s="381">
        <v>3</v>
      </c>
      <c r="B7" s="429">
        <v>4054422470</v>
      </c>
      <c r="C7" s="429" t="s">
        <v>355</v>
      </c>
      <c r="D7" s="429" t="s">
        <v>462</v>
      </c>
      <c r="E7" s="425"/>
      <c r="F7" s="381" t="s">
        <v>17</v>
      </c>
      <c r="G7" s="395" t="s">
        <v>129</v>
      </c>
      <c r="H7" s="390" t="str">
        <f t="shared" si="0"/>
        <v>Rétirédanslesdélais</v>
      </c>
      <c r="I7" s="381" t="s">
        <v>535</v>
      </c>
      <c r="J7" s="391">
        <v>45706</v>
      </c>
      <c r="K7" s="381"/>
      <c r="L7" s="381"/>
      <c r="M7" s="381"/>
      <c r="N7" s="381"/>
    </row>
    <row r="8" spans="1:14" s="346" customFormat="1" ht="15.75" x14ac:dyDescent="0.25">
      <c r="A8" s="381">
        <v>4</v>
      </c>
      <c r="B8" s="429">
        <v>4054422550</v>
      </c>
      <c r="C8" s="429" t="s">
        <v>355</v>
      </c>
      <c r="D8" s="429" t="s">
        <v>358</v>
      </c>
      <c r="E8" s="425"/>
      <c r="F8" s="381" t="s">
        <v>17</v>
      </c>
      <c r="G8" s="395" t="s">
        <v>129</v>
      </c>
      <c r="H8" s="390" t="str">
        <f t="shared" si="0"/>
        <v>Rétirédanslesdélais</v>
      </c>
      <c r="I8" s="381" t="s">
        <v>556</v>
      </c>
      <c r="J8" s="391">
        <v>45712</v>
      </c>
      <c r="K8" s="381" t="s">
        <v>1354</v>
      </c>
      <c r="L8" s="381"/>
      <c r="M8" s="381"/>
      <c r="N8" s="381"/>
    </row>
    <row r="9" spans="1:14" s="346" customFormat="1" ht="15.75" x14ac:dyDescent="0.25">
      <c r="A9" s="381">
        <v>5</v>
      </c>
      <c r="B9" s="429">
        <v>4054458350</v>
      </c>
      <c r="C9" s="429" t="s">
        <v>355</v>
      </c>
      <c r="D9" s="429" t="s">
        <v>358</v>
      </c>
      <c r="E9" s="425"/>
      <c r="F9" s="381" t="s">
        <v>17</v>
      </c>
      <c r="G9" s="395" t="s">
        <v>129</v>
      </c>
      <c r="H9" s="390" t="str">
        <f t="shared" si="0"/>
        <v>Rétirédanslesdélais</v>
      </c>
      <c r="I9" s="381" t="s">
        <v>537</v>
      </c>
      <c r="J9" s="391">
        <v>45706</v>
      </c>
      <c r="K9" s="381"/>
      <c r="L9" s="381"/>
      <c r="M9" s="381"/>
      <c r="N9" s="381"/>
    </row>
    <row r="10" spans="1:14" ht="15.75" x14ac:dyDescent="0.25">
      <c r="A10" s="381">
        <v>6</v>
      </c>
      <c r="B10" s="429">
        <v>4054468200</v>
      </c>
      <c r="C10" s="429" t="s">
        <v>355</v>
      </c>
      <c r="D10" s="429" t="s">
        <v>518</v>
      </c>
      <c r="E10" s="425"/>
      <c r="F10" s="381" t="s">
        <v>17</v>
      </c>
      <c r="G10" s="395" t="s">
        <v>66</v>
      </c>
      <c r="H10" s="390" t="str">
        <f t="shared" si="0"/>
        <v>Rétirédanslesdélais</v>
      </c>
      <c r="I10" s="381" t="s">
        <v>533</v>
      </c>
      <c r="J10" s="391">
        <v>45706</v>
      </c>
      <c r="K10" s="381"/>
      <c r="L10" s="381"/>
      <c r="M10" s="381"/>
      <c r="N10" s="381"/>
    </row>
    <row r="11" spans="1:14" ht="15.75" x14ac:dyDescent="0.25">
      <c r="A11" s="381">
        <v>7</v>
      </c>
      <c r="B11" s="429">
        <v>4054468210</v>
      </c>
      <c r="C11" s="429" t="s">
        <v>355</v>
      </c>
      <c r="D11" s="429" t="s">
        <v>518</v>
      </c>
      <c r="E11" s="425"/>
      <c r="F11" s="381" t="s">
        <v>17</v>
      </c>
      <c r="G11" s="395" t="s">
        <v>66</v>
      </c>
      <c r="H11" s="390" t="str">
        <f t="shared" si="0"/>
        <v>Rétirédanslesdélais</v>
      </c>
      <c r="I11" s="381" t="s">
        <v>536</v>
      </c>
      <c r="J11" s="391">
        <v>45706</v>
      </c>
      <c r="K11" s="381"/>
      <c r="L11" s="381"/>
      <c r="M11" s="381"/>
      <c r="N11" s="381"/>
    </row>
    <row r="12" spans="1:14" ht="15.75" x14ac:dyDescent="0.25">
      <c r="A12" s="381">
        <v>8</v>
      </c>
      <c r="B12" s="429">
        <v>4054468240</v>
      </c>
      <c r="C12" s="429" t="s">
        <v>355</v>
      </c>
      <c r="D12" s="429" t="s">
        <v>518</v>
      </c>
      <c r="E12" s="425"/>
      <c r="F12" s="381" t="s">
        <v>17</v>
      </c>
      <c r="G12" s="395" t="s">
        <v>66</v>
      </c>
      <c r="H12" s="390" t="str">
        <f t="shared" si="0"/>
        <v>Rétirédanslesdélais</v>
      </c>
      <c r="I12" s="381" t="s">
        <v>532</v>
      </c>
      <c r="J12" s="391">
        <v>45706</v>
      </c>
      <c r="K12" s="381"/>
      <c r="L12" s="381"/>
      <c r="M12" s="381"/>
      <c r="N12" s="381"/>
    </row>
    <row r="13" spans="1:14" ht="15.75" x14ac:dyDescent="0.25">
      <c r="A13" s="381">
        <v>9</v>
      </c>
      <c r="B13" s="429">
        <v>4054471400</v>
      </c>
      <c r="C13" s="429" t="s">
        <v>355</v>
      </c>
      <c r="D13" s="429" t="s">
        <v>519</v>
      </c>
      <c r="E13" s="425"/>
      <c r="F13" s="381" t="s">
        <v>17</v>
      </c>
      <c r="G13" s="395" t="s">
        <v>129</v>
      </c>
      <c r="H13" s="390" t="str">
        <f t="shared" si="0"/>
        <v>Rétirédanslesdélais</v>
      </c>
      <c r="I13" s="381" t="s">
        <v>530</v>
      </c>
      <c r="J13" s="391">
        <v>45706</v>
      </c>
      <c r="K13" s="381"/>
      <c r="L13" s="381"/>
      <c r="M13" s="381"/>
      <c r="N13" s="381"/>
    </row>
    <row r="14" spans="1:14" ht="15.75" x14ac:dyDescent="0.25">
      <c r="A14" s="381">
        <v>10</v>
      </c>
      <c r="B14" s="429">
        <v>4054471430</v>
      </c>
      <c r="C14" s="429" t="s">
        <v>355</v>
      </c>
      <c r="D14" s="429" t="s">
        <v>519</v>
      </c>
      <c r="E14" s="425"/>
      <c r="F14" s="381" t="s">
        <v>17</v>
      </c>
      <c r="G14" s="395" t="s">
        <v>129</v>
      </c>
      <c r="H14" s="390" t="str">
        <f t="shared" si="0"/>
        <v>Rétirédanslesdélais</v>
      </c>
      <c r="I14" s="381" t="s">
        <v>529</v>
      </c>
      <c r="J14" s="391">
        <v>45706</v>
      </c>
      <c r="K14" s="381"/>
      <c r="L14" s="381"/>
      <c r="M14" s="381"/>
      <c r="N14" s="381"/>
    </row>
    <row r="15" spans="1:14" ht="15.75" x14ac:dyDescent="0.25">
      <c r="A15" s="381">
        <v>11</v>
      </c>
      <c r="B15" s="429">
        <v>4054477830</v>
      </c>
      <c r="C15" s="429" t="s">
        <v>465</v>
      </c>
      <c r="D15" s="429" t="s">
        <v>465</v>
      </c>
      <c r="E15" s="425"/>
      <c r="F15" s="381" t="s">
        <v>17</v>
      </c>
      <c r="G15" s="395" t="s">
        <v>129</v>
      </c>
      <c r="H15" s="390" t="str">
        <f t="shared" si="0"/>
        <v>Rétirédanslesdélais</v>
      </c>
      <c r="I15" s="381" t="s">
        <v>545</v>
      </c>
      <c r="J15" s="391">
        <v>45707</v>
      </c>
      <c r="K15" s="381"/>
      <c r="L15" s="381"/>
      <c r="M15" s="381"/>
      <c r="N15" s="381"/>
    </row>
    <row r="16" spans="1:14" ht="15.75" x14ac:dyDescent="0.25">
      <c r="A16" s="381">
        <v>12</v>
      </c>
      <c r="B16" s="429">
        <v>4054479670</v>
      </c>
      <c r="C16" s="429" t="s">
        <v>465</v>
      </c>
      <c r="D16" s="429" t="s">
        <v>465</v>
      </c>
      <c r="E16" s="425"/>
      <c r="F16" s="381" t="s">
        <v>17</v>
      </c>
      <c r="G16" s="395" t="s">
        <v>129</v>
      </c>
      <c r="H16" s="390" t="str">
        <f t="shared" si="0"/>
        <v>Rétirédanslesdélais</v>
      </c>
      <c r="I16" s="381" t="s">
        <v>557</v>
      </c>
      <c r="J16" s="391">
        <v>45714</v>
      </c>
      <c r="K16" s="381"/>
      <c r="L16" s="381"/>
      <c r="M16" s="381"/>
      <c r="N16" s="381"/>
    </row>
    <row r="17" spans="1:14" ht="15.75" x14ac:dyDescent="0.25">
      <c r="A17" s="381">
        <v>13</v>
      </c>
      <c r="B17" s="429">
        <v>4054479680</v>
      </c>
      <c r="C17" s="429" t="s">
        <v>465</v>
      </c>
      <c r="D17" s="429" t="s">
        <v>465</v>
      </c>
      <c r="E17" s="425"/>
      <c r="F17" s="381" t="s">
        <v>17</v>
      </c>
      <c r="G17" s="395" t="s">
        <v>129</v>
      </c>
      <c r="H17" s="390" t="str">
        <f t="shared" si="0"/>
        <v>Rétirédanslesdélais</v>
      </c>
      <c r="I17" s="381" t="s">
        <v>558</v>
      </c>
      <c r="J17" s="391">
        <v>45714</v>
      </c>
      <c r="K17" s="381"/>
      <c r="L17" s="381"/>
      <c r="M17" s="381"/>
      <c r="N17" s="381"/>
    </row>
    <row r="18" spans="1:14" ht="15.75" x14ac:dyDescent="0.25">
      <c r="A18" s="381">
        <v>14</v>
      </c>
      <c r="B18" s="429">
        <v>4054483750</v>
      </c>
      <c r="C18" s="429" t="s">
        <v>465</v>
      </c>
      <c r="D18" s="429" t="s">
        <v>465</v>
      </c>
      <c r="E18" s="425"/>
      <c r="F18" s="381" t="s">
        <v>17</v>
      </c>
      <c r="G18" s="395" t="s">
        <v>129</v>
      </c>
      <c r="H18" s="390" t="str">
        <f t="shared" si="0"/>
        <v>Rétirédanslesdélais</v>
      </c>
      <c r="I18" s="381" t="s">
        <v>858</v>
      </c>
      <c r="J18" s="391">
        <v>45702</v>
      </c>
      <c r="K18" s="381"/>
      <c r="L18" s="381"/>
      <c r="M18" s="381"/>
      <c r="N18" s="381"/>
    </row>
    <row r="19" spans="1:14" x14ac:dyDescent="0.25">
      <c r="F19" s="23"/>
    </row>
    <row r="20" spans="1:14" x14ac:dyDescent="0.25">
      <c r="F20" s="23"/>
    </row>
  </sheetData>
  <autoFilter ref="A4:N18" xr:uid="{D559034C-E1A8-4788-A336-55187472940D}">
    <filterColumn colId="13" showButton="0"/>
    <sortState xmlns:xlrd2="http://schemas.microsoft.com/office/spreadsheetml/2017/richdata2" ref="A5:N12">
      <sortCondition ref="A4:A12"/>
    </sortState>
  </autoFilter>
  <mergeCells count="2">
    <mergeCell ref="H1:J1"/>
    <mergeCell ref="A2:B2"/>
  </mergeCells>
  <conditionalFormatting sqref="B1:B4">
    <cfRule type="duplicateValues" dxfId="1010" priority="7"/>
  </conditionalFormatting>
  <conditionalFormatting sqref="B1:B1048576">
    <cfRule type="duplicateValues" dxfId="1009" priority="1"/>
    <cfRule type="duplicateValues" dxfId="1008" priority="2"/>
  </conditionalFormatting>
  <conditionalFormatting sqref="B19 B1:B4 B21:B1048576">
    <cfRule type="duplicateValues" dxfId="1007" priority="9"/>
    <cfRule type="duplicateValues" dxfId="1006" priority="10"/>
    <cfRule type="duplicateValues" dxfId="1005" priority="11"/>
    <cfRule type="duplicateValues" dxfId="1004" priority="12"/>
    <cfRule type="duplicateValues" dxfId="1003" priority="13"/>
    <cfRule type="duplicateValues" dxfId="1002" priority="14"/>
    <cfRule type="duplicateValues" dxfId="1001" priority="15"/>
  </conditionalFormatting>
  <conditionalFormatting sqref="B19 B21:B1048576">
    <cfRule type="duplicateValues" dxfId="1000" priority="16"/>
  </conditionalFormatting>
  <conditionalFormatting sqref="B21:B1048576 B1:B19">
    <cfRule type="duplicateValues" dxfId="999" priority="4"/>
  </conditionalFormatting>
  <conditionalFormatting sqref="G19:G22">
    <cfRule type="duplicateValues" dxfId="998" priority="8"/>
  </conditionalFormatting>
  <conditionalFormatting sqref="H5:H18">
    <cfRule type="containsText" dxfId="997" priority="5" operator="containsText" text="En Attente d'un Retrait Tardif">
      <formula>NOT(ISERROR(SEARCH("En Attente d'un Retrait Tardif",H5)))</formula>
    </cfRule>
    <cfRule type="containsText" dxfId="996" priority="6" operator="containsText" text="Rétiré dans les délais">
      <formula>NOT(ISERROR(SEARCH("Rétiré dans les délais",H5)))</formula>
    </cfRule>
  </conditionalFormatting>
  <conditionalFormatting sqref="I1:I1048576">
    <cfRule type="duplicateValues" dxfId="995" priority="3"/>
  </conditionalFormatting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F9DA-BF50-4E39-BE8B-5B571F34D1B0}">
  <sheetPr codeName="Feuil92">
    <tabColor theme="5" tint="-0.249977111117893"/>
  </sheetPr>
  <dimension ref="A1:M21"/>
  <sheetViews>
    <sheetView workbookViewId="0">
      <selection activeCell="H13" sqref="H13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3" width="19.14062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28" customWidth="1"/>
    <col min="13" max="13" width="27.28515625" customWidth="1"/>
  </cols>
  <sheetData>
    <row r="1" spans="1:13" ht="19.5" thickBot="1" x14ac:dyDescent="0.35">
      <c r="A1" s="348" t="s">
        <v>1355</v>
      </c>
      <c r="B1" s="98"/>
      <c r="C1" s="98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400</v>
      </c>
      <c r="F2" s="25"/>
      <c r="G2" s="314">
        <v>45696</v>
      </c>
      <c r="H2" s="365">
        <f ca="1">I2-G2</f>
        <v>400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335" t="s">
        <v>2</v>
      </c>
      <c r="C4" s="336" t="s">
        <v>4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81">
        <v>1</v>
      </c>
      <c r="B5" s="429">
        <v>2155816040</v>
      </c>
      <c r="C5" s="425" t="s">
        <v>26</v>
      </c>
      <c r="D5" s="425" t="s">
        <v>1356</v>
      </c>
      <c r="E5" s="381" t="s">
        <v>17</v>
      </c>
      <c r="F5" s="395" t="s">
        <v>1097</v>
      </c>
      <c r="G5" s="390" t="str">
        <f t="shared" ref="G5:G14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511</v>
      </c>
      <c r="I5" s="391">
        <v>45700</v>
      </c>
      <c r="J5" s="381"/>
      <c r="K5" s="381"/>
      <c r="L5" s="381"/>
      <c r="M5" s="381"/>
    </row>
    <row r="6" spans="1:13" s="394" customFormat="1" ht="15.75" x14ac:dyDescent="0.25">
      <c r="A6" s="381">
        <v>2</v>
      </c>
      <c r="B6" s="429">
        <v>2754664290</v>
      </c>
      <c r="C6" s="425" t="s">
        <v>26</v>
      </c>
      <c r="D6" s="425" t="s">
        <v>1337</v>
      </c>
      <c r="E6" s="381" t="s">
        <v>17</v>
      </c>
      <c r="F6" s="395" t="s">
        <v>1097</v>
      </c>
      <c r="G6" s="390" t="str">
        <f t="shared" si="0"/>
        <v>Rétirédanslesdélais</v>
      </c>
      <c r="H6" s="381" t="s">
        <v>512</v>
      </c>
      <c r="I6" s="391">
        <v>45700</v>
      </c>
      <c r="J6" s="381"/>
      <c r="K6" s="381"/>
      <c r="L6" s="381"/>
      <c r="M6" s="381"/>
    </row>
    <row r="7" spans="1:13" s="346" customFormat="1" ht="15" customHeight="1" x14ac:dyDescent="0.25">
      <c r="A7" s="381">
        <v>3</v>
      </c>
      <c r="B7" s="429">
        <v>4054414340</v>
      </c>
      <c r="C7" s="425" t="s">
        <v>26</v>
      </c>
      <c r="D7" s="425" t="s">
        <v>1357</v>
      </c>
      <c r="E7" s="381" t="s">
        <v>17</v>
      </c>
      <c r="F7" s="395" t="s">
        <v>500</v>
      </c>
      <c r="G7" s="390" t="str">
        <f t="shared" si="0"/>
        <v>Rétirédanslesdélais</v>
      </c>
      <c r="H7" s="381" t="s">
        <v>548</v>
      </c>
      <c r="I7" s="391">
        <v>45707</v>
      </c>
      <c r="J7" s="381"/>
      <c r="K7" s="381"/>
      <c r="L7" s="381"/>
      <c r="M7" s="381"/>
    </row>
    <row r="8" spans="1:13" s="346" customFormat="1" ht="15.75" x14ac:dyDescent="0.25">
      <c r="A8" s="381">
        <v>4</v>
      </c>
      <c r="B8" s="429">
        <v>4054419030</v>
      </c>
      <c r="C8" s="425" t="s">
        <v>26</v>
      </c>
      <c r="D8" s="425" t="s">
        <v>1358</v>
      </c>
      <c r="E8" s="381" t="s">
        <v>17</v>
      </c>
      <c r="F8" s="395" t="s">
        <v>500</v>
      </c>
      <c r="G8" s="390" t="str">
        <f t="shared" si="0"/>
        <v>Rétirédanslesdélais</v>
      </c>
      <c r="H8" s="381" t="s">
        <v>522</v>
      </c>
      <c r="I8" s="391">
        <v>45702</v>
      </c>
      <c r="J8" s="381"/>
      <c r="K8" s="381"/>
      <c r="L8" s="381"/>
      <c r="M8" s="381"/>
    </row>
    <row r="9" spans="1:13" s="346" customFormat="1" ht="15.75" x14ac:dyDescent="0.25">
      <c r="A9" s="381">
        <v>5</v>
      </c>
      <c r="B9" s="429">
        <v>4054442470</v>
      </c>
      <c r="C9" s="425" t="s">
        <v>26</v>
      </c>
      <c r="D9" s="425" t="s">
        <v>1339</v>
      </c>
      <c r="E9" s="381" t="s">
        <v>17</v>
      </c>
      <c r="F9" s="395" t="s">
        <v>1097</v>
      </c>
      <c r="G9" s="390" t="str">
        <f t="shared" si="0"/>
        <v>Rétirédanslesdélais</v>
      </c>
      <c r="H9" s="381" t="s">
        <v>524</v>
      </c>
      <c r="I9" s="391">
        <v>45701</v>
      </c>
      <c r="J9" s="381"/>
      <c r="K9" s="381"/>
      <c r="L9" s="381"/>
      <c r="M9" s="381"/>
    </row>
    <row r="10" spans="1:13" s="346" customFormat="1" ht="15.75" x14ac:dyDescent="0.25">
      <c r="A10" s="381">
        <v>6</v>
      </c>
      <c r="B10" s="429">
        <v>4054451410</v>
      </c>
      <c r="C10" s="425" t="s">
        <v>24</v>
      </c>
      <c r="D10" s="425" t="s">
        <v>1342</v>
      </c>
      <c r="E10" s="430" t="s">
        <v>17</v>
      </c>
      <c r="F10" s="395" t="s">
        <v>501</v>
      </c>
      <c r="G10" s="390" t="str">
        <f t="shared" si="0"/>
        <v>Rétirédanslesdélais</v>
      </c>
      <c r="H10" s="381" t="s">
        <v>525</v>
      </c>
      <c r="I10" s="391">
        <v>45702</v>
      </c>
      <c r="J10" s="381"/>
      <c r="K10" s="381"/>
      <c r="L10" s="381"/>
      <c r="M10" s="381"/>
    </row>
    <row r="11" spans="1:13" ht="15.75" x14ac:dyDescent="0.25">
      <c r="A11" s="381">
        <v>7</v>
      </c>
      <c r="B11" s="429">
        <v>4054466450</v>
      </c>
      <c r="C11" s="425" t="s">
        <v>164</v>
      </c>
      <c r="D11" s="425" t="s">
        <v>1359</v>
      </c>
      <c r="E11" s="430" t="s">
        <v>17</v>
      </c>
      <c r="F11" s="395" t="s">
        <v>1097</v>
      </c>
      <c r="G11" s="390" t="str">
        <f t="shared" si="0"/>
        <v>Rétirédanslesdélais</v>
      </c>
      <c r="H11" s="381" t="s">
        <v>520</v>
      </c>
      <c r="I11" s="391">
        <v>45702</v>
      </c>
      <c r="J11" s="381"/>
      <c r="K11" s="381"/>
      <c r="L11" s="381"/>
      <c r="M11" s="381"/>
    </row>
    <row r="12" spans="1:13" ht="15.75" x14ac:dyDescent="0.25">
      <c r="A12" s="381">
        <v>8</v>
      </c>
      <c r="B12" s="429">
        <v>4054466940</v>
      </c>
      <c r="C12" s="425" t="s">
        <v>26</v>
      </c>
      <c r="D12" s="425" t="s">
        <v>1360</v>
      </c>
      <c r="E12" s="381" t="s">
        <v>17</v>
      </c>
      <c r="F12" s="395" t="s">
        <v>1097</v>
      </c>
      <c r="G12" s="390" t="str">
        <f t="shared" si="0"/>
        <v>Rétirédanslesdélais</v>
      </c>
      <c r="H12" s="381" t="s">
        <v>516</v>
      </c>
      <c r="I12" s="391">
        <v>45701</v>
      </c>
      <c r="J12" s="381"/>
      <c r="K12" s="381"/>
      <c r="L12" s="381"/>
      <c r="M12" s="381"/>
    </row>
    <row r="13" spans="1:13" ht="15.75" x14ac:dyDescent="0.25">
      <c r="A13" s="381">
        <v>9</v>
      </c>
      <c r="B13" s="429">
        <v>4054470280</v>
      </c>
      <c r="C13" s="425" t="s">
        <v>26</v>
      </c>
      <c r="D13" s="425" t="s">
        <v>53</v>
      </c>
      <c r="E13" s="381" t="s">
        <v>17</v>
      </c>
      <c r="F13" s="395" t="s">
        <v>1070</v>
      </c>
      <c r="G13" s="390" t="str">
        <f t="shared" si="0"/>
        <v>Rétirédanslesdélais</v>
      </c>
      <c r="H13" s="381" t="s">
        <v>528</v>
      </c>
      <c r="I13" s="391">
        <v>45706</v>
      </c>
      <c r="J13" s="381"/>
      <c r="K13" s="381"/>
      <c r="L13" s="381"/>
      <c r="M13" s="381"/>
    </row>
    <row r="14" spans="1:13" ht="15.75" x14ac:dyDescent="0.25">
      <c r="A14" s="381">
        <v>10</v>
      </c>
      <c r="B14" s="429">
        <v>4054445970</v>
      </c>
      <c r="C14" s="425" t="s">
        <v>26</v>
      </c>
      <c r="D14" s="425" t="s">
        <v>1342</v>
      </c>
      <c r="E14" s="381" t="s">
        <v>17</v>
      </c>
      <c r="F14" s="395" t="s">
        <v>1097</v>
      </c>
      <c r="G14" s="390" t="str">
        <f t="shared" si="0"/>
        <v>Rétirédanslesdélais</v>
      </c>
      <c r="H14" s="381" t="s">
        <v>523</v>
      </c>
      <c r="I14" s="391">
        <v>45702</v>
      </c>
      <c r="J14" s="381"/>
      <c r="K14" s="381"/>
      <c r="L14" s="381"/>
      <c r="M14" s="381"/>
    </row>
    <row r="15" spans="1:13" x14ac:dyDescent="0.25">
      <c r="B15" s="424"/>
    </row>
    <row r="18" spans="5:5" x14ac:dyDescent="0.25">
      <c r="E18" s="23"/>
    </row>
    <row r="19" spans="5:5" x14ac:dyDescent="0.25">
      <c r="E19" s="23"/>
    </row>
    <row r="20" spans="5:5" x14ac:dyDescent="0.25">
      <c r="E20" s="23"/>
    </row>
    <row r="21" spans="5:5" x14ac:dyDescent="0.25">
      <c r="E21" s="23"/>
    </row>
  </sheetData>
  <autoFilter ref="A4:M14" xr:uid="{D559034C-E1A8-4788-A336-55187472940D}">
    <filterColumn colId="12" showButton="0"/>
    <sortState xmlns:xlrd2="http://schemas.microsoft.com/office/spreadsheetml/2017/richdata2" ref="A5:M13">
      <sortCondition ref="A4:A13"/>
    </sortState>
  </autoFilter>
  <mergeCells count="2">
    <mergeCell ref="G1:I1"/>
    <mergeCell ref="A2:B2"/>
  </mergeCells>
  <conditionalFormatting sqref="B1:B4">
    <cfRule type="duplicateValues" dxfId="994" priority="9"/>
  </conditionalFormatting>
  <conditionalFormatting sqref="B1:B1048576">
    <cfRule type="duplicateValues" dxfId="993" priority="1"/>
  </conditionalFormatting>
  <conditionalFormatting sqref="B15:B20 B1:B4 B22:B1048576">
    <cfRule type="duplicateValues" dxfId="992" priority="1235"/>
    <cfRule type="duplicateValues" dxfId="991" priority="1238"/>
    <cfRule type="duplicateValues" dxfId="990" priority="1239"/>
    <cfRule type="duplicateValues" dxfId="989" priority="1244"/>
    <cfRule type="duplicateValues" dxfId="988" priority="1245"/>
    <cfRule type="duplicateValues" dxfId="987" priority="1246"/>
    <cfRule type="duplicateValues" dxfId="986" priority="1247"/>
  </conditionalFormatting>
  <conditionalFormatting sqref="B15:B20 B22:B1048576">
    <cfRule type="duplicateValues" dxfId="985" priority="1256"/>
  </conditionalFormatting>
  <conditionalFormatting sqref="B22:B1048576 B1:B20">
    <cfRule type="duplicateValues" dxfId="984" priority="3"/>
  </conditionalFormatting>
  <conditionalFormatting sqref="F18:F23">
    <cfRule type="duplicateValues" dxfId="983" priority="15"/>
  </conditionalFormatting>
  <conditionalFormatting sqref="G5:G14">
    <cfRule type="containsText" dxfId="982" priority="7" operator="containsText" text="En Attente d'un Retrait Tardif">
      <formula>NOT(ISERROR(SEARCH("En Attente d'un Retrait Tardif",G5)))</formula>
    </cfRule>
    <cfRule type="containsText" dxfId="981" priority="8" operator="containsText" text="Rétiré dans les délais">
      <formula>NOT(ISERROR(SEARCH("Rétiré dans les délais",G5)))</formula>
    </cfRule>
  </conditionalFormatting>
  <conditionalFormatting sqref="H1:H1048576">
    <cfRule type="duplicateValues" dxfId="980" priority="2"/>
  </conditionalFormatting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A8D2-1122-4ECF-82FC-FC67B0137590}">
  <sheetPr codeName="Feuil93">
    <tabColor theme="5" tint="-0.249977111117893"/>
  </sheetPr>
  <dimension ref="A1:M48"/>
  <sheetViews>
    <sheetView workbookViewId="0">
      <selection activeCell="I21" sqref="I21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3" width="19.140625" customWidth="1"/>
    <col min="4" max="4" width="43.140625" customWidth="1"/>
    <col min="5" max="5" width="13.140625" customWidth="1"/>
    <col min="6" max="6" width="24" customWidth="1"/>
    <col min="7" max="7" width="30.85546875" customWidth="1"/>
    <col min="8" max="8" width="24.140625" customWidth="1"/>
    <col min="9" max="9" width="19.28515625" customWidth="1"/>
    <col min="10" max="10" width="35.140625" customWidth="1"/>
    <col min="13" max="13" width="27.28515625" customWidth="1"/>
  </cols>
  <sheetData>
    <row r="1" spans="1:13" ht="19.5" thickBot="1" x14ac:dyDescent="0.35">
      <c r="A1" s="348" t="s">
        <v>1361</v>
      </c>
      <c r="B1" s="98"/>
      <c r="C1" s="98"/>
      <c r="D1" s="288"/>
      <c r="E1" s="288"/>
      <c r="F1" s="288"/>
      <c r="G1" s="729"/>
      <c r="H1" s="729"/>
      <c r="I1" s="729"/>
      <c r="J1" s="208"/>
      <c r="K1" s="208"/>
      <c r="L1" s="208"/>
    </row>
    <row r="2" spans="1:13" ht="24" thickBot="1" x14ac:dyDescent="0.3">
      <c r="A2" s="730" t="s">
        <v>0</v>
      </c>
      <c r="B2" s="730"/>
      <c r="C2" s="24"/>
      <c r="D2" s="25"/>
      <c r="E2" s="358">
        <f ca="1">I2-G2</f>
        <v>415</v>
      </c>
      <c r="F2" s="25"/>
      <c r="G2" s="314">
        <v>45681</v>
      </c>
      <c r="H2" s="365">
        <f ca="1">I2-G2</f>
        <v>415</v>
      </c>
      <c r="I2" s="315">
        <f ca="1">TODAY()</f>
        <v>46096</v>
      </c>
      <c r="J2" s="340"/>
      <c r="K2" s="340"/>
      <c r="L2" s="208"/>
    </row>
    <row r="3" spans="1:13" x14ac:dyDescent="0.25">
      <c r="D3" s="292"/>
      <c r="E3" s="292"/>
      <c r="F3" s="292"/>
      <c r="G3" s="105"/>
      <c r="H3" s="105"/>
      <c r="I3" s="208"/>
      <c r="J3" s="208"/>
      <c r="K3" s="208"/>
      <c r="L3" s="369"/>
    </row>
    <row r="4" spans="1:13" ht="17.25" x14ac:dyDescent="0.25">
      <c r="A4" s="318" t="s">
        <v>1</v>
      </c>
      <c r="B4" s="335" t="s">
        <v>2</v>
      </c>
      <c r="C4" s="336" t="s">
        <v>4</v>
      </c>
      <c r="D4" s="336" t="s">
        <v>5</v>
      </c>
      <c r="E4" s="318" t="s">
        <v>1065</v>
      </c>
      <c r="F4" s="318" t="s">
        <v>1066</v>
      </c>
      <c r="G4" s="318" t="s">
        <v>1067</v>
      </c>
      <c r="H4" s="318" t="s">
        <v>167</v>
      </c>
      <c r="I4" s="318" t="s">
        <v>1068</v>
      </c>
      <c r="J4" s="318" t="s">
        <v>8</v>
      </c>
      <c r="K4" s="318" t="s">
        <v>9</v>
      </c>
      <c r="L4" s="318" t="s">
        <v>10</v>
      </c>
      <c r="M4" s="318" t="s">
        <v>11</v>
      </c>
    </row>
    <row r="5" spans="1:13" s="394" customFormat="1" ht="15.75" x14ac:dyDescent="0.25">
      <c r="A5" s="381">
        <v>1</v>
      </c>
      <c r="B5" s="429">
        <v>4054395770</v>
      </c>
      <c r="C5" s="425" t="s">
        <v>356</v>
      </c>
      <c r="D5" s="425" t="s">
        <v>1125</v>
      </c>
      <c r="E5" s="381" t="s">
        <v>17</v>
      </c>
      <c r="F5" s="395"/>
      <c r="G5" s="390" t="str">
        <f t="shared" ref="G5:G34" si="0">IF(I5="",IF($E$2&lt;=15,"EnattentedeRetrait","EnAttented'unRetraitTardif"),IF(I5-$G$2&lt;=15,"Rétirédanslesdélais",IF(I5-$G$2&gt;15,"Rétirétardivement-30000FCFAamende")))</f>
        <v>Rétirédanslesdélais</v>
      </c>
      <c r="H5" s="381" t="s">
        <v>467</v>
      </c>
      <c r="I5" s="391">
        <v>45692</v>
      </c>
      <c r="J5" s="417" t="s">
        <v>1362</v>
      </c>
      <c r="K5" s="381"/>
      <c r="L5" s="381"/>
      <c r="M5" s="381"/>
    </row>
    <row r="6" spans="1:13" s="394" customFormat="1" ht="15.75" x14ac:dyDescent="0.25">
      <c r="A6" s="381">
        <v>2</v>
      </c>
      <c r="B6" s="429">
        <v>4054416650</v>
      </c>
      <c r="C6" s="425" t="s">
        <v>463</v>
      </c>
      <c r="D6" s="425" t="s">
        <v>1363</v>
      </c>
      <c r="E6" s="381" t="s">
        <v>17</v>
      </c>
      <c r="F6" s="395"/>
      <c r="G6" s="390" t="str">
        <f t="shared" si="0"/>
        <v>Rétirédanslesdélais</v>
      </c>
      <c r="H6" s="381" t="s">
        <v>478</v>
      </c>
      <c r="I6" s="391">
        <v>45693</v>
      </c>
      <c r="J6" s="381"/>
      <c r="K6" s="381"/>
      <c r="L6" s="381"/>
      <c r="M6" s="381"/>
    </row>
    <row r="7" spans="1:13" s="346" customFormat="1" ht="15" customHeight="1" x14ac:dyDescent="0.25">
      <c r="A7" s="381">
        <v>3</v>
      </c>
      <c r="B7" s="429">
        <v>4054389600</v>
      </c>
      <c r="C7" s="425" t="s">
        <v>463</v>
      </c>
      <c r="D7" s="425" t="s">
        <v>1363</v>
      </c>
      <c r="E7" s="381" t="s">
        <v>17</v>
      </c>
      <c r="F7" s="395"/>
      <c r="G7" s="390" t="str">
        <f t="shared" si="0"/>
        <v>Rétirédanslesdélais</v>
      </c>
      <c r="H7" s="381" t="s">
        <v>477</v>
      </c>
      <c r="I7" s="391">
        <v>45693</v>
      </c>
      <c r="J7" s="381"/>
      <c r="K7" s="381"/>
      <c r="L7" s="381"/>
      <c r="M7" s="381"/>
    </row>
    <row r="8" spans="1:13" s="346" customFormat="1" ht="15.75" x14ac:dyDescent="0.25">
      <c r="A8" s="381">
        <v>4</v>
      </c>
      <c r="B8" s="429">
        <v>4054402620</v>
      </c>
      <c r="C8" s="425" t="s">
        <v>463</v>
      </c>
      <c r="D8" s="425" t="s">
        <v>1364</v>
      </c>
      <c r="E8" s="381" t="s">
        <v>17</v>
      </c>
      <c r="F8" s="428" t="s">
        <v>66</v>
      </c>
      <c r="G8" s="390" t="str">
        <f t="shared" si="0"/>
        <v>Rétirédanslesdélais</v>
      </c>
      <c r="H8" s="381" t="s">
        <v>485</v>
      </c>
      <c r="I8" s="391">
        <v>45694</v>
      </c>
      <c r="J8" s="381"/>
      <c r="K8" s="381"/>
      <c r="L8" s="381"/>
      <c r="M8" s="381"/>
    </row>
    <row r="9" spans="1:13" s="346" customFormat="1" ht="15.75" x14ac:dyDescent="0.25">
      <c r="A9" s="381">
        <v>4</v>
      </c>
      <c r="B9" s="429">
        <v>4054402629</v>
      </c>
      <c r="C9" s="425" t="s">
        <v>463</v>
      </c>
      <c r="D9" s="425" t="s">
        <v>1364</v>
      </c>
      <c r="E9" s="381" t="s">
        <v>17</v>
      </c>
      <c r="F9" s="428" t="s">
        <v>66</v>
      </c>
      <c r="G9" s="390" t="str">
        <f t="shared" si="0"/>
        <v>Rétirédanslesdélais</v>
      </c>
      <c r="H9" s="381" t="s">
        <v>486</v>
      </c>
      <c r="I9" s="391">
        <v>45694</v>
      </c>
      <c r="J9" s="381"/>
      <c r="K9" s="381"/>
      <c r="L9" s="381"/>
      <c r="M9" s="381"/>
    </row>
    <row r="10" spans="1:13" s="346" customFormat="1" ht="15.75" x14ac:dyDescent="0.25">
      <c r="A10" s="381">
        <v>5</v>
      </c>
      <c r="B10" s="429">
        <v>4054402830</v>
      </c>
      <c r="C10" s="425" t="s">
        <v>463</v>
      </c>
      <c r="D10" s="425" t="s">
        <v>1365</v>
      </c>
      <c r="E10" s="381" t="s">
        <v>17</v>
      </c>
      <c r="F10" s="395" t="s">
        <v>66</v>
      </c>
      <c r="G10" s="390" t="str">
        <f t="shared" si="0"/>
        <v>Rétirétardivement-30000FCFAamende</v>
      </c>
      <c r="H10" s="381" t="s">
        <v>508</v>
      </c>
      <c r="I10" s="391">
        <v>45699</v>
      </c>
      <c r="J10" s="417" t="s">
        <v>1366</v>
      </c>
      <c r="K10" s="381"/>
      <c r="L10" s="381"/>
      <c r="M10" s="381"/>
    </row>
    <row r="11" spans="1:13" ht="15.75" x14ac:dyDescent="0.25">
      <c r="A11" s="381">
        <v>6</v>
      </c>
      <c r="B11" s="429">
        <v>4054430160</v>
      </c>
      <c r="C11" s="425" t="s">
        <v>463</v>
      </c>
      <c r="D11" s="425" t="s">
        <v>1367</v>
      </c>
      <c r="E11" s="381" t="s">
        <v>17</v>
      </c>
      <c r="F11" s="395"/>
      <c r="G11" s="390" t="str">
        <f t="shared" si="0"/>
        <v>Rétirédanslesdélais</v>
      </c>
      <c r="H11" s="381" t="s">
        <v>480</v>
      </c>
      <c r="I11" s="391">
        <v>45693</v>
      </c>
      <c r="J11" s="381"/>
      <c r="K11" s="381"/>
      <c r="L11" s="381"/>
      <c r="M11" s="381"/>
    </row>
    <row r="12" spans="1:13" ht="15.75" x14ac:dyDescent="0.25">
      <c r="A12" s="381">
        <v>7</v>
      </c>
      <c r="B12" s="429">
        <v>4054416640</v>
      </c>
      <c r="C12" s="425" t="s">
        <v>463</v>
      </c>
      <c r="D12" s="425" t="s">
        <v>1363</v>
      </c>
      <c r="E12" s="381" t="s">
        <v>17</v>
      </c>
      <c r="F12" s="395"/>
      <c r="G12" s="390" t="str">
        <f t="shared" si="0"/>
        <v>Rétirédanslesdélais</v>
      </c>
      <c r="H12" s="381" t="s">
        <v>479</v>
      </c>
      <c r="I12" s="391">
        <v>45693</v>
      </c>
      <c r="J12" s="381"/>
      <c r="K12" s="381"/>
      <c r="L12" s="381"/>
      <c r="M12" s="381"/>
    </row>
    <row r="13" spans="1:13" ht="15.75" x14ac:dyDescent="0.25">
      <c r="A13" s="381">
        <v>8</v>
      </c>
      <c r="B13" s="429">
        <v>4054442530</v>
      </c>
      <c r="C13" s="425" t="s">
        <v>460</v>
      </c>
      <c r="D13" s="425" t="s">
        <v>1158</v>
      </c>
      <c r="E13" s="381" t="s">
        <v>17</v>
      </c>
      <c r="F13" s="395"/>
      <c r="G13" s="390" t="str">
        <f t="shared" si="0"/>
        <v>Rétirédanslesdélais</v>
      </c>
      <c r="H13" s="381" t="s">
        <v>492</v>
      </c>
      <c r="I13" s="391">
        <v>45695</v>
      </c>
      <c r="J13" s="381"/>
      <c r="K13" s="381"/>
      <c r="L13" s="381"/>
      <c r="M13" s="381"/>
    </row>
    <row r="14" spans="1:13" ht="15.75" x14ac:dyDescent="0.25">
      <c r="A14" s="381">
        <v>9</v>
      </c>
      <c r="B14" s="429">
        <v>4054442510</v>
      </c>
      <c r="C14" s="425" t="s">
        <v>356</v>
      </c>
      <c r="D14" s="425" t="s">
        <v>1125</v>
      </c>
      <c r="E14" s="381" t="s">
        <v>17</v>
      </c>
      <c r="F14" s="395"/>
      <c r="G14" s="390" t="str">
        <f t="shared" si="0"/>
        <v>Rétirédanslesdélais</v>
      </c>
      <c r="H14" s="381" t="s">
        <v>466</v>
      </c>
      <c r="I14" s="391">
        <v>45692</v>
      </c>
      <c r="J14" s="381"/>
      <c r="K14" s="381"/>
      <c r="L14" s="381"/>
      <c r="M14" s="381"/>
    </row>
    <row r="15" spans="1:13" ht="15.75" x14ac:dyDescent="0.25">
      <c r="A15" s="381">
        <v>10</v>
      </c>
      <c r="B15" s="429">
        <v>4054442500</v>
      </c>
      <c r="C15" s="425" t="s">
        <v>356</v>
      </c>
      <c r="D15" s="425" t="s">
        <v>1125</v>
      </c>
      <c r="E15" s="381" t="s">
        <v>17</v>
      </c>
      <c r="F15" s="395"/>
      <c r="G15" s="390" t="str">
        <f t="shared" si="0"/>
        <v>Rétirédanslesdélais</v>
      </c>
      <c r="H15" s="381" t="s">
        <v>481</v>
      </c>
      <c r="I15" s="391">
        <v>45693</v>
      </c>
      <c r="J15" s="381"/>
      <c r="K15" s="381"/>
      <c r="L15" s="381"/>
      <c r="M15" s="381"/>
    </row>
    <row r="16" spans="1:13" ht="15.75" x14ac:dyDescent="0.25">
      <c r="A16" s="381">
        <v>11</v>
      </c>
      <c r="B16" s="429">
        <v>4054429490</v>
      </c>
      <c r="C16" s="425" t="s">
        <v>460</v>
      </c>
      <c r="D16" s="425" t="s">
        <v>1158</v>
      </c>
      <c r="E16" s="381" t="s">
        <v>17</v>
      </c>
      <c r="F16" s="395"/>
      <c r="G16" s="390" t="str">
        <f t="shared" si="0"/>
        <v>Rétirédanslesdélais</v>
      </c>
      <c r="H16" s="381" t="s">
        <v>468</v>
      </c>
      <c r="I16" s="391">
        <v>45692</v>
      </c>
      <c r="J16" s="381"/>
      <c r="K16" s="381"/>
      <c r="L16" s="381"/>
      <c r="M16" s="381"/>
    </row>
    <row r="17" spans="1:13" ht="15.75" x14ac:dyDescent="0.25">
      <c r="A17" s="381">
        <v>12</v>
      </c>
      <c r="B17" s="429">
        <v>4054427830</v>
      </c>
      <c r="C17" s="425" t="s">
        <v>358</v>
      </c>
      <c r="D17" s="425" t="s">
        <v>1158</v>
      </c>
      <c r="E17" s="381" t="s">
        <v>17</v>
      </c>
      <c r="F17" s="395" t="s">
        <v>1207</v>
      </c>
      <c r="G17" s="390" t="str">
        <f t="shared" si="0"/>
        <v>Rétirédanslesdélais</v>
      </c>
      <c r="H17" s="381" t="s">
        <v>469</v>
      </c>
      <c r="I17" s="391">
        <v>45692</v>
      </c>
      <c r="J17" s="381"/>
      <c r="K17" s="381"/>
      <c r="L17" s="381"/>
      <c r="M17" s="381"/>
    </row>
    <row r="18" spans="1:13" ht="15.75" x14ac:dyDescent="0.25">
      <c r="A18" s="381">
        <v>13</v>
      </c>
      <c r="B18" s="429">
        <v>4054445670</v>
      </c>
      <c r="C18" s="425" t="s">
        <v>460</v>
      </c>
      <c r="D18" s="425" t="s">
        <v>1158</v>
      </c>
      <c r="E18" s="381" t="s">
        <v>17</v>
      </c>
      <c r="F18" s="395"/>
      <c r="G18" s="390" t="str">
        <f t="shared" si="0"/>
        <v>Rétirétardivement-30000FCFAamende</v>
      </c>
      <c r="H18" s="381" t="s">
        <v>507</v>
      </c>
      <c r="I18" s="391">
        <v>45699</v>
      </c>
      <c r="J18" s="381"/>
      <c r="K18" s="381"/>
      <c r="L18" s="381"/>
      <c r="M18" s="381"/>
    </row>
    <row r="19" spans="1:13" ht="15.75" x14ac:dyDescent="0.25">
      <c r="A19" s="381">
        <v>14</v>
      </c>
      <c r="B19" s="429">
        <v>4054436380</v>
      </c>
      <c r="C19" s="425" t="s">
        <v>358</v>
      </c>
      <c r="D19" s="425" t="s">
        <v>1158</v>
      </c>
      <c r="E19" s="381" t="s">
        <v>17</v>
      </c>
      <c r="F19" s="395"/>
      <c r="G19" s="390" t="str">
        <f t="shared" si="0"/>
        <v>Rétirédanslesdélais</v>
      </c>
      <c r="H19" s="381" t="s">
        <v>482</v>
      </c>
      <c r="I19" s="391">
        <v>45693</v>
      </c>
      <c r="J19" s="381"/>
      <c r="K19" s="381"/>
      <c r="L19" s="381"/>
      <c r="M19" s="381"/>
    </row>
    <row r="20" spans="1:13" ht="15.75" x14ac:dyDescent="0.25">
      <c r="A20" s="381">
        <v>15</v>
      </c>
      <c r="B20" s="429">
        <v>4054422540</v>
      </c>
      <c r="C20" s="425" t="s">
        <v>358</v>
      </c>
      <c r="D20" s="425" t="s">
        <v>1158</v>
      </c>
      <c r="E20" s="381" t="s">
        <v>17</v>
      </c>
      <c r="F20" s="395"/>
      <c r="G20" s="390" t="str">
        <f t="shared" si="0"/>
        <v>Rétirédanslesdélais</v>
      </c>
      <c r="H20" s="381" t="s">
        <v>484</v>
      </c>
      <c r="I20" s="391">
        <v>45694</v>
      </c>
      <c r="J20" s="381"/>
      <c r="K20" s="381"/>
      <c r="L20" s="381"/>
      <c r="M20" s="381"/>
    </row>
    <row r="21" spans="1:13" ht="15.75" x14ac:dyDescent="0.25">
      <c r="A21" s="381">
        <v>16</v>
      </c>
      <c r="B21" s="429">
        <v>4054442490</v>
      </c>
      <c r="C21" s="425" t="s">
        <v>460</v>
      </c>
      <c r="D21" s="425" t="s">
        <v>1158</v>
      </c>
      <c r="E21" s="381" t="s">
        <v>17</v>
      </c>
      <c r="F21" s="395"/>
      <c r="G21" s="390" t="str">
        <f t="shared" si="0"/>
        <v>Rétirédanslesdélais</v>
      </c>
      <c r="H21" s="381" t="s">
        <v>494</v>
      </c>
      <c r="I21" s="391">
        <v>45695</v>
      </c>
      <c r="J21" s="381"/>
      <c r="K21" s="381"/>
      <c r="L21" s="381"/>
      <c r="M21" s="381"/>
    </row>
    <row r="22" spans="1:13" ht="15.75" x14ac:dyDescent="0.25">
      <c r="A22" s="381">
        <v>17</v>
      </c>
      <c r="B22" s="429">
        <v>4054436330</v>
      </c>
      <c r="C22" s="425" t="s">
        <v>464</v>
      </c>
      <c r="D22" s="425" t="s">
        <v>37</v>
      </c>
      <c r="E22" s="417" t="s">
        <v>1154</v>
      </c>
      <c r="F22" s="395"/>
      <c r="G22" s="390" t="str">
        <f t="shared" si="0"/>
        <v>Rétirétardivement-30000FCFAamende</v>
      </c>
      <c r="H22" s="381" t="s">
        <v>502</v>
      </c>
      <c r="I22" s="391">
        <v>45698</v>
      </c>
      <c r="J22" s="381"/>
      <c r="K22" s="381"/>
      <c r="L22" s="381"/>
      <c r="M22" s="381"/>
    </row>
    <row r="23" spans="1:13" ht="15.75" x14ac:dyDescent="0.25">
      <c r="A23" s="381">
        <v>18</v>
      </c>
      <c r="B23" s="429">
        <v>4054471750</v>
      </c>
      <c r="C23" s="425" t="s">
        <v>465</v>
      </c>
      <c r="D23" s="425" t="s">
        <v>1368</v>
      </c>
      <c r="E23" s="381" t="s">
        <v>17</v>
      </c>
      <c r="F23" s="395" t="s">
        <v>66</v>
      </c>
      <c r="G23" s="390" t="str">
        <f t="shared" si="0"/>
        <v>Rétirédanslesdélais</v>
      </c>
      <c r="H23" s="381" t="s">
        <v>489</v>
      </c>
      <c r="I23" s="391">
        <v>45695</v>
      </c>
      <c r="J23" s="381"/>
      <c r="K23" s="381"/>
      <c r="L23" s="381"/>
      <c r="M23" s="381"/>
    </row>
    <row r="24" spans="1:13" ht="15.75" x14ac:dyDescent="0.25">
      <c r="A24" s="381">
        <v>19</v>
      </c>
      <c r="B24" s="429">
        <v>4054453850</v>
      </c>
      <c r="C24" s="425" t="s">
        <v>356</v>
      </c>
      <c r="D24" s="425" t="s">
        <v>1144</v>
      </c>
      <c r="E24" s="381" t="s">
        <v>17</v>
      </c>
      <c r="F24" s="395"/>
      <c r="G24" s="390" t="str">
        <f t="shared" si="0"/>
        <v>Rétirédanslesdélais</v>
      </c>
      <c r="H24" s="381" t="s">
        <v>473</v>
      </c>
      <c r="I24" s="391">
        <v>45693</v>
      </c>
      <c r="J24" s="381"/>
      <c r="K24" s="381"/>
      <c r="L24" s="381"/>
      <c r="M24" s="381"/>
    </row>
    <row r="25" spans="1:13" ht="15.75" x14ac:dyDescent="0.25">
      <c r="A25" s="381">
        <v>20</v>
      </c>
      <c r="B25" s="429">
        <v>4054426510</v>
      </c>
      <c r="C25" s="425" t="s">
        <v>461</v>
      </c>
      <c r="D25" s="425" t="s">
        <v>1369</v>
      </c>
      <c r="E25" s="417" t="s">
        <v>1154</v>
      </c>
      <c r="F25" s="395"/>
      <c r="G25" s="390" t="str">
        <f t="shared" si="0"/>
        <v>Rétirétardivement-30000FCFAamende</v>
      </c>
      <c r="H25" s="381" t="s">
        <v>510</v>
      </c>
      <c r="I25" s="391">
        <v>45700</v>
      </c>
      <c r="J25" s="381"/>
      <c r="K25" s="381"/>
      <c r="L25" s="381"/>
      <c r="M25" s="381"/>
    </row>
    <row r="26" spans="1:13" ht="15.75" x14ac:dyDescent="0.25">
      <c r="A26" s="381">
        <v>21</v>
      </c>
      <c r="B26" s="429">
        <v>4054409550</v>
      </c>
      <c r="C26" s="425" t="s">
        <v>461</v>
      </c>
      <c r="D26" s="425" t="s">
        <v>53</v>
      </c>
      <c r="E26" s="381" t="s">
        <v>17</v>
      </c>
      <c r="F26" s="395"/>
      <c r="G26" s="390" t="str">
        <f t="shared" si="0"/>
        <v>Rétirédanslesdélais</v>
      </c>
      <c r="H26" s="381" t="s">
        <v>476</v>
      </c>
      <c r="I26" s="391">
        <v>45693</v>
      </c>
      <c r="J26" s="381"/>
      <c r="K26" s="381"/>
      <c r="L26" s="381"/>
      <c r="M26" s="381"/>
    </row>
    <row r="27" spans="1:13" ht="15.75" x14ac:dyDescent="0.25">
      <c r="A27" s="381">
        <v>22</v>
      </c>
      <c r="B27" s="429">
        <v>4054422500</v>
      </c>
      <c r="C27" s="425" t="s">
        <v>462</v>
      </c>
      <c r="D27" s="425" t="s">
        <v>1370</v>
      </c>
      <c r="E27" s="381" t="s">
        <v>17</v>
      </c>
      <c r="F27" s="395"/>
      <c r="G27" s="390" t="str">
        <f t="shared" si="0"/>
        <v>Rétirédanslesdélais</v>
      </c>
      <c r="H27" s="381" t="s">
        <v>487</v>
      </c>
      <c r="I27" s="391">
        <v>45694</v>
      </c>
      <c r="J27" s="381"/>
      <c r="K27" s="381"/>
      <c r="L27" s="381"/>
      <c r="M27" s="381"/>
    </row>
    <row r="28" spans="1:13" ht="15.75" x14ac:dyDescent="0.25">
      <c r="A28" s="381">
        <v>23</v>
      </c>
      <c r="B28" s="429">
        <v>4054418790</v>
      </c>
      <c r="C28" s="425" t="s">
        <v>360</v>
      </c>
      <c r="D28" s="425" t="s">
        <v>274</v>
      </c>
      <c r="E28" s="417" t="s">
        <v>1154</v>
      </c>
      <c r="F28" s="395"/>
      <c r="G28" s="390" t="str">
        <f t="shared" si="0"/>
        <v>Rétirétardivement-30000FCFAamende</v>
      </c>
      <c r="H28" s="381" t="s">
        <v>509</v>
      </c>
      <c r="I28" s="391">
        <v>45700</v>
      </c>
      <c r="J28" s="381"/>
      <c r="K28" s="381"/>
      <c r="L28" s="381"/>
      <c r="M28" s="381"/>
    </row>
    <row r="29" spans="1:13" ht="15.75" x14ac:dyDescent="0.25">
      <c r="A29" s="381">
        <v>25</v>
      </c>
      <c r="B29" s="429">
        <v>4054422480</v>
      </c>
      <c r="C29" s="425" t="s">
        <v>462</v>
      </c>
      <c r="D29" s="425" t="s">
        <v>1370</v>
      </c>
      <c r="E29" s="381" t="s">
        <v>17</v>
      </c>
      <c r="F29" s="395"/>
      <c r="G29" s="390" t="str">
        <f t="shared" si="0"/>
        <v>Rétirédanslesdélais</v>
      </c>
      <c r="H29" s="381" t="s">
        <v>488</v>
      </c>
      <c r="I29" s="391">
        <v>45694</v>
      </c>
      <c r="J29" s="417" t="s">
        <v>1362</v>
      </c>
      <c r="K29" s="381"/>
      <c r="L29" s="381"/>
      <c r="M29" s="381"/>
    </row>
    <row r="30" spans="1:13" ht="15.75" x14ac:dyDescent="0.25">
      <c r="A30" s="381">
        <v>28</v>
      </c>
      <c r="B30" s="429">
        <v>4054448780</v>
      </c>
      <c r="C30" s="425" t="s">
        <v>358</v>
      </c>
      <c r="D30" s="425" t="s">
        <v>1371</v>
      </c>
      <c r="E30" s="381" t="s">
        <v>17</v>
      </c>
      <c r="F30" s="395"/>
      <c r="G30" s="390" t="str">
        <f t="shared" si="0"/>
        <v>Rétirétardivement-30000FCFAamende</v>
      </c>
      <c r="H30" s="381" t="s">
        <v>517</v>
      </c>
      <c r="I30" s="391">
        <v>45701</v>
      </c>
      <c r="J30" s="381"/>
      <c r="K30" s="381"/>
      <c r="L30" s="381"/>
      <c r="M30" s="381"/>
    </row>
    <row r="31" spans="1:13" ht="15.75" x14ac:dyDescent="0.25">
      <c r="A31" s="381">
        <v>31</v>
      </c>
      <c r="B31" s="429">
        <v>4054413560</v>
      </c>
      <c r="C31" s="425" t="s">
        <v>358</v>
      </c>
      <c r="D31" s="425" t="s">
        <v>1372</v>
      </c>
      <c r="E31" s="381" t="s">
        <v>17</v>
      </c>
      <c r="F31" s="395"/>
      <c r="G31" s="390" t="str">
        <f t="shared" si="0"/>
        <v>Rétirédanslesdélais</v>
      </c>
      <c r="H31" s="381" t="s">
        <v>470</v>
      </c>
      <c r="I31" s="391">
        <v>45692</v>
      </c>
      <c r="J31" s="381"/>
      <c r="K31" s="381"/>
      <c r="L31" s="381"/>
      <c r="M31" s="381"/>
    </row>
    <row r="32" spans="1:13" ht="15.75" x14ac:dyDescent="0.25">
      <c r="A32" s="381">
        <v>34</v>
      </c>
      <c r="B32" s="429">
        <v>4054413500</v>
      </c>
      <c r="C32" s="425" t="s">
        <v>356</v>
      </c>
      <c r="D32" s="425" t="s">
        <v>1144</v>
      </c>
      <c r="E32" s="381" t="s">
        <v>17</v>
      </c>
      <c r="F32" s="395"/>
      <c r="G32" s="390" t="str">
        <f t="shared" si="0"/>
        <v>Rétirédanslesdélais</v>
      </c>
      <c r="H32" s="381" t="s">
        <v>475</v>
      </c>
      <c r="I32" s="391">
        <v>45693</v>
      </c>
      <c r="J32" s="381"/>
      <c r="K32" s="381"/>
      <c r="L32" s="381"/>
      <c r="M32" s="381"/>
    </row>
    <row r="33" spans="1:13" ht="15.75" x14ac:dyDescent="0.25">
      <c r="A33" s="381">
        <v>37</v>
      </c>
      <c r="B33" s="429">
        <v>2155816740</v>
      </c>
      <c r="C33" s="425" t="s">
        <v>462</v>
      </c>
      <c r="D33" s="425" t="s">
        <v>1334</v>
      </c>
      <c r="E33" s="381" t="s">
        <v>17</v>
      </c>
      <c r="F33" s="395" t="s">
        <v>1143</v>
      </c>
      <c r="G33" s="390" t="str">
        <f t="shared" si="0"/>
        <v>Rétirédanslesdélais</v>
      </c>
      <c r="H33" s="381" t="s">
        <v>471</v>
      </c>
      <c r="I33" s="391">
        <v>45693</v>
      </c>
      <c r="J33" s="385" t="s">
        <v>1373</v>
      </c>
      <c r="K33" s="381"/>
      <c r="L33" s="381"/>
      <c r="M33" s="381"/>
    </row>
    <row r="34" spans="1:13" ht="15.75" x14ac:dyDescent="0.25">
      <c r="A34" s="381">
        <v>40</v>
      </c>
      <c r="B34" s="429">
        <v>4054413480</v>
      </c>
      <c r="C34" s="425" t="s">
        <v>356</v>
      </c>
      <c r="D34" s="425" t="s">
        <v>1144</v>
      </c>
      <c r="E34" s="381" t="s">
        <v>17</v>
      </c>
      <c r="F34" s="395"/>
      <c r="G34" s="390" t="str">
        <f t="shared" si="0"/>
        <v>Rétirédanslesdélais</v>
      </c>
      <c r="H34" s="381" t="s">
        <v>474</v>
      </c>
      <c r="I34" s="391">
        <v>45693</v>
      </c>
      <c r="J34" s="381"/>
      <c r="K34" s="381"/>
      <c r="L34" s="381"/>
      <c r="M34" s="381"/>
    </row>
    <row r="37" spans="1:13" x14ac:dyDescent="0.25">
      <c r="B37" s="424"/>
    </row>
    <row r="38" spans="1:13" x14ac:dyDescent="0.25">
      <c r="B38" s="424"/>
    </row>
    <row r="39" spans="1:13" x14ac:dyDescent="0.25">
      <c r="B39" s="424"/>
    </row>
    <row r="40" spans="1:13" x14ac:dyDescent="0.25">
      <c r="B40" s="424"/>
    </row>
    <row r="41" spans="1:13" x14ac:dyDescent="0.25">
      <c r="B41" s="424"/>
    </row>
    <row r="42" spans="1:13" x14ac:dyDescent="0.25">
      <c r="B42" s="424"/>
    </row>
    <row r="45" spans="1:13" x14ac:dyDescent="0.25">
      <c r="E45" s="23"/>
    </row>
    <row r="46" spans="1:13" x14ac:dyDescent="0.25">
      <c r="E46" s="23"/>
    </row>
    <row r="47" spans="1:13" x14ac:dyDescent="0.25">
      <c r="E47" s="23"/>
    </row>
    <row r="48" spans="1:13" x14ac:dyDescent="0.25">
      <c r="E48" s="23"/>
    </row>
  </sheetData>
  <autoFilter ref="A4:M34" xr:uid="{D559034C-E1A8-4788-A336-55187472940D}">
    <filterColumn colId="12" showButton="0"/>
  </autoFilter>
  <mergeCells count="2">
    <mergeCell ref="G1:I1"/>
    <mergeCell ref="A2:B2"/>
  </mergeCells>
  <conditionalFormatting sqref="B1:B4">
    <cfRule type="duplicateValues" dxfId="979" priority="10"/>
  </conditionalFormatting>
  <conditionalFormatting sqref="B1:B1048576">
    <cfRule type="duplicateValues" dxfId="978" priority="4"/>
  </conditionalFormatting>
  <conditionalFormatting sqref="B31:B1048576 B1:B4">
    <cfRule type="duplicateValues" dxfId="977" priority="5"/>
  </conditionalFormatting>
  <conditionalFormatting sqref="B40:B1048576 B1:B4 B31:B33">
    <cfRule type="duplicateValues" dxfId="976" priority="6"/>
    <cfRule type="duplicateValues" dxfId="975" priority="7"/>
  </conditionalFormatting>
  <conditionalFormatting sqref="B40:B1048576 B31:B33 B1:B4">
    <cfRule type="duplicateValues" dxfId="974" priority="11"/>
    <cfRule type="duplicateValues" dxfId="973" priority="12"/>
    <cfRule type="duplicateValues" dxfId="972" priority="13"/>
    <cfRule type="duplicateValues" dxfId="971" priority="14"/>
  </conditionalFormatting>
  <conditionalFormatting sqref="B40:B1048576 B31:B33">
    <cfRule type="duplicateValues" dxfId="970" priority="15"/>
  </conditionalFormatting>
  <conditionalFormatting sqref="F45:F50">
    <cfRule type="duplicateValues" dxfId="969" priority="1230"/>
  </conditionalFormatting>
  <conditionalFormatting sqref="G5:G34">
    <cfRule type="containsText" dxfId="968" priority="8" operator="containsText" text="En Attente d'un Retrait Tardif">
      <formula>NOT(ISERROR(SEARCH("En Attente d'un Retrait Tardif",G5)))</formula>
    </cfRule>
    <cfRule type="containsText" dxfId="967" priority="9" operator="containsText" text="Rétiré dans les délais">
      <formula>NOT(ISERROR(SEARCH("Rétiré dans les délais",G5)))</formula>
    </cfRule>
  </conditionalFormatting>
  <conditionalFormatting sqref="H1:H1048576">
    <cfRule type="duplicateValues" dxfId="966" priority="1"/>
  </conditionalFormatting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59BA-B0A7-492B-8C66-331B2DBCC40F}">
  <sheetPr codeName="Feuil94">
    <tabColor theme="5" tint="-0.249977111117893"/>
  </sheetPr>
  <dimension ref="A1:N18"/>
  <sheetViews>
    <sheetView workbookViewId="0">
      <selection activeCell="E15" sqref="E15"/>
    </sheetView>
  </sheetViews>
  <sheetFormatPr baseColWidth="10" defaultRowHeight="15" x14ac:dyDescent="0.25"/>
  <cols>
    <col min="1" max="1" width="7.42578125" customWidth="1"/>
    <col min="2" max="2" width="18.28515625" customWidth="1"/>
    <col min="3" max="3" width="11.42578125" customWidth="1"/>
    <col min="4" max="4" width="44.42578125" customWidth="1"/>
    <col min="5" max="5" width="43.140625" customWidth="1"/>
    <col min="6" max="6" width="18.85546875" customWidth="1"/>
    <col min="7" max="7" width="24.140625" customWidth="1"/>
    <col min="8" max="8" width="34.7109375" customWidth="1"/>
    <col min="9" max="9" width="24.140625" customWidth="1"/>
    <col min="10" max="10" width="19.28515625" customWidth="1"/>
    <col min="11" max="11" width="28" customWidth="1"/>
    <col min="14" max="14" width="27.28515625" customWidth="1"/>
  </cols>
  <sheetData>
    <row r="1" spans="1:14" ht="19.5" thickBot="1" x14ac:dyDescent="0.35">
      <c r="A1" s="348" t="s">
        <v>1374</v>
      </c>
      <c r="B1" s="98"/>
      <c r="C1" s="98"/>
      <c r="D1" s="98"/>
      <c r="E1" s="288"/>
      <c r="F1" s="288"/>
      <c r="G1" s="288"/>
      <c r="H1" s="729"/>
      <c r="I1" s="729"/>
      <c r="J1" s="729"/>
      <c r="K1" s="208"/>
      <c r="L1" s="208"/>
      <c r="M1" s="208"/>
    </row>
    <row r="2" spans="1:14" ht="24" thickBot="1" x14ac:dyDescent="0.3">
      <c r="A2" s="730" t="s">
        <v>0</v>
      </c>
      <c r="B2" s="730"/>
      <c r="C2" s="24"/>
      <c r="D2" s="24"/>
      <c r="E2" s="25"/>
      <c r="F2" s="358">
        <f ca="1">J2-H2</f>
        <v>415</v>
      </c>
      <c r="G2" s="25"/>
      <c r="H2" s="314">
        <v>45681</v>
      </c>
      <c r="I2" s="365">
        <f ca="1">J2-H2</f>
        <v>415</v>
      </c>
      <c r="J2" s="315">
        <f ca="1">TODAY()</f>
        <v>46096</v>
      </c>
      <c r="K2" s="340"/>
      <c r="L2" s="340"/>
      <c r="M2" s="208"/>
    </row>
    <row r="3" spans="1:14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4" ht="17.25" x14ac:dyDescent="0.25">
      <c r="A4" s="318" t="s">
        <v>1</v>
      </c>
      <c r="B4" s="335" t="s">
        <v>2</v>
      </c>
      <c r="C4" s="336"/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1067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318" t="s">
        <v>11</v>
      </c>
    </row>
    <row r="5" spans="1:14" s="394" customFormat="1" ht="15.75" x14ac:dyDescent="0.25">
      <c r="A5" s="381">
        <v>1</v>
      </c>
      <c r="B5" s="429">
        <v>4054445890</v>
      </c>
      <c r="C5" s="427"/>
      <c r="D5" s="425" t="s">
        <v>447</v>
      </c>
      <c r="E5" s="425" t="s">
        <v>1076</v>
      </c>
      <c r="F5" s="381" t="s">
        <v>17</v>
      </c>
      <c r="G5" s="381"/>
      <c r="H5" s="390" t="str">
        <f t="shared" ref="H5:H18" si="0">IF(J5="",IF($F$2&lt;=15,"EnattentedeRetrait","EnAttented'unRetraitTardif"),IF(J5-$H$2&lt;=15,"Rétirédanslesdélais",IF(J5-$H$2&gt;15,"Rétirétardivement-30000FCFAamende")))</f>
        <v>Rétirétardivement-30000FCFAamende</v>
      </c>
      <c r="I5" s="381" t="s">
        <v>506</v>
      </c>
      <c r="J5" s="391">
        <v>45698</v>
      </c>
      <c r="K5" s="381"/>
      <c r="L5" s="381"/>
      <c r="M5" s="381"/>
      <c r="N5" s="381"/>
    </row>
    <row r="6" spans="1:14" s="394" customFormat="1" ht="15.75" x14ac:dyDescent="0.25">
      <c r="A6" s="381">
        <v>2</v>
      </c>
      <c r="B6" s="435">
        <v>4054469890</v>
      </c>
      <c r="C6" s="429" t="s">
        <v>31</v>
      </c>
      <c r="D6" s="425" t="s">
        <v>1375</v>
      </c>
      <c r="E6" s="425" t="s">
        <v>1350</v>
      </c>
      <c r="F6" s="381" t="s">
        <v>17</v>
      </c>
      <c r="G6" s="381"/>
      <c r="H6" s="390" t="str">
        <f t="shared" si="0"/>
        <v>Rétirétardivement-30000FCFAamende</v>
      </c>
      <c r="I6" s="381" t="s">
        <v>515</v>
      </c>
      <c r="J6" s="391">
        <v>45700</v>
      </c>
      <c r="K6" s="381"/>
      <c r="L6" s="381"/>
      <c r="M6" s="381"/>
      <c r="N6" s="381"/>
    </row>
    <row r="7" spans="1:14" s="346" customFormat="1" ht="15" customHeight="1" x14ac:dyDescent="0.25">
      <c r="A7" s="381">
        <v>3</v>
      </c>
      <c r="B7" s="429">
        <v>2753046370</v>
      </c>
      <c r="C7" s="429" t="s">
        <v>31</v>
      </c>
      <c r="D7" s="425" t="s">
        <v>1375</v>
      </c>
      <c r="E7" s="425" t="s">
        <v>1118</v>
      </c>
      <c r="F7" s="381" t="s">
        <v>17</v>
      </c>
      <c r="G7" s="381"/>
      <c r="H7" s="390" t="str">
        <f t="shared" si="0"/>
        <v>Rétirédanslesdélais</v>
      </c>
      <c r="I7" s="381" t="s">
        <v>499</v>
      </c>
      <c r="J7" s="391">
        <v>45695</v>
      </c>
      <c r="K7" s="381"/>
      <c r="L7" s="381"/>
      <c r="M7" s="381"/>
      <c r="N7" s="381"/>
    </row>
    <row r="8" spans="1:14" s="346" customFormat="1" ht="15.75" x14ac:dyDescent="0.25">
      <c r="A8" s="381">
        <v>4</v>
      </c>
      <c r="B8" s="429">
        <v>2155735390</v>
      </c>
      <c r="C8" s="429" t="s">
        <v>459</v>
      </c>
      <c r="D8" s="425" t="s">
        <v>1376</v>
      </c>
      <c r="E8" s="425" t="s">
        <v>1334</v>
      </c>
      <c r="F8" s="381" t="s">
        <v>17</v>
      </c>
      <c r="G8" s="381" t="s">
        <v>1377</v>
      </c>
      <c r="H8" s="390" t="str">
        <f t="shared" si="0"/>
        <v>Rétirédanslesdélais</v>
      </c>
      <c r="I8" s="381" t="s">
        <v>472</v>
      </c>
      <c r="J8" s="391">
        <v>45693</v>
      </c>
      <c r="K8" s="381"/>
      <c r="L8" s="381"/>
      <c r="M8" s="381"/>
      <c r="N8" s="381"/>
    </row>
    <row r="9" spans="1:14" s="346" customFormat="1" ht="15.75" x14ac:dyDescent="0.25">
      <c r="A9" s="381">
        <v>5</v>
      </c>
      <c r="B9" s="429">
        <v>4054416630</v>
      </c>
      <c r="C9" s="427" t="s">
        <v>27</v>
      </c>
      <c r="D9" s="425" t="s">
        <v>1378</v>
      </c>
      <c r="E9" s="425" t="s">
        <v>1138</v>
      </c>
      <c r="F9" s="381" t="s">
        <v>17</v>
      </c>
      <c r="G9" s="381"/>
      <c r="H9" s="390" t="str">
        <f t="shared" si="0"/>
        <v>Rétirédanslesdélais</v>
      </c>
      <c r="I9" s="381" t="s">
        <v>497</v>
      </c>
      <c r="J9" s="391">
        <v>45695</v>
      </c>
      <c r="K9" s="381"/>
      <c r="L9" s="381"/>
      <c r="M9" s="381"/>
      <c r="N9" s="381"/>
    </row>
    <row r="10" spans="1:14" s="346" customFormat="1" ht="15.75" x14ac:dyDescent="0.25">
      <c r="A10" s="381">
        <v>6</v>
      </c>
      <c r="B10" s="429">
        <v>4054416639</v>
      </c>
      <c r="C10" s="427" t="s">
        <v>27</v>
      </c>
      <c r="D10" s="425" t="s">
        <v>1378</v>
      </c>
      <c r="E10" s="425" t="s">
        <v>1138</v>
      </c>
      <c r="F10" s="381" t="s">
        <v>17</v>
      </c>
      <c r="G10" s="381"/>
      <c r="H10" s="390" t="str">
        <f t="shared" si="0"/>
        <v>Rétirédanslesdélais</v>
      </c>
      <c r="I10" s="381" t="s">
        <v>498</v>
      </c>
      <c r="J10" s="391">
        <v>45695</v>
      </c>
      <c r="K10" s="381"/>
      <c r="L10" s="381"/>
      <c r="M10" s="381"/>
      <c r="N10" s="381"/>
    </row>
    <row r="11" spans="1:14" s="346" customFormat="1" ht="15.75" x14ac:dyDescent="0.25">
      <c r="A11" s="381">
        <v>7</v>
      </c>
      <c r="B11" s="429">
        <v>4054451480</v>
      </c>
      <c r="C11" s="427" t="s">
        <v>457</v>
      </c>
      <c r="D11" s="425" t="s">
        <v>448</v>
      </c>
      <c r="E11" s="425" t="s">
        <v>1146</v>
      </c>
      <c r="F11" s="381" t="s">
        <v>17</v>
      </c>
      <c r="G11" s="381"/>
      <c r="H11" s="390" t="str">
        <f t="shared" si="0"/>
        <v>Rétirédanslesdélais</v>
      </c>
      <c r="I11" s="381" t="s">
        <v>495</v>
      </c>
      <c r="J11" s="391">
        <v>45695</v>
      </c>
      <c r="K11" s="381"/>
      <c r="L11" s="381"/>
      <c r="M11" s="381"/>
      <c r="N11" s="381"/>
    </row>
    <row r="12" spans="1:14" ht="15.75" x14ac:dyDescent="0.25">
      <c r="A12" s="381">
        <v>8</v>
      </c>
      <c r="B12" s="429">
        <v>4054457950</v>
      </c>
      <c r="C12" s="427" t="s">
        <v>233</v>
      </c>
      <c r="D12" s="425" t="s">
        <v>1379</v>
      </c>
      <c r="E12" s="425" t="s">
        <v>1380</v>
      </c>
      <c r="F12" s="381" t="s">
        <v>17</v>
      </c>
      <c r="G12" s="381"/>
      <c r="H12" s="390" t="str">
        <f t="shared" si="0"/>
        <v>Rétirétardivement-30000FCFAamende</v>
      </c>
      <c r="I12" s="381" t="s">
        <v>503</v>
      </c>
      <c r="J12" s="391">
        <v>45698</v>
      </c>
      <c r="K12" s="381"/>
      <c r="L12" s="381"/>
      <c r="M12" s="381"/>
      <c r="N12" s="381"/>
    </row>
    <row r="13" spans="1:14" ht="15.75" x14ac:dyDescent="0.25">
      <c r="A13" s="381">
        <v>9</v>
      </c>
      <c r="B13" s="429">
        <v>4054461870</v>
      </c>
      <c r="C13" s="427" t="s">
        <v>24</v>
      </c>
      <c r="D13" s="425" t="s">
        <v>1381</v>
      </c>
      <c r="E13" s="425" t="s">
        <v>1075</v>
      </c>
      <c r="F13" s="381" t="s">
        <v>17</v>
      </c>
      <c r="H13" s="390" t="str">
        <f t="shared" si="0"/>
        <v>Rétirédanslesdélais</v>
      </c>
      <c r="I13" s="381" t="s">
        <v>490</v>
      </c>
      <c r="J13" s="391">
        <v>45695</v>
      </c>
      <c r="K13" s="381"/>
      <c r="L13" s="381"/>
      <c r="M13" s="381"/>
      <c r="N13" s="381"/>
    </row>
    <row r="14" spans="1:14" ht="15.75" x14ac:dyDescent="0.25">
      <c r="A14" s="381">
        <v>10</v>
      </c>
      <c r="B14" s="429">
        <v>4054416660</v>
      </c>
      <c r="C14" s="429" t="s">
        <v>233</v>
      </c>
      <c r="D14" s="425" t="s">
        <v>1379</v>
      </c>
      <c r="E14" s="425" t="s">
        <v>1380</v>
      </c>
      <c r="F14" s="381" t="s">
        <v>17</v>
      </c>
      <c r="G14" s="381"/>
      <c r="H14" s="390" t="str">
        <f t="shared" si="0"/>
        <v>Rétirétardivement-30000FCFAamende</v>
      </c>
      <c r="I14" s="381" t="s">
        <v>504</v>
      </c>
      <c r="J14" s="391">
        <v>45698</v>
      </c>
      <c r="K14" s="381"/>
      <c r="L14" s="381"/>
      <c r="M14" s="381"/>
      <c r="N14" s="381"/>
    </row>
    <row r="15" spans="1:14" ht="15.75" x14ac:dyDescent="0.25">
      <c r="A15" s="381">
        <v>11</v>
      </c>
      <c r="B15" s="429">
        <v>4054426530</v>
      </c>
      <c r="C15" s="427" t="s">
        <v>458</v>
      </c>
      <c r="D15" s="425" t="s">
        <v>1382</v>
      </c>
      <c r="E15" s="425" t="s">
        <v>1138</v>
      </c>
      <c r="F15" s="381" t="s">
        <v>17</v>
      </c>
      <c r="G15" s="381"/>
      <c r="H15" s="390" t="str">
        <f t="shared" si="0"/>
        <v>Rétirédanslesdélais</v>
      </c>
      <c r="I15" s="381" t="s">
        <v>496</v>
      </c>
      <c r="J15" s="391">
        <v>45695</v>
      </c>
      <c r="K15" s="381"/>
      <c r="L15" s="381"/>
      <c r="M15" s="381"/>
      <c r="N15" s="381"/>
    </row>
    <row r="16" spans="1:14" ht="15.75" x14ac:dyDescent="0.25">
      <c r="A16" s="381">
        <v>12</v>
      </c>
      <c r="B16" s="429">
        <v>4054461630</v>
      </c>
      <c r="C16" s="429" t="s">
        <v>457</v>
      </c>
      <c r="D16" s="425" t="s">
        <v>448</v>
      </c>
      <c r="E16" s="425" t="s">
        <v>1383</v>
      </c>
      <c r="F16" s="381" t="s">
        <v>17</v>
      </c>
      <c r="G16" s="381"/>
      <c r="H16" s="390" t="str">
        <f t="shared" si="0"/>
        <v>Rétirétardivement-30000FCFAamende</v>
      </c>
      <c r="I16" s="381" t="s">
        <v>505</v>
      </c>
      <c r="J16" s="391">
        <v>45698</v>
      </c>
      <c r="K16" s="381"/>
      <c r="L16" s="381"/>
      <c r="M16" s="381"/>
      <c r="N16" s="381"/>
    </row>
    <row r="17" spans="1:14" ht="15.75" x14ac:dyDescent="0.25">
      <c r="A17" s="381">
        <v>13</v>
      </c>
      <c r="B17" s="429">
        <v>2753793170</v>
      </c>
      <c r="C17" s="429" t="s">
        <v>31</v>
      </c>
      <c r="D17" s="425" t="s">
        <v>1375</v>
      </c>
      <c r="E17" s="425" t="s">
        <v>1118</v>
      </c>
      <c r="F17" s="381" t="s">
        <v>17</v>
      </c>
      <c r="G17" s="381"/>
      <c r="H17" s="390" t="str">
        <f t="shared" si="0"/>
        <v>Rétirédanslesdélais</v>
      </c>
      <c r="I17" s="381" t="s">
        <v>493</v>
      </c>
      <c r="J17" s="391">
        <v>45695</v>
      </c>
      <c r="K17" s="381"/>
      <c r="L17" s="381"/>
      <c r="M17" s="381"/>
      <c r="N17" s="381"/>
    </row>
    <row r="18" spans="1:14" ht="15.75" x14ac:dyDescent="0.25">
      <c r="A18" s="381">
        <v>14</v>
      </c>
      <c r="B18" s="429">
        <v>4054461850</v>
      </c>
      <c r="C18" s="429" t="s">
        <v>24</v>
      </c>
      <c r="D18" s="425" t="s">
        <v>1381</v>
      </c>
      <c r="E18" s="425" t="s">
        <v>1075</v>
      </c>
      <c r="F18" s="381" t="s">
        <v>17</v>
      </c>
      <c r="G18" s="381"/>
      <c r="H18" s="390" t="str">
        <f t="shared" si="0"/>
        <v>Rétirédanslesdélais</v>
      </c>
      <c r="I18" s="381" t="s">
        <v>491</v>
      </c>
      <c r="J18" s="391">
        <v>45695</v>
      </c>
      <c r="K18" s="381"/>
      <c r="L18" s="381"/>
      <c r="M18" s="381"/>
      <c r="N18" s="381"/>
    </row>
  </sheetData>
  <autoFilter ref="A4:N18" xr:uid="{D559034C-E1A8-4788-A336-55187472940D}">
    <filterColumn colId="13" showButton="0"/>
    <sortState xmlns:xlrd2="http://schemas.microsoft.com/office/spreadsheetml/2017/richdata2" ref="A5:N12">
      <sortCondition ref="B4:B11"/>
    </sortState>
  </autoFilter>
  <mergeCells count="2">
    <mergeCell ref="H1:J1"/>
    <mergeCell ref="A2:B2"/>
  </mergeCells>
  <conditionalFormatting sqref="B1:B4">
    <cfRule type="duplicateValues" dxfId="965" priority="19"/>
  </conditionalFormatting>
  <conditionalFormatting sqref="B1:B1048576">
    <cfRule type="duplicateValues" dxfId="964" priority="1"/>
  </conditionalFormatting>
  <conditionalFormatting sqref="B19:B26 B1:B4 B28:B1048576">
    <cfRule type="duplicateValues" dxfId="963" priority="744"/>
  </conditionalFormatting>
  <conditionalFormatting sqref="B23:B26 B1:B4 B19:B20 B28:B1048576">
    <cfRule type="duplicateValues" dxfId="962" priority="15"/>
    <cfRule type="duplicateValues" dxfId="961" priority="16"/>
  </conditionalFormatting>
  <conditionalFormatting sqref="B23:B26 B19:B20 B1:B4 B28:B1048576">
    <cfRule type="duplicateValues" dxfId="960" priority="20"/>
    <cfRule type="duplicateValues" dxfId="959" priority="21"/>
    <cfRule type="duplicateValues" dxfId="958" priority="22"/>
    <cfRule type="duplicateValues" dxfId="957" priority="23"/>
  </conditionalFormatting>
  <conditionalFormatting sqref="B23:B26 B19:B20 B28:B1048576">
    <cfRule type="duplicateValues" dxfId="956" priority="24"/>
  </conditionalFormatting>
  <conditionalFormatting sqref="B28:B1048576 B1:B26">
    <cfRule type="duplicateValues" dxfId="955" priority="13"/>
  </conditionalFormatting>
  <conditionalFormatting sqref="H5:H18">
    <cfRule type="containsText" dxfId="954" priority="17" operator="containsText" text="En Attente d'un Retrait Tardif">
      <formula>NOT(ISERROR(SEARCH("En Attente d'un Retrait Tardif",H5)))</formula>
    </cfRule>
    <cfRule type="containsText" dxfId="953" priority="18" operator="containsText" text="Rétiré dans les délais">
      <formula>NOT(ISERROR(SEARCH("Rétiré dans les délais",H5)))</formula>
    </cfRule>
  </conditionalFormatting>
  <conditionalFormatting sqref="H27:H54">
    <cfRule type="duplicateValues" dxfId="952" priority="1187"/>
  </conditionalFormatting>
  <conditionalFormatting sqref="H41:H55">
    <cfRule type="duplicateValues" dxfId="951" priority="2"/>
  </conditionalFormatting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6599-5DBF-4616-BBF1-C69179D03971}">
  <sheetPr codeName="Feuil95">
    <tabColor theme="5" tint="-0.249977111117893"/>
  </sheetPr>
  <dimension ref="A1:N33"/>
  <sheetViews>
    <sheetView workbookViewId="0">
      <selection activeCell="B18" sqref="B18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3" width="8.28515625" customWidth="1"/>
    <col min="4" max="4" width="22" customWidth="1"/>
    <col min="5" max="5" width="43.140625" customWidth="1"/>
    <col min="6" max="6" width="18.85546875" customWidth="1"/>
    <col min="7" max="7" width="24" customWidth="1"/>
    <col min="8" max="8" width="30.85546875" customWidth="1"/>
    <col min="9" max="9" width="24.140625" customWidth="1"/>
    <col min="10" max="10" width="19.28515625" customWidth="1"/>
    <col min="11" max="11" width="28" customWidth="1"/>
    <col min="14" max="14" width="27.28515625" customWidth="1"/>
  </cols>
  <sheetData>
    <row r="1" spans="1:14" ht="19.5" thickBot="1" x14ac:dyDescent="0.35">
      <c r="A1" s="348" t="s">
        <v>1384</v>
      </c>
      <c r="B1" s="98"/>
      <c r="C1" s="98"/>
      <c r="D1" s="98"/>
      <c r="E1" s="288"/>
      <c r="F1" s="288"/>
      <c r="G1" s="288"/>
      <c r="H1" s="729"/>
      <c r="I1" s="729"/>
      <c r="J1" s="729"/>
      <c r="K1" s="208"/>
      <c r="L1" s="208"/>
      <c r="M1" s="208"/>
    </row>
    <row r="2" spans="1:14" ht="24" thickBot="1" x14ac:dyDescent="0.3">
      <c r="A2" s="730" t="s">
        <v>0</v>
      </c>
      <c r="B2" s="730"/>
      <c r="C2" s="24"/>
      <c r="D2" s="24"/>
      <c r="E2" s="25"/>
      <c r="F2" s="358">
        <f ca="1">J2-H2</f>
        <v>415</v>
      </c>
      <c r="G2" s="25"/>
      <c r="H2" s="314">
        <v>45681</v>
      </c>
      <c r="I2" s="365">
        <f ca="1">J2-H2</f>
        <v>415</v>
      </c>
      <c r="J2" s="315">
        <f ca="1">TODAY()</f>
        <v>46096</v>
      </c>
      <c r="K2" s="340"/>
      <c r="L2" s="340"/>
      <c r="M2" s="208"/>
    </row>
    <row r="3" spans="1:14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4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1067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318" t="s">
        <v>11</v>
      </c>
    </row>
    <row r="5" spans="1:14" s="394" customFormat="1" ht="15.75" x14ac:dyDescent="0.25">
      <c r="A5" s="397">
        <v>1</v>
      </c>
      <c r="B5" s="413">
        <v>4054460410</v>
      </c>
      <c r="C5" s="421" t="s">
        <v>423</v>
      </c>
      <c r="D5" s="422" t="s">
        <v>1385</v>
      </c>
      <c r="E5" s="407" t="s">
        <v>1281</v>
      </c>
      <c r="F5" s="395" t="s">
        <v>1154</v>
      </c>
      <c r="G5" s="381" t="s">
        <v>1386</v>
      </c>
      <c r="H5" s="390" t="str">
        <f t="shared" ref="H5:H30" si="0">IF(J5="",IF($F$2&lt;=15,"EnattentedeRetrait","EnAttented'unRetraitTardif"),IF(J5-$H$2&lt;=15,"Rétirédanslesdélais",IF(J5-$H$2&gt;15,"Rétirétardivement-30000FCFAamende")))</f>
        <v>Rétirédanslesdélais</v>
      </c>
      <c r="I5" s="381" t="s">
        <v>444</v>
      </c>
      <c r="J5" s="391">
        <v>45686</v>
      </c>
      <c r="K5" s="381"/>
      <c r="L5" s="381"/>
      <c r="M5" s="381"/>
      <c r="N5" s="381"/>
    </row>
    <row r="6" spans="1:14" s="394" customFormat="1" ht="15.75" x14ac:dyDescent="0.25">
      <c r="A6" s="397"/>
      <c r="B6" s="413">
        <v>4054460419</v>
      </c>
      <c r="C6" s="421" t="s">
        <v>423</v>
      </c>
      <c r="D6" s="422" t="s">
        <v>1385</v>
      </c>
      <c r="E6" s="407" t="s">
        <v>1281</v>
      </c>
      <c r="F6" s="395" t="s">
        <v>1154</v>
      </c>
      <c r="G6" s="381" t="s">
        <v>1386</v>
      </c>
      <c r="H6" s="390" t="str">
        <f t="shared" si="0"/>
        <v>Rétirédanslesdélais</v>
      </c>
      <c r="I6" s="381" t="s">
        <v>445</v>
      </c>
      <c r="J6" s="391">
        <v>45686</v>
      </c>
      <c r="K6" s="381"/>
      <c r="L6" s="381"/>
      <c r="M6" s="381"/>
      <c r="N6" s="381"/>
    </row>
    <row r="7" spans="1:14" s="346" customFormat="1" ht="15" customHeight="1" x14ac:dyDescent="0.25">
      <c r="A7" s="397">
        <v>2</v>
      </c>
      <c r="B7" s="413">
        <v>4054443980</v>
      </c>
      <c r="C7" s="421" t="s">
        <v>423</v>
      </c>
      <c r="D7" s="423" t="s">
        <v>1387</v>
      </c>
      <c r="E7" s="402" t="s">
        <v>1179</v>
      </c>
      <c r="F7" s="395" t="s">
        <v>17</v>
      </c>
      <c r="G7" s="381" t="s">
        <v>17</v>
      </c>
      <c r="H7" s="390" t="str">
        <f t="shared" si="0"/>
        <v>Rétirédanslesdélais</v>
      </c>
      <c r="I7" s="381" t="s">
        <v>441</v>
      </c>
      <c r="J7" s="391">
        <v>45686</v>
      </c>
      <c r="K7" s="381"/>
      <c r="L7" s="381"/>
      <c r="M7" s="381"/>
      <c r="N7" s="381"/>
    </row>
    <row r="8" spans="1:14" s="346" customFormat="1" ht="15.75" x14ac:dyDescent="0.25">
      <c r="A8" s="397">
        <v>4</v>
      </c>
      <c r="B8" s="413">
        <v>4054451450</v>
      </c>
      <c r="C8" s="421" t="s">
        <v>423</v>
      </c>
      <c r="D8" t="s">
        <v>424</v>
      </c>
      <c r="E8" s="373" t="s">
        <v>43</v>
      </c>
      <c r="F8" s="395" t="s">
        <v>17</v>
      </c>
      <c r="G8" s="381" t="s">
        <v>17</v>
      </c>
      <c r="H8" s="390" t="str">
        <f t="shared" si="0"/>
        <v>Rétirédanslesdélais</v>
      </c>
      <c r="I8" s="381" t="s">
        <v>431</v>
      </c>
      <c r="J8" s="391">
        <v>45686</v>
      </c>
      <c r="K8" s="381"/>
      <c r="L8" s="381"/>
      <c r="M8" s="381"/>
      <c r="N8" s="381"/>
    </row>
    <row r="9" spans="1:14" s="346" customFormat="1" ht="15.75" x14ac:dyDescent="0.25">
      <c r="A9" s="397">
        <v>5</v>
      </c>
      <c r="B9" s="413">
        <v>4054449080</v>
      </c>
      <c r="C9" s="421" t="s">
        <v>423</v>
      </c>
      <c r="D9" s="422" t="s">
        <v>1388</v>
      </c>
      <c r="E9" t="s">
        <v>67</v>
      </c>
      <c r="F9" s="381" t="s">
        <v>17</v>
      </c>
      <c r="G9" s="417" t="s">
        <v>17</v>
      </c>
      <c r="H9" s="390" t="str">
        <f t="shared" si="0"/>
        <v>Rétirétardivement-30000FCFAamende</v>
      </c>
      <c r="I9" s="381" t="s">
        <v>521</v>
      </c>
      <c r="J9" s="391">
        <v>45702</v>
      </c>
      <c r="K9" s="381"/>
      <c r="L9" s="381"/>
      <c r="M9" s="381"/>
      <c r="N9" s="381"/>
    </row>
    <row r="10" spans="1:14" s="346" customFormat="1" ht="15.75" x14ac:dyDescent="0.25">
      <c r="A10" s="397">
        <v>6</v>
      </c>
      <c r="B10" s="413">
        <v>4054451470</v>
      </c>
      <c r="C10" s="421" t="s">
        <v>423</v>
      </c>
      <c r="D10" s="422" t="s">
        <v>424</v>
      </c>
      <c r="E10" s="373" t="s">
        <v>43</v>
      </c>
      <c r="F10" s="395" t="s">
        <v>17</v>
      </c>
      <c r="G10" s="381" t="s">
        <v>17</v>
      </c>
      <c r="H10" s="390" t="str">
        <f t="shared" si="0"/>
        <v>Rétirédanslesdélais</v>
      </c>
      <c r="I10" s="381" t="s">
        <v>432</v>
      </c>
      <c r="J10" s="391">
        <v>45686</v>
      </c>
      <c r="K10" s="381"/>
      <c r="L10" s="381"/>
      <c r="M10" s="381"/>
      <c r="N10" s="381"/>
    </row>
    <row r="11" spans="1:14" ht="15.75" x14ac:dyDescent="0.25">
      <c r="A11" s="397">
        <v>7</v>
      </c>
      <c r="B11" s="413">
        <v>4054460040</v>
      </c>
      <c r="C11" s="421" t="s">
        <v>423</v>
      </c>
      <c r="D11" s="422" t="s">
        <v>1389</v>
      </c>
      <c r="E11" s="407" t="s">
        <v>72</v>
      </c>
      <c r="F11" s="395" t="s">
        <v>17</v>
      </c>
      <c r="G11" s="381" t="s">
        <v>17</v>
      </c>
      <c r="H11" s="390" t="str">
        <f t="shared" si="0"/>
        <v>Rétirédanslesdélais</v>
      </c>
      <c r="I11" s="381" t="s">
        <v>442</v>
      </c>
      <c r="J11" s="391">
        <v>45686</v>
      </c>
      <c r="K11" s="381"/>
      <c r="L11" s="381"/>
      <c r="M11" s="381"/>
      <c r="N11" s="381"/>
    </row>
    <row r="12" spans="1:14" ht="15.75" x14ac:dyDescent="0.25">
      <c r="A12" s="397">
        <v>8</v>
      </c>
      <c r="B12" s="413">
        <v>4054449420</v>
      </c>
      <c r="C12" s="421" t="s">
        <v>423</v>
      </c>
      <c r="D12" s="422" t="s">
        <v>1389</v>
      </c>
      <c r="E12" s="407" t="s">
        <v>72</v>
      </c>
      <c r="F12" s="395" t="s">
        <v>17</v>
      </c>
      <c r="G12" s="381" t="s">
        <v>17</v>
      </c>
      <c r="H12" s="390" t="str">
        <f t="shared" si="0"/>
        <v>Rétirédanslesdélais</v>
      </c>
      <c r="I12" s="381" t="s">
        <v>443</v>
      </c>
      <c r="J12" s="391">
        <v>45686</v>
      </c>
      <c r="K12" s="381"/>
      <c r="L12" s="381"/>
      <c r="M12" s="381"/>
      <c r="N12" s="381"/>
    </row>
    <row r="13" spans="1:14" ht="15.75" x14ac:dyDescent="0.25">
      <c r="A13" s="397">
        <v>9</v>
      </c>
      <c r="B13" s="413">
        <v>4054453860</v>
      </c>
      <c r="C13" s="421" t="s">
        <v>423</v>
      </c>
      <c r="D13" s="422" t="s">
        <v>425</v>
      </c>
      <c r="E13" s="407" t="s">
        <v>1390</v>
      </c>
      <c r="F13" s="395" t="s">
        <v>17</v>
      </c>
      <c r="G13" s="381" t="s">
        <v>17</v>
      </c>
      <c r="H13" s="390" t="str">
        <f t="shared" si="0"/>
        <v>Rétirédanslesdélais</v>
      </c>
      <c r="I13" s="381" t="s">
        <v>438</v>
      </c>
      <c r="J13" s="391">
        <v>45685</v>
      </c>
      <c r="K13" s="381"/>
      <c r="L13" s="381"/>
      <c r="M13" s="381"/>
      <c r="N13" s="381"/>
    </row>
    <row r="14" spans="1:14" ht="15.75" x14ac:dyDescent="0.25">
      <c r="A14" s="397">
        <v>10</v>
      </c>
      <c r="B14" s="413">
        <v>2753793171</v>
      </c>
      <c r="C14" s="421" t="s">
        <v>423</v>
      </c>
      <c r="D14" s="422" t="s">
        <v>426</v>
      </c>
      <c r="E14" s="407" t="s">
        <v>1337</v>
      </c>
      <c r="F14" s="395" t="s">
        <v>17</v>
      </c>
      <c r="G14" s="381" t="s">
        <v>17</v>
      </c>
      <c r="H14" s="390" t="str">
        <f t="shared" si="0"/>
        <v>Rétirédanslesdélais</v>
      </c>
      <c r="I14" s="381" t="s">
        <v>436</v>
      </c>
      <c r="J14" s="391">
        <v>45685</v>
      </c>
      <c r="K14" s="381"/>
      <c r="L14" s="381"/>
      <c r="M14" s="381"/>
      <c r="N14" s="381"/>
    </row>
    <row r="15" spans="1:14" ht="15.75" x14ac:dyDescent="0.25">
      <c r="A15" s="397">
        <v>11</v>
      </c>
      <c r="B15" s="413">
        <v>2753136371</v>
      </c>
      <c r="C15" s="421" t="s">
        <v>423</v>
      </c>
      <c r="D15" s="422" t="s">
        <v>1391</v>
      </c>
      <c r="E15" s="407" t="s">
        <v>1392</v>
      </c>
      <c r="F15" s="395" t="s">
        <v>17</v>
      </c>
      <c r="G15" s="381" t="s">
        <v>17</v>
      </c>
      <c r="H15" s="390" t="str">
        <f t="shared" si="0"/>
        <v>Rétirédanslesdélais</v>
      </c>
      <c r="I15" s="381" t="s">
        <v>435</v>
      </c>
      <c r="J15" s="391">
        <v>45685</v>
      </c>
      <c r="K15" s="381"/>
      <c r="L15" s="381"/>
      <c r="M15" s="381"/>
      <c r="N15" s="381"/>
    </row>
    <row r="16" spans="1:14" ht="15.75" x14ac:dyDescent="0.25">
      <c r="A16" s="397">
        <v>12</v>
      </c>
      <c r="B16" s="413">
        <v>2753136370</v>
      </c>
      <c r="C16" s="421" t="s">
        <v>423</v>
      </c>
      <c r="D16" s="422" t="s">
        <v>1391</v>
      </c>
      <c r="E16" s="407" t="s">
        <v>1393</v>
      </c>
      <c r="F16" s="395" t="s">
        <v>17</v>
      </c>
      <c r="G16" s="381" t="s">
        <v>17</v>
      </c>
      <c r="H16" s="390" t="str">
        <f t="shared" si="0"/>
        <v>Rétirédanslesdélais</v>
      </c>
      <c r="I16" s="381" t="s">
        <v>434</v>
      </c>
      <c r="J16" s="391">
        <v>45685</v>
      </c>
      <c r="K16" s="381"/>
      <c r="L16" s="381"/>
      <c r="M16" s="381"/>
      <c r="N16" s="381"/>
    </row>
    <row r="17" spans="1:14" ht="15.75" x14ac:dyDescent="0.25">
      <c r="A17" s="397">
        <v>13</v>
      </c>
      <c r="B17" s="413">
        <v>4054448890</v>
      </c>
      <c r="C17" s="421" t="s">
        <v>423</v>
      </c>
      <c r="D17" s="422" t="s">
        <v>427</v>
      </c>
      <c r="E17" s="407" t="s">
        <v>1394</v>
      </c>
      <c r="F17" s="395" t="s">
        <v>17</v>
      </c>
      <c r="G17" s="381" t="s">
        <v>17</v>
      </c>
      <c r="H17" s="390" t="str">
        <f t="shared" si="0"/>
        <v>Rétirédanslesdélais</v>
      </c>
      <c r="I17" s="381" t="s">
        <v>437</v>
      </c>
      <c r="J17" s="391">
        <v>45685</v>
      </c>
      <c r="K17" s="381"/>
      <c r="L17" s="381"/>
      <c r="M17" s="381"/>
      <c r="N17" s="381"/>
    </row>
    <row r="18" spans="1:14" ht="15.75" x14ac:dyDescent="0.25">
      <c r="A18" s="397">
        <v>14</v>
      </c>
      <c r="B18" s="413">
        <v>2153354840</v>
      </c>
      <c r="C18" s="421" t="s">
        <v>423</v>
      </c>
      <c r="D18" s="422" t="s">
        <v>424</v>
      </c>
      <c r="E18" s="407" t="s">
        <v>1395</v>
      </c>
      <c r="F18" s="395" t="s">
        <v>17</v>
      </c>
      <c r="G18" s="381" t="s">
        <v>17</v>
      </c>
      <c r="H18" s="390" t="str">
        <f t="shared" si="0"/>
        <v>Rétirédanslesdélais</v>
      </c>
      <c r="I18" s="381" t="s">
        <v>433</v>
      </c>
      <c r="J18" s="426">
        <v>45685</v>
      </c>
      <c r="K18" s="417" t="s">
        <v>430</v>
      </c>
      <c r="L18" s="381"/>
      <c r="M18" s="381"/>
      <c r="N18" s="381"/>
    </row>
    <row r="19" spans="1:14" ht="15.75" x14ac:dyDescent="0.25">
      <c r="A19" s="397">
        <v>17</v>
      </c>
      <c r="B19" s="413">
        <v>4054426520</v>
      </c>
      <c r="C19" s="421" t="s">
        <v>423</v>
      </c>
      <c r="D19" s="422" t="s">
        <v>1388</v>
      </c>
      <c r="E19" s="407" t="s">
        <v>1396</v>
      </c>
      <c r="F19" s="395" t="s">
        <v>17</v>
      </c>
      <c r="G19" s="381" t="s">
        <v>17</v>
      </c>
      <c r="H19" s="390" t="str">
        <f t="shared" si="0"/>
        <v>Rétirédanslesdélais</v>
      </c>
      <c r="I19" s="397" t="s">
        <v>451</v>
      </c>
      <c r="J19" s="426">
        <v>45688</v>
      </c>
      <c r="K19" s="395"/>
      <c r="L19" s="381"/>
      <c r="M19" s="381"/>
      <c r="N19" s="381"/>
    </row>
    <row r="20" spans="1:14" ht="15.75" x14ac:dyDescent="0.25">
      <c r="A20" s="397">
        <v>16</v>
      </c>
      <c r="B20" s="413">
        <v>4054418721</v>
      </c>
      <c r="C20" s="421" t="s">
        <v>423</v>
      </c>
      <c r="D20" s="422" t="s">
        <v>426</v>
      </c>
      <c r="E20" s="407" t="s">
        <v>1397</v>
      </c>
      <c r="F20" s="395" t="s">
        <v>17</v>
      </c>
      <c r="G20" s="381" t="s">
        <v>17</v>
      </c>
      <c r="H20" s="390" t="str">
        <f t="shared" si="0"/>
        <v>Rétirédanslesdélais</v>
      </c>
      <c r="I20" s="381" t="s">
        <v>440</v>
      </c>
      <c r="J20" s="426">
        <v>45685</v>
      </c>
      <c r="K20" s="417" t="s">
        <v>430</v>
      </c>
      <c r="L20" s="381"/>
      <c r="M20" s="381"/>
      <c r="N20" s="381"/>
    </row>
    <row r="21" spans="1:14" ht="15.75" x14ac:dyDescent="0.25">
      <c r="A21" s="397">
        <v>18</v>
      </c>
      <c r="B21" s="413">
        <v>4054426521</v>
      </c>
      <c r="C21" s="421" t="s">
        <v>423</v>
      </c>
      <c r="D21" s="422" t="s">
        <v>1388</v>
      </c>
      <c r="E21" s="407" t="s">
        <v>1396</v>
      </c>
      <c r="F21" s="395" t="s">
        <v>17</v>
      </c>
      <c r="G21" s="381" t="s">
        <v>17</v>
      </c>
      <c r="H21" s="390" t="str">
        <f t="shared" si="0"/>
        <v>Rétirédanslesdélais</v>
      </c>
      <c r="I21" s="381" t="s">
        <v>452</v>
      </c>
      <c r="J21" s="426">
        <v>45688</v>
      </c>
      <c r="K21" s="381"/>
      <c r="L21" s="381"/>
      <c r="M21" s="381"/>
      <c r="N21" s="381"/>
    </row>
    <row r="22" spans="1:14" ht="15.75" x14ac:dyDescent="0.25">
      <c r="A22" s="397">
        <v>19</v>
      </c>
      <c r="B22" s="413">
        <v>4054426522</v>
      </c>
      <c r="C22" s="421" t="s">
        <v>423</v>
      </c>
      <c r="D22" s="422" t="s">
        <v>1388</v>
      </c>
      <c r="E22" s="407" t="s">
        <v>1396</v>
      </c>
      <c r="F22" s="395" t="s">
        <v>17</v>
      </c>
      <c r="G22" s="381" t="s">
        <v>17</v>
      </c>
      <c r="H22" s="390" t="str">
        <f t="shared" si="0"/>
        <v>Rétirédanslesdélais</v>
      </c>
      <c r="I22" s="381" t="s">
        <v>453</v>
      </c>
      <c r="J22" s="426">
        <v>45688</v>
      </c>
      <c r="K22" s="381"/>
      <c r="L22" s="381"/>
      <c r="M22" s="381"/>
      <c r="N22" s="381"/>
    </row>
    <row r="23" spans="1:14" ht="15.75" x14ac:dyDescent="0.25">
      <c r="A23" s="397">
        <v>21</v>
      </c>
      <c r="B23" s="413">
        <v>4054428380</v>
      </c>
      <c r="C23" s="421" t="s">
        <v>423</v>
      </c>
      <c r="D23" s="422" t="s">
        <v>1388</v>
      </c>
      <c r="E23" s="407" t="s">
        <v>1396</v>
      </c>
      <c r="F23" s="395" t="s">
        <v>17</v>
      </c>
      <c r="G23" s="381" t="s">
        <v>17</v>
      </c>
      <c r="H23" s="390" t="str">
        <f t="shared" si="0"/>
        <v>Rétirédanslesdélais</v>
      </c>
      <c r="I23" s="381" t="s">
        <v>454</v>
      </c>
      <c r="J23" s="426">
        <v>45688</v>
      </c>
      <c r="K23" s="381"/>
      <c r="L23" s="381"/>
      <c r="M23" s="381"/>
      <c r="N23" s="381"/>
    </row>
    <row r="24" spans="1:14" ht="15.75" x14ac:dyDescent="0.25">
      <c r="A24" s="397">
        <v>22</v>
      </c>
      <c r="B24" s="413">
        <v>4054428381</v>
      </c>
      <c r="C24" s="421" t="s">
        <v>423</v>
      </c>
      <c r="D24" s="422" t="s">
        <v>1388</v>
      </c>
      <c r="E24" s="407" t="s">
        <v>1396</v>
      </c>
      <c r="F24" s="395" t="s">
        <v>17</v>
      </c>
      <c r="G24" s="381" t="s">
        <v>17</v>
      </c>
      <c r="H24" s="390" t="str">
        <f t="shared" si="0"/>
        <v>Rétirédanslesdélais</v>
      </c>
      <c r="I24" s="381" t="s">
        <v>455</v>
      </c>
      <c r="J24" s="426">
        <v>45688</v>
      </c>
      <c r="K24" s="381"/>
      <c r="L24" s="381"/>
      <c r="M24" s="381"/>
      <c r="N24" s="381"/>
    </row>
    <row r="25" spans="1:14" ht="15.75" x14ac:dyDescent="0.25">
      <c r="A25" s="397">
        <v>23</v>
      </c>
      <c r="B25" s="413">
        <v>4054428382</v>
      </c>
      <c r="C25" s="421" t="s">
        <v>423</v>
      </c>
      <c r="D25" s="422" t="s">
        <v>1388</v>
      </c>
      <c r="E25" s="407" t="s">
        <v>1396</v>
      </c>
      <c r="F25" s="395" t="s">
        <v>17</v>
      </c>
      <c r="G25" s="381" t="s">
        <v>17</v>
      </c>
      <c r="H25" s="390" t="str">
        <f t="shared" si="0"/>
        <v>Rétirédanslesdélais</v>
      </c>
      <c r="I25" s="381" t="s">
        <v>456</v>
      </c>
      <c r="J25" s="426">
        <v>45688</v>
      </c>
      <c r="K25" s="381"/>
      <c r="L25" s="381"/>
      <c r="M25" s="381"/>
      <c r="N25" s="381"/>
    </row>
    <row r="26" spans="1:14" ht="15.75" x14ac:dyDescent="0.25">
      <c r="A26" s="397">
        <v>15</v>
      </c>
      <c r="B26" s="413">
        <v>4054428333</v>
      </c>
      <c r="C26" s="421" t="s">
        <v>423</v>
      </c>
      <c r="D26" s="422" t="s">
        <v>1388</v>
      </c>
      <c r="E26" s="407" t="s">
        <v>1105</v>
      </c>
      <c r="F26" s="395" t="s">
        <v>17</v>
      </c>
      <c r="G26" s="381" t="s">
        <v>17</v>
      </c>
      <c r="H26" s="390" t="str">
        <f t="shared" si="0"/>
        <v>Rétirédanslesdélais</v>
      </c>
      <c r="I26" s="381" t="s">
        <v>449</v>
      </c>
      <c r="J26" s="426">
        <v>45688</v>
      </c>
      <c r="K26" s="468" t="s">
        <v>1398</v>
      </c>
      <c r="L26" s="381"/>
      <c r="M26" s="381"/>
      <c r="N26" s="381"/>
    </row>
    <row r="27" spans="1:14" ht="15.75" x14ac:dyDescent="0.25">
      <c r="A27" s="397">
        <v>20</v>
      </c>
      <c r="B27" s="413">
        <v>4054428332</v>
      </c>
      <c r="C27" s="421" t="s">
        <v>423</v>
      </c>
      <c r="D27" s="422" t="s">
        <v>1388</v>
      </c>
      <c r="E27" s="407" t="s">
        <v>1105</v>
      </c>
      <c r="F27" s="395" t="s">
        <v>17</v>
      </c>
      <c r="G27" s="381" t="s">
        <v>17</v>
      </c>
      <c r="H27" s="390" t="str">
        <f t="shared" si="0"/>
        <v>Rétirédanslesdélais</v>
      </c>
      <c r="I27" s="381" t="s">
        <v>450</v>
      </c>
      <c r="J27" s="426">
        <v>45688</v>
      </c>
      <c r="K27" s="417" t="s">
        <v>430</v>
      </c>
      <c r="L27" s="381"/>
      <c r="M27" s="381"/>
      <c r="N27" s="381"/>
    </row>
    <row r="28" spans="1:14" ht="15.75" x14ac:dyDescent="0.25">
      <c r="A28" s="397">
        <v>24</v>
      </c>
      <c r="B28" s="413">
        <v>4054430290</v>
      </c>
      <c r="C28" s="421" t="s">
        <v>423</v>
      </c>
      <c r="D28" t="s">
        <v>428</v>
      </c>
      <c r="E28" s="407" t="s">
        <v>1399</v>
      </c>
      <c r="F28" s="395" t="s">
        <v>17</v>
      </c>
      <c r="G28" s="381" t="s">
        <v>17</v>
      </c>
      <c r="H28" s="390" t="str">
        <f t="shared" si="0"/>
        <v>Rétirédanslesdélais</v>
      </c>
      <c r="I28" s="381" t="s">
        <v>483</v>
      </c>
      <c r="J28" s="426">
        <v>45694</v>
      </c>
      <c r="K28" s="381"/>
      <c r="L28" s="381"/>
      <c r="M28" s="381"/>
      <c r="N28" s="381"/>
    </row>
    <row r="29" spans="1:14" ht="15.75" x14ac:dyDescent="0.25">
      <c r="A29" s="397">
        <v>25</v>
      </c>
      <c r="B29" s="413">
        <v>4054449320</v>
      </c>
      <c r="C29" s="421" t="s">
        <v>423</v>
      </c>
      <c r="D29" s="422" t="s">
        <v>429</v>
      </c>
      <c r="E29" s="407" t="s">
        <v>1299</v>
      </c>
      <c r="F29" s="395" t="s">
        <v>17</v>
      </c>
      <c r="G29" s="381" t="s">
        <v>17</v>
      </c>
      <c r="H29" s="390" t="str">
        <f t="shared" si="0"/>
        <v>Rétirédanslesdélais</v>
      </c>
      <c r="I29" s="381" t="s">
        <v>446</v>
      </c>
      <c r="J29" s="391">
        <v>45687</v>
      </c>
      <c r="K29" s="381"/>
      <c r="L29" s="381"/>
      <c r="M29" s="381"/>
      <c r="N29" s="381"/>
    </row>
    <row r="30" spans="1:14" ht="15.75" x14ac:dyDescent="0.25">
      <c r="A30" s="397">
        <v>26</v>
      </c>
      <c r="B30" s="413">
        <v>4054454340</v>
      </c>
      <c r="C30" s="421" t="s">
        <v>423</v>
      </c>
      <c r="D30" s="422" t="s">
        <v>425</v>
      </c>
      <c r="E30" s="407" t="s">
        <v>1390</v>
      </c>
      <c r="F30" s="395" t="s">
        <v>17</v>
      </c>
      <c r="G30" s="381" t="s">
        <v>17</v>
      </c>
      <c r="H30" s="390" t="str">
        <f t="shared" si="0"/>
        <v>Rétirédanslesdélais</v>
      </c>
      <c r="I30" s="381" t="s">
        <v>439</v>
      </c>
      <c r="J30" s="391">
        <v>45685</v>
      </c>
      <c r="K30" s="381"/>
      <c r="L30" s="381"/>
      <c r="M30" s="381"/>
      <c r="N30" s="381"/>
    </row>
    <row r="33" spans="3:3" x14ac:dyDescent="0.25">
      <c r="C33" s="105"/>
    </row>
  </sheetData>
  <autoFilter ref="A4:N30" xr:uid="{D559034C-E1A8-4788-A336-55187472940D}">
    <filterColumn colId="13" showButton="0"/>
    <sortState xmlns:xlrd2="http://schemas.microsoft.com/office/spreadsheetml/2017/richdata2" ref="A19:N25">
      <sortCondition ref="B4:B30"/>
    </sortState>
  </autoFilter>
  <mergeCells count="2">
    <mergeCell ref="H1:J1"/>
    <mergeCell ref="A2:B2"/>
  </mergeCells>
  <conditionalFormatting sqref="B1:B4">
    <cfRule type="duplicateValues" dxfId="950" priority="12"/>
  </conditionalFormatting>
  <conditionalFormatting sqref="B1:B39 B46:B1048576">
    <cfRule type="duplicateValues" dxfId="949" priority="2"/>
    <cfRule type="duplicateValues" dxfId="948" priority="5"/>
  </conditionalFormatting>
  <conditionalFormatting sqref="B1:B1048576">
    <cfRule type="duplicateValues" dxfId="947" priority="1"/>
  </conditionalFormatting>
  <conditionalFormatting sqref="B31:B39 B1:B4 B46:B1048576">
    <cfRule type="duplicateValues" dxfId="946" priority="13"/>
    <cfRule type="duplicateValues" dxfId="945" priority="14"/>
    <cfRule type="duplicateValues" dxfId="944" priority="15"/>
    <cfRule type="duplicateValues" dxfId="943" priority="16"/>
  </conditionalFormatting>
  <conditionalFormatting sqref="B31:B39 B46:B1048576">
    <cfRule type="duplicateValues" dxfId="942" priority="17"/>
  </conditionalFormatting>
  <conditionalFormatting sqref="H5:H30">
    <cfRule type="containsText" dxfId="941" priority="10" operator="containsText" text="En Attente d'un Retrait Tardif">
      <formula>NOT(ISERROR(SEARCH("En Attente d'un Retrait Tardif",H5)))</formula>
    </cfRule>
    <cfRule type="containsText" dxfId="940" priority="11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1F1D-0052-484C-84F8-85C4355C2751}">
  <sheetPr codeName="Feuil38">
    <tabColor theme="5" tint="-0.249977111117893"/>
  </sheetPr>
  <dimension ref="A1:ER28"/>
  <sheetViews>
    <sheetView workbookViewId="0">
      <selection activeCell="B5" sqref="B5:J14"/>
    </sheetView>
  </sheetViews>
  <sheetFormatPr baseColWidth="10" defaultRowHeight="15" x14ac:dyDescent="0.25"/>
  <cols>
    <col min="1" max="1" width="7.42578125" customWidth="1"/>
    <col min="2" max="2" width="14.140625" bestFit="1" customWidth="1"/>
    <col min="5" max="5" width="43.140625" customWidth="1"/>
    <col min="6" max="6" width="18.85546875" customWidth="1"/>
    <col min="7" max="7" width="24" customWidth="1"/>
    <col min="8" max="8" width="30.85546875" customWidth="1"/>
    <col min="9" max="9" width="24.140625" customWidth="1"/>
    <col min="10" max="10" width="19.28515625" customWidth="1"/>
    <col min="11" max="11" width="16.7109375" customWidth="1"/>
    <col min="14" max="14" width="27.28515625" customWidth="1"/>
  </cols>
  <sheetData>
    <row r="1" spans="1:148" ht="19.5" thickBot="1" x14ac:dyDescent="0.35">
      <c r="A1" s="348" t="s">
        <v>1400</v>
      </c>
      <c r="B1" s="98"/>
      <c r="C1" s="98"/>
      <c r="D1" s="98"/>
      <c r="E1" s="288"/>
      <c r="F1" s="288"/>
      <c r="G1" s="288"/>
      <c r="H1" s="729"/>
      <c r="I1" s="729"/>
      <c r="J1" s="729"/>
      <c r="K1" s="208"/>
      <c r="L1" s="208"/>
      <c r="M1" s="208"/>
    </row>
    <row r="2" spans="1:148" ht="24" thickBot="1" x14ac:dyDescent="0.3">
      <c r="A2" s="730" t="s">
        <v>0</v>
      </c>
      <c r="B2" s="730"/>
      <c r="C2" s="24"/>
      <c r="D2" s="24"/>
      <c r="E2" s="25"/>
      <c r="F2" s="358">
        <f ca="1">J2-H2</f>
        <v>429</v>
      </c>
      <c r="G2" s="25"/>
      <c r="H2" s="314">
        <v>45667</v>
      </c>
      <c r="I2" s="365">
        <f ca="1">J2-H2</f>
        <v>429</v>
      </c>
      <c r="J2" s="315">
        <f ca="1">TODAY()</f>
        <v>46096</v>
      </c>
      <c r="K2" s="340"/>
      <c r="L2" s="340"/>
      <c r="M2" s="208"/>
    </row>
    <row r="3" spans="1:148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48" ht="17.25" x14ac:dyDescent="0.25">
      <c r="A4" s="318" t="s">
        <v>1</v>
      </c>
      <c r="B4" s="335" t="s">
        <v>2</v>
      </c>
      <c r="C4" s="336" t="s">
        <v>361</v>
      </c>
      <c r="D4" s="336" t="s">
        <v>362</v>
      </c>
      <c r="E4" s="336" t="s">
        <v>5</v>
      </c>
      <c r="F4" s="318" t="s">
        <v>1065</v>
      </c>
      <c r="G4" s="318" t="s">
        <v>1066</v>
      </c>
      <c r="H4" s="318" t="s">
        <v>1067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318" t="s">
        <v>11</v>
      </c>
    </row>
    <row r="5" spans="1:148" s="383" customFormat="1" ht="15.75" x14ac:dyDescent="0.25">
      <c r="A5" s="397">
        <v>1</v>
      </c>
      <c r="B5" s="413">
        <v>4054396910</v>
      </c>
      <c r="C5" s="414" t="s">
        <v>26</v>
      </c>
      <c r="D5" s="414"/>
      <c r="E5" s="415" t="s">
        <v>82</v>
      </c>
      <c r="F5" s="416" t="s">
        <v>17</v>
      </c>
      <c r="G5" s="417" t="s">
        <v>1205</v>
      </c>
      <c r="H5" s="418" t="str">
        <f t="shared" ref="H5:H14" si="0">IF(J5="",IF($F$2&lt;=15,"EnattentedeRetrait","EnAttented'unRetraitTardif"),IF(J5-$H$2&lt;=15,"Rétirédanslesdélais",IF(J5-$H$2&gt;15,"Rétirétardivement-30000FCFAamende")))</f>
        <v>Rétirédanslesdélais</v>
      </c>
      <c r="I5" s="417" t="s">
        <v>412</v>
      </c>
      <c r="J5" s="419">
        <v>45672</v>
      </c>
      <c r="K5" s="417" t="s">
        <v>1401</v>
      </c>
      <c r="L5" s="381"/>
      <c r="M5" s="381"/>
      <c r="N5" s="381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  <c r="AW5" s="394"/>
      <c r="AX5" s="394"/>
      <c r="AY5" s="394"/>
      <c r="AZ5" s="394"/>
      <c r="BA5" s="394"/>
      <c r="BB5" s="394"/>
      <c r="BC5" s="394"/>
      <c r="BD5" s="394"/>
      <c r="BE5" s="394"/>
      <c r="BF5" s="394"/>
      <c r="BG5" s="394"/>
      <c r="BH5" s="394"/>
      <c r="BI5" s="394"/>
      <c r="BJ5" s="394"/>
      <c r="BK5" s="394"/>
      <c r="BL5" s="394"/>
      <c r="BM5" s="394"/>
      <c r="BN5" s="394"/>
      <c r="BO5" s="394"/>
      <c r="BP5" s="394"/>
      <c r="BQ5" s="394"/>
      <c r="BR5" s="394"/>
      <c r="BS5" s="394"/>
      <c r="BT5" s="394"/>
      <c r="BU5" s="394"/>
      <c r="BV5" s="394"/>
      <c r="BW5" s="394"/>
      <c r="BX5" s="394"/>
      <c r="BY5" s="394"/>
      <c r="BZ5" s="394"/>
      <c r="CA5" s="394"/>
      <c r="CB5" s="394"/>
      <c r="CC5" s="394"/>
      <c r="CD5" s="394"/>
      <c r="CE5" s="394"/>
      <c r="CF5" s="394"/>
      <c r="CG5" s="394"/>
      <c r="CH5" s="394"/>
      <c r="CI5" s="394"/>
      <c r="CJ5" s="394"/>
      <c r="CK5" s="394"/>
      <c r="CL5" s="394"/>
      <c r="CM5" s="394"/>
      <c r="CN5" s="394"/>
      <c r="CO5" s="394"/>
      <c r="CP5" s="394"/>
      <c r="CQ5" s="394"/>
      <c r="CR5" s="394"/>
      <c r="CS5" s="394"/>
      <c r="CT5" s="394"/>
      <c r="CU5" s="394"/>
      <c r="CV5" s="394"/>
      <c r="CW5" s="394"/>
      <c r="CX5" s="394"/>
      <c r="CY5" s="394"/>
      <c r="CZ5" s="394"/>
      <c r="DA5" s="394"/>
      <c r="DB5" s="394"/>
      <c r="DC5" s="394"/>
      <c r="DD5" s="394"/>
      <c r="DE5" s="394"/>
      <c r="DF5" s="394"/>
      <c r="DG5" s="394"/>
      <c r="DH5" s="394"/>
      <c r="DI5" s="394"/>
      <c r="DJ5" s="394"/>
      <c r="DK5" s="394"/>
      <c r="DL5" s="394"/>
      <c r="DM5" s="394"/>
      <c r="DN5" s="394"/>
      <c r="DO5" s="394"/>
      <c r="DP5" s="394"/>
      <c r="DQ5" s="394"/>
      <c r="DR5" s="394"/>
      <c r="DS5" s="394"/>
      <c r="DT5" s="394"/>
      <c r="DU5" s="394"/>
      <c r="DV5" s="394"/>
      <c r="DW5" s="394"/>
      <c r="DX5" s="394"/>
      <c r="DY5" s="394"/>
      <c r="DZ5" s="394"/>
      <c r="EA5" s="394"/>
      <c r="EB5" s="394"/>
      <c r="EC5" s="394"/>
      <c r="ED5" s="394"/>
      <c r="EE5" s="394"/>
      <c r="EF5" s="394"/>
      <c r="EG5" s="394"/>
      <c r="EH5" s="394"/>
      <c r="EI5" s="394"/>
      <c r="EJ5" s="394"/>
      <c r="EK5" s="394"/>
      <c r="EL5" s="394"/>
      <c r="EM5" s="394"/>
      <c r="EN5" s="394"/>
      <c r="EO5" s="394"/>
      <c r="EP5" s="394"/>
      <c r="EQ5" s="394"/>
      <c r="ER5" s="394"/>
    </row>
    <row r="6" spans="1:148" s="346" customFormat="1" ht="15" customHeight="1" x14ac:dyDescent="0.25">
      <c r="A6" s="397">
        <v>2</v>
      </c>
      <c r="B6" s="397">
        <v>4054419040</v>
      </c>
      <c r="C6" s="402" t="s">
        <v>26</v>
      </c>
      <c r="D6" s="402"/>
      <c r="E6" s="373" t="s">
        <v>402</v>
      </c>
      <c r="F6" s="395" t="s">
        <v>17</v>
      </c>
      <c r="G6" s="381" t="s">
        <v>1205</v>
      </c>
      <c r="H6" s="390" t="str">
        <f t="shared" si="0"/>
        <v>Rétirédanslesdélais</v>
      </c>
      <c r="I6" s="381" t="s">
        <v>414</v>
      </c>
      <c r="J6" s="391">
        <v>45673</v>
      </c>
      <c r="K6" s="381"/>
      <c r="L6" s="381"/>
      <c r="M6" s="381"/>
      <c r="N6" s="381"/>
    </row>
    <row r="7" spans="1:148" s="346" customFormat="1" ht="15.75" x14ac:dyDescent="0.25">
      <c r="A7" s="397">
        <v>3</v>
      </c>
      <c r="B7" s="397">
        <v>4054419060</v>
      </c>
      <c r="C7" s="402" t="s">
        <v>24</v>
      </c>
      <c r="D7" s="411"/>
      <c r="E7" s="373" t="s">
        <v>402</v>
      </c>
      <c r="F7" s="395" t="s">
        <v>17</v>
      </c>
      <c r="G7" s="381" t="s">
        <v>1205</v>
      </c>
      <c r="H7" s="390" t="str">
        <f t="shared" si="0"/>
        <v>Rétirédanslesdélais</v>
      </c>
      <c r="I7" s="381" t="s">
        <v>421</v>
      </c>
      <c r="J7" s="391">
        <v>45678</v>
      </c>
      <c r="K7" s="381"/>
      <c r="L7" s="381"/>
      <c r="M7" s="381"/>
      <c r="N7" s="381"/>
    </row>
    <row r="8" spans="1:148" s="346" customFormat="1" ht="15.75" x14ac:dyDescent="0.25">
      <c r="A8" s="397">
        <v>4</v>
      </c>
      <c r="B8" s="397">
        <v>4054419070</v>
      </c>
      <c r="C8" s="402" t="s">
        <v>24</v>
      </c>
      <c r="D8" s="411"/>
      <c r="E8" s="373" t="s">
        <v>402</v>
      </c>
      <c r="F8" s="395" t="s">
        <v>17</v>
      </c>
      <c r="G8" s="381" t="s">
        <v>1205</v>
      </c>
      <c r="H8" s="390" t="str">
        <f t="shared" si="0"/>
        <v>Rétirédanslesdélais</v>
      </c>
      <c r="I8" s="381" t="s">
        <v>422</v>
      </c>
      <c r="J8" s="391">
        <v>45678</v>
      </c>
      <c r="K8" s="381"/>
      <c r="L8" s="381"/>
      <c r="M8" s="381"/>
      <c r="N8" s="381"/>
    </row>
    <row r="9" spans="1:148" s="346" customFormat="1" ht="15.75" x14ac:dyDescent="0.25">
      <c r="A9" s="397">
        <v>5</v>
      </c>
      <c r="B9" s="397">
        <v>4054428230</v>
      </c>
      <c r="C9" s="402" t="s">
        <v>26</v>
      </c>
      <c r="D9" s="402"/>
      <c r="E9" t="s">
        <v>1402</v>
      </c>
      <c r="F9" s="381" t="s">
        <v>17</v>
      </c>
      <c r="G9" s="381" t="s">
        <v>1205</v>
      </c>
      <c r="H9" s="390" t="str">
        <f t="shared" si="0"/>
        <v>Rétirédanslesdélais</v>
      </c>
      <c r="I9" s="381" t="s">
        <v>413</v>
      </c>
      <c r="J9" s="391">
        <v>45673</v>
      </c>
      <c r="K9" s="381"/>
      <c r="L9" s="381"/>
      <c r="M9" s="381"/>
      <c r="N9" s="381"/>
    </row>
    <row r="10" spans="1:148" s="346" customFormat="1" ht="15.75" x14ac:dyDescent="0.25">
      <c r="A10" s="397">
        <v>6</v>
      </c>
      <c r="B10" s="397">
        <v>4054428280</v>
      </c>
      <c r="C10" s="402" t="s">
        <v>24</v>
      </c>
      <c r="D10" s="402"/>
      <c r="E10" s="407" t="s">
        <v>1342</v>
      </c>
      <c r="F10" s="395" t="s">
        <v>1403</v>
      </c>
      <c r="G10" s="381" t="s">
        <v>1207</v>
      </c>
      <c r="H10" s="390" t="str">
        <f t="shared" si="0"/>
        <v>Rétirédanslesdélais</v>
      </c>
      <c r="I10" s="381" t="s">
        <v>408</v>
      </c>
      <c r="J10" s="391">
        <v>45671</v>
      </c>
      <c r="K10" s="381"/>
      <c r="L10" s="381"/>
      <c r="M10" s="381"/>
      <c r="N10" s="381"/>
    </row>
    <row r="11" spans="1:148" ht="15.75" x14ac:dyDescent="0.25">
      <c r="A11" s="397">
        <v>7</v>
      </c>
      <c r="B11" s="397">
        <v>4054428331</v>
      </c>
      <c r="C11" s="402" t="s">
        <v>26</v>
      </c>
      <c r="D11" s="402"/>
      <c r="E11" s="407" t="s">
        <v>1105</v>
      </c>
      <c r="F11" s="395" t="s">
        <v>17</v>
      </c>
      <c r="G11" s="381" t="s">
        <v>1205</v>
      </c>
      <c r="H11" s="390" t="str">
        <f t="shared" si="0"/>
        <v>Rétirédanslesdélais</v>
      </c>
      <c r="I11" s="381" t="s">
        <v>406</v>
      </c>
      <c r="J11" s="391">
        <v>45671</v>
      </c>
      <c r="K11" s="381"/>
      <c r="L11" s="381"/>
      <c r="M11" s="381"/>
      <c r="N11" s="381"/>
    </row>
    <row r="12" spans="1:148" ht="15.75" x14ac:dyDescent="0.25">
      <c r="A12" s="397">
        <v>8</v>
      </c>
      <c r="B12" s="397">
        <v>4054433900</v>
      </c>
      <c r="C12" s="402" t="s">
        <v>26</v>
      </c>
      <c r="D12" s="402"/>
      <c r="E12" s="407" t="s">
        <v>67</v>
      </c>
      <c r="F12" s="395" t="s">
        <v>1386</v>
      </c>
      <c r="G12" s="381" t="s">
        <v>1205</v>
      </c>
      <c r="H12" s="390" t="str">
        <f t="shared" si="0"/>
        <v>Rétirédanslesdélais</v>
      </c>
      <c r="I12" s="381" t="s">
        <v>410</v>
      </c>
      <c r="J12" s="391">
        <v>45671</v>
      </c>
      <c r="K12" s="381"/>
      <c r="L12" s="381"/>
      <c r="M12" s="381"/>
      <c r="N12" s="381"/>
    </row>
    <row r="13" spans="1:148" ht="15.75" x14ac:dyDescent="0.25">
      <c r="A13" s="397">
        <v>9</v>
      </c>
      <c r="B13" s="397">
        <v>4054436640</v>
      </c>
      <c r="C13" s="402" t="s">
        <v>26</v>
      </c>
      <c r="D13" s="402"/>
      <c r="E13" s="407" t="s">
        <v>1281</v>
      </c>
      <c r="F13" s="395" t="s">
        <v>1386</v>
      </c>
      <c r="G13" s="381" t="s">
        <v>1143</v>
      </c>
      <c r="H13" s="390" t="str">
        <f t="shared" si="0"/>
        <v>Rétirédanslesdélais</v>
      </c>
      <c r="I13" s="381" t="s">
        <v>404</v>
      </c>
      <c r="J13" s="391">
        <v>45671</v>
      </c>
      <c r="K13" s="381"/>
      <c r="L13" s="381"/>
      <c r="M13" s="381"/>
      <c r="N13" s="381"/>
    </row>
    <row r="14" spans="1:148" ht="15.75" x14ac:dyDescent="0.25">
      <c r="A14" s="397">
        <v>10</v>
      </c>
      <c r="B14" s="397">
        <v>4054436649</v>
      </c>
      <c r="C14" s="402" t="s">
        <v>26</v>
      </c>
      <c r="D14" s="402"/>
      <c r="E14" s="407" t="s">
        <v>1281</v>
      </c>
      <c r="F14" s="395" t="s">
        <v>1386</v>
      </c>
      <c r="G14" s="381" t="s">
        <v>1143</v>
      </c>
      <c r="H14" s="390" t="str">
        <f t="shared" si="0"/>
        <v>Rétirédanslesdélais</v>
      </c>
      <c r="I14" s="381" t="s">
        <v>405</v>
      </c>
      <c r="J14" s="391">
        <v>45671</v>
      </c>
      <c r="K14" s="381"/>
      <c r="L14" s="381"/>
      <c r="M14" s="381"/>
      <c r="N14" s="381"/>
    </row>
    <row r="27" spans="9:11" x14ac:dyDescent="0.25">
      <c r="I27" s="105"/>
      <c r="J27" s="105"/>
      <c r="K27" s="105"/>
    </row>
    <row r="28" spans="9:11" x14ac:dyDescent="0.25">
      <c r="I28" s="105"/>
      <c r="J28" s="105"/>
      <c r="K28" s="105"/>
    </row>
  </sheetData>
  <autoFilter ref="A4:N11" xr:uid="{D559034C-E1A8-4788-A336-55187472940D}">
    <filterColumn colId="13" showButton="0"/>
    <sortState xmlns:xlrd2="http://schemas.microsoft.com/office/spreadsheetml/2017/richdata2" ref="A5:N13">
      <sortCondition ref="B4:B11"/>
    </sortState>
  </autoFilter>
  <mergeCells count="2">
    <mergeCell ref="H1:J1"/>
    <mergeCell ref="A2:B2"/>
  </mergeCells>
  <conditionalFormatting sqref="B1:B4 B15:B1048576">
    <cfRule type="duplicateValues" dxfId="939" priority="698"/>
    <cfRule type="duplicateValues" dxfId="938" priority="699"/>
    <cfRule type="duplicateValues" dxfId="937" priority="700"/>
    <cfRule type="duplicateValues" dxfId="936" priority="701"/>
  </conditionalFormatting>
  <conditionalFormatting sqref="B1:B4">
    <cfRule type="duplicateValues" dxfId="935" priority="17"/>
  </conditionalFormatting>
  <conditionalFormatting sqref="B15:B1048576">
    <cfRule type="duplicateValues" dxfId="934" priority="714"/>
  </conditionalFormatting>
  <conditionalFormatting sqref="E25">
    <cfRule type="duplicateValues" dxfId="933" priority="717"/>
  </conditionalFormatting>
  <conditionalFormatting sqref="H5:H14">
    <cfRule type="containsText" dxfId="932" priority="11" operator="containsText" text="En Attente d'un Retrait Tardif">
      <formula>NOT(ISERROR(SEARCH("En Attente d'un Retrait Tardif",H5)))</formula>
    </cfRule>
    <cfRule type="containsText" dxfId="931" priority="12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99C3-579D-4C01-BE35-0189123DF240}">
  <sheetPr codeName="Feuil39" filterMode="1">
    <tabColor theme="5" tint="-0.249977111117893"/>
  </sheetPr>
  <dimension ref="A1:O101"/>
  <sheetViews>
    <sheetView zoomScaleNormal="100" workbookViewId="0">
      <selection activeCell="G24" sqref="A1:O101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3" width="43.5703125" style="292" customWidth="1"/>
    <col min="4" max="4" width="23.7109375" style="292" customWidth="1"/>
    <col min="5" max="5" width="23.140625" style="292" customWidth="1"/>
    <col min="6" max="6" width="37.28515625" customWidth="1"/>
    <col min="7" max="7" width="17.28515625" customWidth="1"/>
    <col min="8" max="8" width="16.42578125" style="208" customWidth="1"/>
    <col min="9" max="9" width="11.42578125" style="208" customWidth="1"/>
    <col min="10" max="10" width="22.140625" style="208" customWidth="1"/>
    <col min="11" max="11" width="29" style="208" customWidth="1"/>
    <col min="12" max="15" width="3.42578125" customWidth="1"/>
  </cols>
  <sheetData>
    <row r="1" spans="1:15" ht="19.5" thickBot="1" x14ac:dyDescent="0.35">
      <c r="A1" s="348" t="s">
        <v>1404</v>
      </c>
      <c r="B1" s="98"/>
      <c r="C1" s="288"/>
      <c r="D1" s="288"/>
      <c r="E1" s="288"/>
      <c r="F1" s="729"/>
      <c r="G1" s="729"/>
      <c r="H1" s="729"/>
    </row>
    <row r="2" spans="1:15" ht="24" thickBot="1" x14ac:dyDescent="0.3">
      <c r="A2" s="730" t="s">
        <v>0</v>
      </c>
      <c r="B2" s="730"/>
      <c r="C2" s="25"/>
      <c r="D2" s="358">
        <f ca="1">H2-F2</f>
        <v>492</v>
      </c>
      <c r="E2" s="25"/>
      <c r="F2" s="314">
        <v>45604</v>
      </c>
      <c r="G2" s="365">
        <f ca="1">H2-F2</f>
        <v>492</v>
      </c>
      <c r="H2" s="315">
        <f ca="1">TODAY()</f>
        <v>46096</v>
      </c>
      <c r="I2" s="340"/>
      <c r="J2" s="340"/>
    </row>
    <row r="3" spans="1:15" x14ac:dyDescent="0.25">
      <c r="F3" s="105"/>
      <c r="G3" s="105"/>
      <c r="K3" s="369"/>
    </row>
    <row r="4" spans="1:15" ht="17.25" x14ac:dyDescent="0.25">
      <c r="A4" s="318" t="s">
        <v>1</v>
      </c>
      <c r="B4" s="335" t="s">
        <v>2</v>
      </c>
      <c r="C4" s="336" t="s">
        <v>5</v>
      </c>
      <c r="D4" s="318" t="s">
        <v>1065</v>
      </c>
      <c r="E4" s="318" t="s">
        <v>1066</v>
      </c>
      <c r="F4" s="318" t="s">
        <v>7</v>
      </c>
      <c r="G4" s="318" t="s">
        <v>167</v>
      </c>
      <c r="H4" s="318" t="s">
        <v>1068</v>
      </c>
      <c r="I4" s="318" t="s">
        <v>8</v>
      </c>
      <c r="J4" s="318" t="s">
        <v>9</v>
      </c>
      <c r="K4" s="318" t="s">
        <v>10</v>
      </c>
      <c r="L4" s="733" t="s">
        <v>11</v>
      </c>
      <c r="M4" s="733"/>
      <c r="N4" s="733"/>
      <c r="O4" s="733"/>
    </row>
    <row r="5" spans="1:15" ht="21" hidden="1" customHeight="1" x14ac:dyDescent="0.25">
      <c r="A5" s="275">
        <v>1</v>
      </c>
      <c r="B5" s="275">
        <v>4054280540</v>
      </c>
      <c r="C5" s="275" t="s">
        <v>256</v>
      </c>
      <c r="D5" s="275" t="s">
        <v>215</v>
      </c>
      <c r="E5" s="275" t="s">
        <v>45</v>
      </c>
      <c r="F5" s="275" t="str">
        <f t="shared" ref="F5:F17" si="0">IF(H5="",IF($D$2&lt;=15,"En attente de Retrait","En Attente d'un Retrait Tardif"),IF(H5-$F$2&lt;=15,"Rétiré dans les délais",IF(H5-$F$2&gt;15,"Rétiré tardivement-30000FCFA amende")))</f>
        <v>Rétiré dans les délais</v>
      </c>
      <c r="G5" s="275" t="s">
        <v>282</v>
      </c>
      <c r="H5" s="301">
        <v>45617</v>
      </c>
      <c r="I5" s="344">
        <v>220000</v>
      </c>
      <c r="J5" s="344"/>
      <c r="K5" s="344"/>
      <c r="L5" s="732"/>
      <c r="M5" s="732"/>
      <c r="N5" s="732"/>
      <c r="O5" s="732"/>
    </row>
    <row r="6" spans="1:15" ht="21" hidden="1" customHeight="1" x14ac:dyDescent="0.25">
      <c r="A6" s="275">
        <v>2</v>
      </c>
      <c r="B6" s="275">
        <v>4054326340</v>
      </c>
      <c r="C6" s="275" t="s">
        <v>36</v>
      </c>
      <c r="D6" s="275" t="s">
        <v>259</v>
      </c>
      <c r="E6" s="275" t="s">
        <v>13</v>
      </c>
      <c r="F6" s="275" t="str">
        <f t="shared" si="0"/>
        <v>Rétiré dans les délais</v>
      </c>
      <c r="G6" s="275" t="s">
        <v>262</v>
      </c>
      <c r="H6" s="301">
        <v>45608</v>
      </c>
      <c r="I6" s="344"/>
      <c r="J6" s="344"/>
      <c r="K6" s="344"/>
      <c r="L6" s="732"/>
      <c r="M6" s="732"/>
      <c r="N6" s="732"/>
      <c r="O6" s="732"/>
    </row>
    <row r="7" spans="1:15" ht="21" customHeight="1" x14ac:dyDescent="0.25">
      <c r="A7" s="275">
        <v>3</v>
      </c>
      <c r="B7" s="275">
        <v>4054338540</v>
      </c>
      <c r="C7" s="275" t="s">
        <v>1405</v>
      </c>
      <c r="D7" s="275" t="s">
        <v>1406</v>
      </c>
      <c r="E7" s="275" t="s">
        <v>1407</v>
      </c>
      <c r="F7" s="275" t="str">
        <f>IF(H7="",IF($D$2&lt;=15,"EnattentedeRetrait","EnAttented'unRetraitTardif"),IF(H7-$F$2&lt;=15,"Rétirédanslesdélais",IF(H7-$F$2&gt;15,"Rétirétardivement-30000FCFAamende")))</f>
        <v>Rétirétardivement-30000FCFAamende</v>
      </c>
      <c r="G7" s="275" t="s">
        <v>407</v>
      </c>
      <c r="H7" s="301">
        <v>45671</v>
      </c>
      <c r="I7" s="344"/>
      <c r="J7" s="344"/>
      <c r="K7" s="344"/>
      <c r="L7" s="732"/>
      <c r="M7" s="732"/>
      <c r="N7" s="732"/>
      <c r="O7" s="732"/>
    </row>
    <row r="8" spans="1:15" ht="21" customHeight="1" x14ac:dyDescent="0.25">
      <c r="A8" s="275">
        <v>4</v>
      </c>
      <c r="B8" s="275">
        <v>4054338549</v>
      </c>
      <c r="C8" s="275" t="s">
        <v>1405</v>
      </c>
      <c r="D8" s="275" t="s">
        <v>259</v>
      </c>
      <c r="E8" s="275" t="s">
        <v>1407</v>
      </c>
      <c r="F8" s="275" t="str">
        <f>IF(H8="",IF($D$2&lt;=15,"EnattentedeRetrait","EnAttented'unRetraitTardif"),IF(H8-$F$2&lt;=15,"Rétirédanslesdélais",IF(H8-$F$2&gt;15,"Rétirétardivement-30000FCFAamende")))</f>
        <v>Rétirétardivement-30000FCFAamende</v>
      </c>
      <c r="G8" s="275" t="s">
        <v>419</v>
      </c>
      <c r="H8" s="301">
        <v>45677</v>
      </c>
      <c r="I8" s="344"/>
      <c r="J8" s="344"/>
      <c r="K8" s="344"/>
      <c r="L8" s="732"/>
      <c r="M8" s="732"/>
      <c r="N8" s="732"/>
      <c r="O8" s="732"/>
    </row>
    <row r="9" spans="1:15" ht="21" customHeight="1" x14ac:dyDescent="0.25">
      <c r="A9" s="275">
        <v>5</v>
      </c>
      <c r="B9" s="275">
        <v>4054338548</v>
      </c>
      <c r="C9" s="275" t="s">
        <v>1405</v>
      </c>
      <c r="D9" s="275" t="s">
        <v>259</v>
      </c>
      <c r="E9" s="275" t="s">
        <v>1407</v>
      </c>
      <c r="F9" s="275" t="str">
        <f>IF(H9="",IF($D$2&lt;=15,"EnattentedeRetrait","EnAttented'unRetraitTardif"),IF(H9-$F$2&lt;=15,"Rétirédanslesdélais",IF(H9-$F$2&gt;15,"Rétirétardivement-30000FCFAamende")))</f>
        <v>Rétirétardivement-30000FCFAamende</v>
      </c>
      <c r="G9" s="275" t="s">
        <v>420</v>
      </c>
      <c r="H9" s="301">
        <v>45677</v>
      </c>
      <c r="I9" s="344"/>
      <c r="J9" s="344"/>
      <c r="K9" s="344"/>
      <c r="L9" s="732"/>
      <c r="M9" s="732"/>
      <c r="N9" s="732"/>
      <c r="O9" s="732"/>
    </row>
    <row r="10" spans="1:15" ht="21" hidden="1" customHeight="1" x14ac:dyDescent="0.25">
      <c r="A10" s="275">
        <v>6</v>
      </c>
      <c r="B10" s="275">
        <v>4054284450</v>
      </c>
      <c r="C10" s="275" t="s">
        <v>22</v>
      </c>
      <c r="D10" s="275" t="s">
        <v>215</v>
      </c>
      <c r="E10" s="275" t="s">
        <v>45</v>
      </c>
      <c r="F10" s="275" t="str">
        <f t="shared" si="0"/>
        <v>Rétiré dans les délais</v>
      </c>
      <c r="G10" s="275" t="s">
        <v>267</v>
      </c>
      <c r="H10" s="301">
        <v>45610</v>
      </c>
      <c r="I10" s="344"/>
      <c r="J10" s="344"/>
      <c r="K10" s="344"/>
      <c r="L10" s="732"/>
      <c r="M10" s="732"/>
      <c r="N10" s="732"/>
      <c r="O10" s="732"/>
    </row>
    <row r="11" spans="1:15" ht="21" hidden="1" customHeight="1" x14ac:dyDescent="0.25">
      <c r="A11" s="275">
        <v>5</v>
      </c>
      <c r="B11" s="275">
        <v>4054346020</v>
      </c>
      <c r="C11" s="275" t="s">
        <v>37</v>
      </c>
      <c r="D11" s="275" t="s">
        <v>215</v>
      </c>
      <c r="E11" s="275" t="s">
        <v>283</v>
      </c>
      <c r="F11" s="275" t="str">
        <f t="shared" si="0"/>
        <v>Rétiré dans les délais</v>
      </c>
      <c r="G11" s="275" t="s">
        <v>279</v>
      </c>
      <c r="H11" s="301">
        <v>45615</v>
      </c>
      <c r="I11" s="344"/>
      <c r="J11" s="344"/>
      <c r="K11" s="344"/>
      <c r="L11" s="732"/>
      <c r="M11" s="732"/>
      <c r="N11" s="732"/>
      <c r="O11" s="732"/>
    </row>
    <row r="12" spans="1:15" ht="21" hidden="1" customHeight="1" x14ac:dyDescent="0.25">
      <c r="A12" s="275">
        <v>7</v>
      </c>
      <c r="B12" s="275">
        <v>2153526450</v>
      </c>
      <c r="C12" s="275" t="s">
        <v>120</v>
      </c>
      <c r="D12" s="275" t="s">
        <v>215</v>
      </c>
      <c r="E12" s="275" t="s">
        <v>45</v>
      </c>
      <c r="F12" s="275" t="str">
        <f t="shared" si="0"/>
        <v>Rétiré dans les délais</v>
      </c>
      <c r="G12" s="275" t="s">
        <v>263</v>
      </c>
      <c r="H12" s="301">
        <v>45608</v>
      </c>
      <c r="I12" s="344"/>
      <c r="J12" s="344"/>
      <c r="K12" s="344"/>
      <c r="L12" s="732"/>
      <c r="M12" s="732"/>
      <c r="N12" s="732"/>
      <c r="O12" s="732"/>
    </row>
    <row r="13" spans="1:15" ht="21" hidden="1" customHeight="1" x14ac:dyDescent="0.25">
      <c r="A13" s="275">
        <v>8</v>
      </c>
      <c r="B13" s="275">
        <v>4054339060</v>
      </c>
      <c r="C13" s="275" t="s">
        <v>19</v>
      </c>
      <c r="D13" s="275" t="s">
        <v>215</v>
      </c>
      <c r="E13" s="275" t="s">
        <v>13</v>
      </c>
      <c r="F13" s="275" t="str">
        <f t="shared" si="0"/>
        <v>Rétiré dans les délais</v>
      </c>
      <c r="G13" s="275" t="s">
        <v>260</v>
      </c>
      <c r="H13" s="301">
        <v>45607</v>
      </c>
      <c r="I13" s="344"/>
      <c r="J13" s="344"/>
      <c r="K13" s="344"/>
      <c r="L13" s="732"/>
      <c r="M13" s="732"/>
      <c r="N13" s="732"/>
      <c r="O13" s="732"/>
    </row>
    <row r="14" spans="1:15" ht="21" hidden="1" customHeight="1" x14ac:dyDescent="0.25">
      <c r="A14" s="275">
        <v>9</v>
      </c>
      <c r="B14" s="275">
        <v>4054352800</v>
      </c>
      <c r="C14" s="275" t="s">
        <v>255</v>
      </c>
      <c r="D14" s="275" t="s">
        <v>215</v>
      </c>
      <c r="E14" s="275" t="s">
        <v>284</v>
      </c>
      <c r="F14" s="275" t="str">
        <f t="shared" si="0"/>
        <v>Rétiré dans les délais</v>
      </c>
      <c r="G14" s="275" t="s">
        <v>266</v>
      </c>
      <c r="H14" s="301">
        <v>45610</v>
      </c>
      <c r="I14" s="344"/>
      <c r="J14" s="344"/>
      <c r="K14" s="344"/>
      <c r="L14" s="732"/>
      <c r="M14" s="732"/>
      <c r="N14" s="732"/>
      <c r="O14" s="732"/>
    </row>
    <row r="15" spans="1:15" s="292" customFormat="1" ht="21.75" hidden="1" customHeight="1" x14ac:dyDescent="0.2">
      <c r="A15" s="275">
        <v>11</v>
      </c>
      <c r="B15" s="275">
        <v>4054320160</v>
      </c>
      <c r="C15" s="275" t="s">
        <v>18</v>
      </c>
      <c r="D15" s="275" t="s">
        <v>215</v>
      </c>
      <c r="E15" s="275" t="s">
        <v>13</v>
      </c>
      <c r="F15" s="275" t="str">
        <f t="shared" si="0"/>
        <v>Rétiré dans les délais</v>
      </c>
      <c r="G15" s="275" t="s">
        <v>281</v>
      </c>
      <c r="H15" s="301">
        <v>45616</v>
      </c>
      <c r="I15" s="344"/>
      <c r="J15" s="344" t="s">
        <v>271</v>
      </c>
      <c r="K15" s="344"/>
      <c r="L15" s="732"/>
      <c r="M15" s="732"/>
      <c r="N15" s="732"/>
      <c r="O15" s="732"/>
    </row>
    <row r="16" spans="1:15" s="292" customFormat="1" ht="21.75" hidden="1" customHeight="1" x14ac:dyDescent="0.2">
      <c r="A16" s="275">
        <v>12</v>
      </c>
      <c r="B16" s="275">
        <v>4054320180</v>
      </c>
      <c r="C16" s="275" t="s">
        <v>18</v>
      </c>
      <c r="D16" s="275" t="s">
        <v>215</v>
      </c>
      <c r="E16" s="275" t="s">
        <v>13</v>
      </c>
      <c r="F16" s="275" t="str">
        <f t="shared" si="0"/>
        <v>Rétiré dans les délais</v>
      </c>
      <c r="G16" s="275" t="s">
        <v>280</v>
      </c>
      <c r="H16" s="301">
        <v>45616</v>
      </c>
      <c r="I16" s="344"/>
      <c r="J16" s="344" t="s">
        <v>271</v>
      </c>
      <c r="K16" s="344"/>
      <c r="L16" s="732"/>
      <c r="M16" s="732"/>
      <c r="N16" s="732"/>
      <c r="O16" s="732"/>
    </row>
    <row r="17" spans="1:15" s="292" customFormat="1" ht="17.25" hidden="1" x14ac:dyDescent="0.25">
      <c r="A17" s="275">
        <v>13</v>
      </c>
      <c r="B17" s="275">
        <v>4054291810</v>
      </c>
      <c r="C17" s="275" t="s">
        <v>255</v>
      </c>
      <c r="D17" s="275" t="s">
        <v>215</v>
      </c>
      <c r="E17" s="275" t="s">
        <v>285</v>
      </c>
      <c r="F17" s="275" t="str">
        <f t="shared" si="0"/>
        <v>Rétiré dans les délais</v>
      </c>
      <c r="G17" s="275" t="s">
        <v>268</v>
      </c>
      <c r="H17" s="301">
        <v>45610</v>
      </c>
      <c r="I17" s="344">
        <v>352000</v>
      </c>
      <c r="J17" s="344"/>
      <c r="K17" s="344">
        <v>100000</v>
      </c>
      <c r="L17"/>
      <c r="M17"/>
      <c r="N17"/>
      <c r="O17"/>
    </row>
    <row r="18" spans="1:15" x14ac:dyDescent="0.25">
      <c r="B18" s="292"/>
    </row>
    <row r="19" spans="1:15" x14ac:dyDescent="0.25">
      <c r="B19" s="292"/>
    </row>
    <row r="20" spans="1:15" x14ac:dyDescent="0.25">
      <c r="B20" s="292"/>
    </row>
    <row r="21" spans="1:15" x14ac:dyDescent="0.25">
      <c r="B21" s="292"/>
    </row>
    <row r="22" spans="1:15" ht="18.75" x14ac:dyDescent="0.3">
      <c r="B22" s="370"/>
    </row>
    <row r="23" spans="1:15" ht="18.75" x14ac:dyDescent="0.3">
      <c r="B23" s="370"/>
    </row>
    <row r="24" spans="1:15" x14ac:dyDescent="0.25">
      <c r="B24" s="371"/>
    </row>
    <row r="25" spans="1:15" x14ac:dyDescent="0.25">
      <c r="B25" s="292"/>
    </row>
    <row r="26" spans="1:15" x14ac:dyDescent="0.25">
      <c r="B26" s="292"/>
    </row>
    <row r="27" spans="1:15" x14ac:dyDescent="0.25">
      <c r="B27" s="292"/>
    </row>
    <row r="28" spans="1:15" x14ac:dyDescent="0.25">
      <c r="B28" s="292"/>
    </row>
    <row r="29" spans="1:15" x14ac:dyDescent="0.25">
      <c r="B29" s="292"/>
    </row>
    <row r="30" spans="1:15" x14ac:dyDescent="0.25">
      <c r="B30" s="292"/>
    </row>
    <row r="31" spans="1:15" x14ac:dyDescent="0.25">
      <c r="B31" s="292"/>
    </row>
    <row r="32" spans="1:15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</sheetData>
  <autoFilter ref="A4:O17" xr:uid="{200E99C3-579D-4C01-BE35-0189123DF240}">
    <filterColumn colId="7">
      <filters>
        <dateGroupItem year="2025" dateTimeGrouping="year"/>
      </filters>
    </filterColumn>
    <filterColumn colId="11" showButton="0"/>
    <filterColumn colId="12" showButton="0"/>
    <filterColumn colId="13" showButton="0"/>
  </autoFilter>
  <mergeCells count="15">
    <mergeCell ref="L15:O15"/>
    <mergeCell ref="L16:O16"/>
    <mergeCell ref="L10:O10"/>
    <mergeCell ref="L11:O11"/>
    <mergeCell ref="L12:O12"/>
    <mergeCell ref="L13:O13"/>
    <mergeCell ref="L14:O14"/>
    <mergeCell ref="L8:O8"/>
    <mergeCell ref="L9:O9"/>
    <mergeCell ref="L7:O7"/>
    <mergeCell ref="F1:H1"/>
    <mergeCell ref="A2:B2"/>
    <mergeCell ref="L4:O4"/>
    <mergeCell ref="L5:O5"/>
    <mergeCell ref="L6:O6"/>
  </mergeCells>
  <conditionalFormatting sqref="B1:B23 B25:B1048576">
    <cfRule type="duplicateValues" dxfId="930" priority="3"/>
  </conditionalFormatting>
  <conditionalFormatting sqref="B1:B1048576">
    <cfRule type="duplicateValues" dxfId="929" priority="2"/>
  </conditionalFormatting>
  <conditionalFormatting sqref="B5:B23">
    <cfRule type="duplicateValues" dxfId="928" priority="667"/>
  </conditionalFormatting>
  <conditionalFormatting sqref="F5:F17">
    <cfRule type="containsText" dxfId="927" priority="4" operator="containsText" text="En Attente d'un Retrait Tardif">
      <formula>NOT(ISERROR(SEARCH("En Attente d'un Retrait Tardif",F5)))</formula>
    </cfRule>
    <cfRule type="containsText" dxfId="926" priority="5" operator="containsText" text="Rétiré dans les délais">
      <formula>NOT(ISERROR(SEARCH("Rétiré dans les délais",F5)))</formula>
    </cfRule>
  </conditionalFormatting>
  <conditionalFormatting sqref="G1:G1048576">
    <cfRule type="duplicateValues" dxfId="925" priority="1"/>
  </conditionalFormatting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848B-7F75-412E-AD3F-4EFE1E14B0A9}">
  <sheetPr codeName="Feuil40">
    <tabColor theme="5" tint="-0.249977111117893"/>
  </sheetPr>
  <dimension ref="A1:ET12"/>
  <sheetViews>
    <sheetView workbookViewId="0">
      <selection activeCell="E25" sqref="E25"/>
    </sheetView>
  </sheetViews>
  <sheetFormatPr baseColWidth="10" defaultRowHeight="15" x14ac:dyDescent="0.25"/>
  <cols>
    <col min="1" max="1" width="7.42578125" customWidth="1"/>
    <col min="2" max="2" width="14.140625" bestFit="1" customWidth="1"/>
    <col min="3" max="3" width="43.140625" customWidth="1"/>
    <col min="4" max="4" width="29" customWidth="1"/>
    <col min="5" max="5" width="37.85546875" customWidth="1"/>
    <col min="6" max="6" width="23.28515625" customWidth="1"/>
    <col min="7" max="7" width="19.140625" customWidth="1"/>
    <col min="8" max="8" width="19.28515625" customWidth="1"/>
  </cols>
  <sheetData>
    <row r="1" spans="1:150" ht="19.5" thickBot="1" x14ac:dyDescent="0.35">
      <c r="A1" s="348" t="s">
        <v>1408</v>
      </c>
      <c r="B1" s="98"/>
      <c r="C1" s="288"/>
      <c r="D1" s="288"/>
      <c r="E1" s="288"/>
      <c r="F1" s="729"/>
      <c r="G1" s="729"/>
      <c r="H1" s="729"/>
      <c r="I1" s="208"/>
      <c r="J1" s="208"/>
      <c r="K1" s="208"/>
    </row>
    <row r="2" spans="1:150" ht="24" thickBot="1" x14ac:dyDescent="0.3">
      <c r="A2" s="730" t="s">
        <v>0</v>
      </c>
      <c r="B2" s="730"/>
      <c r="C2" s="25"/>
      <c r="D2" s="358">
        <f ca="1">H2-F2</f>
        <v>435</v>
      </c>
      <c r="E2" s="25"/>
      <c r="F2" s="314">
        <v>45661</v>
      </c>
      <c r="G2" s="365">
        <f ca="1">H2-F2</f>
        <v>435</v>
      </c>
      <c r="H2" s="315">
        <f ca="1">TODAY()</f>
        <v>46096</v>
      </c>
      <c r="I2" s="340"/>
      <c r="J2" s="340"/>
      <c r="K2" s="208"/>
    </row>
    <row r="3" spans="1:150" x14ac:dyDescent="0.25">
      <c r="C3" s="292"/>
      <c r="D3" s="292"/>
      <c r="E3" s="292"/>
      <c r="F3" s="105"/>
      <c r="G3" s="105"/>
      <c r="H3" s="208"/>
      <c r="I3" s="208"/>
      <c r="J3" s="208"/>
      <c r="K3" s="369"/>
    </row>
    <row r="4" spans="1:150" ht="17.25" x14ac:dyDescent="0.25">
      <c r="A4" s="318" t="s">
        <v>1</v>
      </c>
      <c r="B4" s="335" t="s">
        <v>2</v>
      </c>
      <c r="C4" s="336" t="s">
        <v>5</v>
      </c>
      <c r="D4" s="318" t="s">
        <v>1065</v>
      </c>
      <c r="E4" s="318" t="s">
        <v>1066</v>
      </c>
      <c r="F4" s="318" t="s">
        <v>7</v>
      </c>
      <c r="G4" s="318" t="s">
        <v>167</v>
      </c>
      <c r="H4" s="318" t="s">
        <v>1068</v>
      </c>
      <c r="I4" s="318" t="s">
        <v>8</v>
      </c>
      <c r="J4" s="318" t="s">
        <v>9</v>
      </c>
      <c r="K4" s="318" t="s">
        <v>10</v>
      </c>
      <c r="L4" s="733" t="s">
        <v>11</v>
      </c>
      <c r="M4" s="733"/>
      <c r="N4" s="733"/>
      <c r="O4" s="733"/>
    </row>
    <row r="5" spans="1:150" s="383" customFormat="1" ht="15.75" x14ac:dyDescent="0.25">
      <c r="A5" s="397">
        <v>1</v>
      </c>
      <c r="B5" s="403">
        <v>2752120530</v>
      </c>
      <c r="C5" s="398" t="s">
        <v>1409</v>
      </c>
      <c r="D5" s="395" t="s">
        <v>1406</v>
      </c>
      <c r="E5" s="401" t="s">
        <v>1207</v>
      </c>
      <c r="F5" s="390" t="str">
        <f t="shared" ref="F5:F12" si="0">IF(H5="",IF($D$2&lt;=15,"EnattentedeRetrait","EnAttented'unRetraitTardif"),IF(H5-$F$2&lt;=15,"Rétirédanslesdélais",IF(H5-$F$2&gt;15,"Rétirétardivement-30000FCFAamende")))</f>
        <v>Rétirédanslesdélais</v>
      </c>
      <c r="G5" s="381" t="s">
        <v>400</v>
      </c>
      <c r="H5" s="391">
        <v>45666</v>
      </c>
      <c r="I5" s="381"/>
      <c r="J5" s="381"/>
      <c r="K5" s="381"/>
      <c r="L5" s="381"/>
      <c r="M5" s="381"/>
      <c r="N5" s="381"/>
      <c r="O5" s="381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  <c r="AW5" s="394"/>
      <c r="AX5" s="394"/>
      <c r="AY5" s="394"/>
      <c r="AZ5" s="394"/>
      <c r="BA5" s="394"/>
      <c r="BB5" s="394"/>
      <c r="BC5" s="394"/>
      <c r="BD5" s="394"/>
      <c r="BE5" s="394"/>
      <c r="BF5" s="394"/>
      <c r="BG5" s="394"/>
      <c r="BH5" s="394"/>
      <c r="BI5" s="394"/>
      <c r="BJ5" s="394"/>
      <c r="BK5" s="394"/>
      <c r="BL5" s="394"/>
      <c r="BM5" s="394"/>
      <c r="BN5" s="394"/>
      <c r="BO5" s="394"/>
      <c r="BP5" s="394"/>
      <c r="BQ5" s="394"/>
      <c r="BR5" s="394"/>
      <c r="BS5" s="394"/>
      <c r="BT5" s="394"/>
      <c r="BU5" s="394"/>
      <c r="BV5" s="394"/>
      <c r="BW5" s="394"/>
      <c r="BX5" s="394"/>
      <c r="BY5" s="394"/>
      <c r="BZ5" s="394"/>
      <c r="CA5" s="394"/>
      <c r="CB5" s="394"/>
      <c r="CC5" s="394"/>
      <c r="CD5" s="394"/>
      <c r="CE5" s="394"/>
      <c r="CF5" s="394"/>
      <c r="CG5" s="394"/>
      <c r="CH5" s="394"/>
      <c r="CI5" s="394"/>
      <c r="CJ5" s="394"/>
      <c r="CK5" s="394"/>
      <c r="CL5" s="394"/>
      <c r="CM5" s="394"/>
      <c r="CN5" s="394"/>
      <c r="CO5" s="394"/>
      <c r="CP5" s="394"/>
      <c r="CQ5" s="394"/>
      <c r="CR5" s="394"/>
      <c r="CS5" s="394"/>
      <c r="CT5" s="394"/>
      <c r="CU5" s="394"/>
      <c r="CV5" s="394"/>
      <c r="CW5" s="394"/>
      <c r="CX5" s="394"/>
      <c r="CY5" s="394"/>
      <c r="CZ5" s="394"/>
      <c r="DA5" s="394"/>
      <c r="DB5" s="394"/>
      <c r="DC5" s="394"/>
      <c r="DD5" s="394"/>
      <c r="DE5" s="394"/>
      <c r="DF5" s="394"/>
      <c r="DG5" s="394"/>
      <c r="DH5" s="394"/>
      <c r="DI5" s="394"/>
      <c r="DJ5" s="394"/>
      <c r="DK5" s="394"/>
      <c r="DL5" s="394"/>
      <c r="DM5" s="394"/>
      <c r="DN5" s="394"/>
      <c r="DO5" s="394"/>
      <c r="DP5" s="394"/>
      <c r="DQ5" s="394"/>
      <c r="DR5" s="394"/>
      <c r="DS5" s="394"/>
      <c r="DT5" s="394"/>
      <c r="DU5" s="394"/>
      <c r="DV5" s="394"/>
      <c r="DW5" s="394"/>
      <c r="DX5" s="394"/>
      <c r="DY5" s="394"/>
      <c r="DZ5" s="394"/>
      <c r="EA5" s="394"/>
      <c r="EB5" s="394"/>
      <c r="EC5" s="394"/>
      <c r="ED5" s="394"/>
      <c r="EE5" s="394"/>
      <c r="EF5" s="394"/>
      <c r="EG5" s="394"/>
      <c r="EH5" s="394"/>
      <c r="EI5" s="394"/>
      <c r="EJ5" s="394"/>
      <c r="EK5" s="394"/>
      <c r="EL5" s="394"/>
      <c r="EM5" s="394"/>
      <c r="EN5" s="394"/>
      <c r="EO5" s="394"/>
      <c r="EP5" s="394"/>
      <c r="EQ5" s="394"/>
      <c r="ER5" s="394"/>
      <c r="ES5" s="394"/>
      <c r="ET5" s="394"/>
    </row>
    <row r="6" spans="1:150" s="346" customFormat="1" ht="15" customHeight="1" x14ac:dyDescent="0.25">
      <c r="A6" s="397">
        <v>2</v>
      </c>
      <c r="B6" s="403">
        <v>4054396930</v>
      </c>
      <c r="C6" s="398" t="s">
        <v>1410</v>
      </c>
      <c r="D6" s="395" t="s">
        <v>1406</v>
      </c>
      <c r="E6" s="381" t="s">
        <v>1207</v>
      </c>
      <c r="F6" s="390" t="str">
        <f t="shared" si="0"/>
        <v>Rétirédanslesdélais</v>
      </c>
      <c r="G6" s="381" t="s">
        <v>388</v>
      </c>
      <c r="H6" s="391">
        <v>45665</v>
      </c>
      <c r="I6" s="381"/>
      <c r="J6" s="381"/>
      <c r="K6" s="381"/>
      <c r="L6" s="381"/>
      <c r="M6" s="381"/>
      <c r="N6" s="381"/>
      <c r="O6" s="381"/>
    </row>
    <row r="7" spans="1:150" s="346" customFormat="1" ht="15.75" x14ac:dyDescent="0.25">
      <c r="A7" s="397">
        <v>3</v>
      </c>
      <c r="B7" s="403">
        <v>4054418710</v>
      </c>
      <c r="C7" s="398" t="s">
        <v>1411</v>
      </c>
      <c r="D7" s="395" t="s">
        <v>1406</v>
      </c>
      <c r="E7" s="401" t="s">
        <v>1207</v>
      </c>
      <c r="F7" s="390" t="str">
        <f t="shared" si="0"/>
        <v>Rétirédanslesdélais</v>
      </c>
      <c r="G7" s="381" t="s">
        <v>384</v>
      </c>
      <c r="H7" s="391">
        <v>45664</v>
      </c>
      <c r="I7" s="381"/>
      <c r="J7" s="381"/>
      <c r="K7" s="381"/>
      <c r="L7" s="381"/>
      <c r="M7" s="381"/>
      <c r="N7" s="381"/>
      <c r="O7" s="381"/>
    </row>
    <row r="8" spans="1:150" s="346" customFormat="1" ht="15.75" x14ac:dyDescent="0.25">
      <c r="A8" s="397">
        <v>4</v>
      </c>
      <c r="B8" s="403">
        <v>4054418720</v>
      </c>
      <c r="C8" s="398" t="s">
        <v>1411</v>
      </c>
      <c r="D8" s="395" t="s">
        <v>1406</v>
      </c>
      <c r="E8" s="401" t="s">
        <v>1207</v>
      </c>
      <c r="F8" s="390" t="str">
        <f t="shared" si="0"/>
        <v>Rétirédanslesdélais</v>
      </c>
      <c r="G8" s="381" t="s">
        <v>383</v>
      </c>
      <c r="H8" s="391">
        <v>45664</v>
      </c>
      <c r="I8" s="381"/>
      <c r="J8" s="381"/>
      <c r="K8" s="381"/>
      <c r="L8" s="381"/>
      <c r="M8" s="381"/>
      <c r="N8" s="381"/>
      <c r="O8" s="381"/>
    </row>
    <row r="9" spans="1:150" s="346" customFormat="1" ht="15.75" x14ac:dyDescent="0.25">
      <c r="A9" s="397">
        <v>5</v>
      </c>
      <c r="B9" s="403">
        <v>4054420280</v>
      </c>
      <c r="C9" s="398" t="s">
        <v>1119</v>
      </c>
      <c r="D9" s="404" t="s">
        <v>1412</v>
      </c>
      <c r="E9" s="401" t="s">
        <v>1207</v>
      </c>
      <c r="F9" s="390" t="str">
        <f t="shared" si="0"/>
        <v>Rétirédanslesdélais</v>
      </c>
      <c r="G9" s="381" t="s">
        <v>401</v>
      </c>
      <c r="H9" s="391">
        <v>45667</v>
      </c>
      <c r="I9" s="381"/>
      <c r="J9" s="381"/>
      <c r="K9" s="381"/>
      <c r="L9" s="381"/>
      <c r="M9" s="381"/>
      <c r="N9" s="381"/>
      <c r="O9" s="381"/>
    </row>
    <row r="10" spans="1:150" s="346" customFormat="1" ht="15.75" x14ac:dyDescent="0.25">
      <c r="A10" s="397">
        <v>6</v>
      </c>
      <c r="B10" s="403">
        <v>4054429760</v>
      </c>
      <c r="C10" s="398" t="s">
        <v>1281</v>
      </c>
      <c r="D10" s="404" t="s">
        <v>1412</v>
      </c>
      <c r="E10" s="381" t="s">
        <v>1143</v>
      </c>
      <c r="F10" s="390" t="str">
        <f t="shared" si="0"/>
        <v>Rétirédanslesdélais</v>
      </c>
      <c r="G10" s="381" t="s">
        <v>395</v>
      </c>
      <c r="H10" s="391">
        <v>45666</v>
      </c>
      <c r="I10" s="381"/>
      <c r="J10" s="381"/>
      <c r="K10" s="381"/>
      <c r="L10" s="381"/>
      <c r="M10" s="381"/>
      <c r="N10" s="381"/>
      <c r="O10" s="381"/>
    </row>
    <row r="11" spans="1:150" ht="15.75" x14ac:dyDescent="0.25">
      <c r="A11" s="397">
        <v>7</v>
      </c>
      <c r="B11" s="403">
        <v>4054429780</v>
      </c>
      <c r="C11" s="398" t="s">
        <v>1281</v>
      </c>
      <c r="D11" s="404" t="s">
        <v>1412</v>
      </c>
      <c r="E11" s="381" t="s">
        <v>1143</v>
      </c>
      <c r="F11" s="390" t="str">
        <f t="shared" si="0"/>
        <v>Rétirédanslesdélais</v>
      </c>
      <c r="G11" s="381" t="s">
        <v>396</v>
      </c>
      <c r="H11" s="391">
        <v>45666</v>
      </c>
      <c r="I11" s="381"/>
      <c r="J11" s="381"/>
      <c r="K11" s="381"/>
      <c r="L11" s="381"/>
      <c r="M11" s="381"/>
      <c r="N11" s="381"/>
      <c r="O11" s="381"/>
    </row>
    <row r="12" spans="1:150" ht="15.75" x14ac:dyDescent="0.25">
      <c r="A12" s="397">
        <v>8</v>
      </c>
      <c r="B12" s="403">
        <v>4054430410</v>
      </c>
      <c r="C12" s="398" t="s">
        <v>67</v>
      </c>
      <c r="D12" s="395" t="s">
        <v>1406</v>
      </c>
      <c r="E12" s="401" t="s">
        <v>1143</v>
      </c>
      <c r="F12" s="390" t="str">
        <f t="shared" si="0"/>
        <v>Rétirédanslesdélais</v>
      </c>
      <c r="G12" s="381" t="s">
        <v>411</v>
      </c>
      <c r="H12" s="391">
        <v>45671</v>
      </c>
      <c r="I12" s="381"/>
      <c r="J12" s="381"/>
      <c r="K12" s="381"/>
      <c r="L12" s="381"/>
      <c r="M12" s="381"/>
      <c r="N12" s="381"/>
      <c r="O12" s="381"/>
    </row>
  </sheetData>
  <autoFilter ref="A4:O12" xr:uid="{D559034C-E1A8-4788-A336-55187472940D}">
    <filterColumn colId="11" showButton="0"/>
    <filterColumn colId="12" showButton="0"/>
    <filterColumn colId="13" showButton="0"/>
  </autoFilter>
  <mergeCells count="3">
    <mergeCell ref="F1:H1"/>
    <mergeCell ref="A2:B2"/>
    <mergeCell ref="L4:O4"/>
  </mergeCells>
  <conditionalFormatting sqref="B1:B4">
    <cfRule type="duplicateValues" dxfId="924" priority="10"/>
  </conditionalFormatting>
  <conditionalFormatting sqref="B38:B1048576 B1:B20">
    <cfRule type="duplicateValues" dxfId="923" priority="1"/>
    <cfRule type="duplicateValues" dxfId="922" priority="2"/>
  </conditionalFormatting>
  <conditionalFormatting sqref="B38:B1048576 B13:B20 B1:B4">
    <cfRule type="duplicateValues" dxfId="921" priority="3"/>
    <cfRule type="duplicateValues" dxfId="920" priority="6"/>
    <cfRule type="duplicateValues" dxfId="919" priority="7"/>
    <cfRule type="duplicateValues" dxfId="918" priority="9"/>
  </conditionalFormatting>
  <conditionalFormatting sqref="B38:B1048576 B13:B20">
    <cfRule type="duplicateValues" dxfId="917" priority="8"/>
  </conditionalFormatting>
  <conditionalFormatting sqref="F5:F12">
    <cfRule type="containsText" dxfId="916" priority="4" operator="containsText" text="En Attente d'un Retrait Tardif">
      <formula>NOT(ISERROR(SEARCH("En Attente d'un Retrait Tardif",F5)))</formula>
    </cfRule>
    <cfRule type="containsText" dxfId="915" priority="5" operator="containsText" text="Rétiré dans les délais">
      <formula>NOT(ISERROR(SEARCH("Rétiré dans les délais",F5)))</formula>
    </cfRule>
  </conditionalFormatting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A06B-C5C9-4E07-A3C9-4F98F403FAF1}">
  <sheetPr codeName="Feuil41">
    <tabColor theme="5" tint="-0.249977111117893"/>
  </sheetPr>
  <dimension ref="A1:EV19"/>
  <sheetViews>
    <sheetView workbookViewId="0">
      <selection activeCell="A5" sqref="A5:J14"/>
    </sheetView>
  </sheetViews>
  <sheetFormatPr baseColWidth="10" defaultRowHeight="15" x14ac:dyDescent="0.25"/>
  <cols>
    <col min="1" max="1" width="7.42578125" customWidth="1"/>
    <col min="2" max="2" width="17" customWidth="1"/>
    <col min="5" max="5" width="43.140625" customWidth="1"/>
    <col min="6" max="6" width="29" customWidth="1"/>
    <col min="7" max="7" width="37.85546875" customWidth="1"/>
    <col min="8" max="8" width="31.5703125" customWidth="1"/>
    <col min="9" max="9" width="15.5703125" customWidth="1"/>
    <col min="10" max="10" width="19.28515625" customWidth="1"/>
  </cols>
  <sheetData>
    <row r="1" spans="1:152" ht="19.5" thickBot="1" x14ac:dyDescent="0.35">
      <c r="A1" s="348" t="s">
        <v>1413</v>
      </c>
      <c r="B1" s="98"/>
      <c r="C1" s="98"/>
      <c r="D1" s="98"/>
      <c r="E1" s="288"/>
      <c r="F1" s="288"/>
      <c r="G1" s="288"/>
      <c r="H1" s="729"/>
      <c r="I1" s="729"/>
      <c r="J1" s="729"/>
      <c r="K1" s="208"/>
      <c r="L1" s="208"/>
      <c r="M1" s="208"/>
    </row>
    <row r="2" spans="1:152" ht="24" thickBot="1" x14ac:dyDescent="0.3">
      <c r="A2" s="730" t="s">
        <v>0</v>
      </c>
      <c r="B2" s="730"/>
      <c r="C2" s="24"/>
      <c r="D2" s="24"/>
      <c r="E2" s="25"/>
      <c r="F2" s="358">
        <f ca="1">J2-H2</f>
        <v>444</v>
      </c>
      <c r="G2" s="25"/>
      <c r="H2" s="314">
        <v>45652</v>
      </c>
      <c r="I2" s="365">
        <f ca="1">J2-H2</f>
        <v>444</v>
      </c>
      <c r="J2" s="315">
        <f ca="1">TODAY()</f>
        <v>46096</v>
      </c>
      <c r="K2" s="340"/>
      <c r="L2" s="340"/>
      <c r="M2" s="208"/>
    </row>
    <row r="3" spans="1:152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52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52" s="383" customFormat="1" ht="15.75" x14ac:dyDescent="0.25">
      <c r="A5" s="381">
        <v>1</v>
      </c>
      <c r="B5" s="381">
        <v>4054405030</v>
      </c>
      <c r="C5" s="381"/>
      <c r="D5" s="381"/>
      <c r="E5" s="396" t="s">
        <v>1348</v>
      </c>
      <c r="F5" s="395" t="s">
        <v>1406</v>
      </c>
      <c r="G5" s="381" t="s">
        <v>1143</v>
      </c>
      <c r="H5" s="390" t="str">
        <f t="shared" ref="H5:H14" si="0">IF(J5="",IF($F$2&lt;=15,"EnattentedeRetrait","EnAttented'unRetraitTardif"),IF(J5-$H$2&lt;=15,"Rétirédanslesdélais",IF(J5-$H$2&gt;15,"Rétirétardivement-30000FCFAamende")))</f>
        <v>Rétirétardivement-30000FCFAamende</v>
      </c>
      <c r="I5" s="381" t="s">
        <v>409</v>
      </c>
      <c r="J5" s="391">
        <v>45671</v>
      </c>
      <c r="K5" s="381"/>
      <c r="L5" s="381"/>
      <c r="M5" s="381"/>
      <c r="N5" s="381"/>
      <c r="O5" s="381"/>
      <c r="P5" s="381"/>
      <c r="Q5" s="381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  <c r="AW5" s="394"/>
      <c r="AX5" s="394"/>
      <c r="AY5" s="394"/>
      <c r="AZ5" s="394"/>
      <c r="BA5" s="394"/>
      <c r="BB5" s="394"/>
      <c r="BC5" s="394"/>
      <c r="BD5" s="394"/>
      <c r="BE5" s="394"/>
      <c r="BF5" s="394"/>
      <c r="BG5" s="394"/>
      <c r="BH5" s="394"/>
      <c r="BI5" s="394"/>
      <c r="BJ5" s="394"/>
      <c r="BK5" s="394"/>
      <c r="BL5" s="394"/>
      <c r="BM5" s="394"/>
      <c r="BN5" s="394"/>
      <c r="BO5" s="394"/>
      <c r="BP5" s="394"/>
      <c r="BQ5" s="394"/>
      <c r="BR5" s="394"/>
      <c r="BS5" s="394"/>
      <c r="BT5" s="394"/>
      <c r="BU5" s="394"/>
      <c r="BV5" s="394"/>
      <c r="BW5" s="394"/>
      <c r="BX5" s="394"/>
      <c r="BY5" s="394"/>
      <c r="BZ5" s="394"/>
      <c r="CA5" s="394"/>
      <c r="CB5" s="394"/>
      <c r="CC5" s="394"/>
      <c r="CD5" s="394"/>
      <c r="CE5" s="394"/>
      <c r="CF5" s="394"/>
      <c r="CG5" s="394"/>
      <c r="CH5" s="394"/>
      <c r="CI5" s="394"/>
      <c r="CJ5" s="394"/>
      <c r="CK5" s="394"/>
      <c r="CL5" s="394"/>
      <c r="CM5" s="394"/>
      <c r="CN5" s="394"/>
      <c r="CO5" s="394"/>
      <c r="CP5" s="394"/>
      <c r="CQ5" s="394"/>
      <c r="CR5" s="394"/>
      <c r="CS5" s="394"/>
      <c r="CT5" s="394"/>
      <c r="CU5" s="394"/>
      <c r="CV5" s="394"/>
      <c r="CW5" s="394"/>
      <c r="CX5" s="394"/>
      <c r="CY5" s="394"/>
      <c r="CZ5" s="394"/>
      <c r="DA5" s="394"/>
      <c r="DB5" s="394"/>
      <c r="DC5" s="394"/>
      <c r="DD5" s="394"/>
      <c r="DE5" s="394"/>
      <c r="DF5" s="394"/>
      <c r="DG5" s="394"/>
      <c r="DH5" s="394"/>
      <c r="DI5" s="394"/>
      <c r="DJ5" s="394"/>
      <c r="DK5" s="394"/>
      <c r="DL5" s="394"/>
      <c r="DM5" s="394"/>
      <c r="DN5" s="394"/>
      <c r="DO5" s="394"/>
      <c r="DP5" s="394"/>
      <c r="DQ5" s="394"/>
      <c r="DR5" s="394"/>
      <c r="DS5" s="394"/>
      <c r="DT5" s="394"/>
      <c r="DU5" s="394"/>
      <c r="DV5" s="394"/>
      <c r="DW5" s="394"/>
      <c r="DX5" s="394"/>
      <c r="DY5" s="394"/>
      <c r="DZ5" s="394"/>
      <c r="EA5" s="394"/>
      <c r="EB5" s="394"/>
      <c r="EC5" s="394"/>
      <c r="ED5" s="394"/>
      <c r="EE5" s="394"/>
      <c r="EF5" s="394"/>
      <c r="EG5" s="394"/>
      <c r="EH5" s="394"/>
      <c r="EI5" s="394"/>
      <c r="EJ5" s="394"/>
      <c r="EK5" s="394"/>
      <c r="EL5" s="394"/>
      <c r="EM5" s="394"/>
      <c r="EN5" s="394"/>
      <c r="EO5" s="394"/>
      <c r="EP5" s="394"/>
      <c r="EQ5" s="394"/>
      <c r="ER5" s="394"/>
      <c r="ES5" s="394"/>
      <c r="ET5" s="394"/>
      <c r="EU5" s="394"/>
      <c r="EV5" s="394"/>
    </row>
    <row r="6" spans="1:152" s="383" customFormat="1" ht="15.75" x14ac:dyDescent="0.25">
      <c r="A6" s="381">
        <v>2</v>
      </c>
      <c r="B6" s="381">
        <v>4054411310</v>
      </c>
      <c r="C6" s="381"/>
      <c r="D6" s="381"/>
      <c r="E6" s="396" t="s">
        <v>1144</v>
      </c>
      <c r="F6" s="395" t="s">
        <v>1406</v>
      </c>
      <c r="G6" s="381" t="s">
        <v>1266</v>
      </c>
      <c r="H6" s="390" t="str">
        <f t="shared" si="0"/>
        <v>Rétirédanslesdélais</v>
      </c>
      <c r="I6" s="381" t="s">
        <v>390</v>
      </c>
      <c r="J6" s="391">
        <v>45665</v>
      </c>
      <c r="K6" s="381"/>
      <c r="L6" s="381"/>
      <c r="M6" s="381"/>
      <c r="N6" s="381"/>
      <c r="O6" s="381"/>
      <c r="P6" s="381"/>
      <c r="Q6" s="381"/>
      <c r="R6" s="394"/>
      <c r="S6" s="394"/>
      <c r="T6" s="394"/>
      <c r="U6" s="394"/>
      <c r="V6" s="394"/>
      <c r="W6" s="394"/>
      <c r="X6" s="394"/>
      <c r="Y6" s="394"/>
      <c r="Z6" s="394"/>
      <c r="AA6" s="394"/>
      <c r="AB6" s="394"/>
      <c r="AC6" s="394"/>
      <c r="AD6" s="394"/>
      <c r="AE6" s="394"/>
      <c r="AF6" s="394"/>
      <c r="AG6" s="394"/>
      <c r="AH6" s="394"/>
      <c r="AI6" s="394"/>
      <c r="AJ6" s="394"/>
      <c r="AK6" s="394"/>
      <c r="AL6" s="394"/>
      <c r="AM6" s="394"/>
      <c r="AN6" s="394"/>
      <c r="AO6" s="394"/>
      <c r="AP6" s="394"/>
      <c r="AQ6" s="394"/>
      <c r="AR6" s="394"/>
      <c r="AS6" s="394"/>
      <c r="AT6" s="394"/>
      <c r="AU6" s="394"/>
      <c r="AV6" s="394"/>
      <c r="AW6" s="394"/>
      <c r="AX6" s="394"/>
      <c r="AY6" s="394"/>
      <c r="AZ6" s="394"/>
      <c r="BA6" s="394"/>
      <c r="BB6" s="394"/>
      <c r="BC6" s="394"/>
      <c r="BD6" s="394"/>
      <c r="BE6" s="394"/>
      <c r="BF6" s="394"/>
      <c r="BG6" s="394"/>
      <c r="BH6" s="394"/>
      <c r="BI6" s="394"/>
      <c r="BJ6" s="394"/>
      <c r="BK6" s="394"/>
      <c r="BL6" s="394"/>
      <c r="BM6" s="394"/>
      <c r="BN6" s="394"/>
      <c r="BO6" s="394"/>
      <c r="BP6" s="394"/>
      <c r="BQ6" s="394"/>
      <c r="BR6" s="394"/>
      <c r="BS6" s="394"/>
      <c r="BT6" s="394"/>
      <c r="BU6" s="394"/>
      <c r="BV6" s="394"/>
      <c r="BW6" s="394"/>
      <c r="BX6" s="394"/>
      <c r="BY6" s="394"/>
      <c r="BZ6" s="394"/>
      <c r="CA6" s="394"/>
      <c r="CB6" s="394"/>
      <c r="CC6" s="394"/>
      <c r="CD6" s="394"/>
      <c r="CE6" s="394"/>
      <c r="CF6" s="394"/>
      <c r="CG6" s="394"/>
      <c r="CH6" s="394"/>
      <c r="CI6" s="394"/>
      <c r="CJ6" s="394"/>
      <c r="CK6" s="394"/>
      <c r="CL6" s="394"/>
      <c r="CM6" s="394"/>
      <c r="CN6" s="394"/>
      <c r="CO6" s="394"/>
      <c r="CP6" s="394"/>
      <c r="CQ6" s="394"/>
      <c r="CR6" s="394"/>
      <c r="CS6" s="394"/>
      <c r="CT6" s="394"/>
      <c r="CU6" s="394"/>
      <c r="CV6" s="394"/>
      <c r="CW6" s="394"/>
      <c r="CX6" s="394"/>
      <c r="CY6" s="394"/>
      <c r="CZ6" s="394"/>
      <c r="DA6" s="394"/>
      <c r="DB6" s="394"/>
      <c r="DC6" s="394"/>
      <c r="DD6" s="394"/>
      <c r="DE6" s="394"/>
      <c r="DF6" s="394"/>
      <c r="DG6" s="394"/>
      <c r="DH6" s="394"/>
      <c r="DI6" s="394"/>
      <c r="DJ6" s="394"/>
      <c r="DK6" s="394"/>
      <c r="DL6" s="394"/>
      <c r="DM6" s="394"/>
      <c r="DN6" s="394"/>
      <c r="DO6" s="394"/>
      <c r="DP6" s="394"/>
      <c r="DQ6" s="394"/>
      <c r="DR6" s="394"/>
      <c r="DS6" s="394"/>
      <c r="DT6" s="394"/>
      <c r="DU6" s="394"/>
      <c r="DV6" s="394"/>
      <c r="DW6" s="394"/>
      <c r="DX6" s="394"/>
      <c r="DY6" s="394"/>
      <c r="DZ6" s="394"/>
      <c r="EA6" s="394"/>
      <c r="EB6" s="394"/>
      <c r="EC6" s="394"/>
      <c r="ED6" s="394"/>
      <c r="EE6" s="394"/>
      <c r="EF6" s="394"/>
      <c r="EG6" s="394"/>
      <c r="EH6" s="394"/>
      <c r="EI6" s="394"/>
      <c r="EJ6" s="394"/>
      <c r="EK6" s="394"/>
      <c r="EL6" s="394"/>
      <c r="EM6" s="394"/>
      <c r="EN6" s="394"/>
      <c r="EO6" s="394"/>
      <c r="EP6" s="394"/>
      <c r="EQ6" s="394"/>
      <c r="ER6" s="394"/>
      <c r="ES6" s="394"/>
      <c r="ET6" s="394"/>
      <c r="EU6" s="394"/>
      <c r="EV6" s="394"/>
    </row>
    <row r="7" spans="1:152" s="346" customFormat="1" ht="15.75" x14ac:dyDescent="0.25">
      <c r="A7" s="381">
        <v>3</v>
      </c>
      <c r="B7" s="381">
        <v>4054416090</v>
      </c>
      <c r="C7" s="381"/>
      <c r="D7" s="381"/>
      <c r="E7" s="396" t="s">
        <v>1125</v>
      </c>
      <c r="F7" s="395" t="s">
        <v>1406</v>
      </c>
      <c r="G7" s="346" t="s">
        <v>1207</v>
      </c>
      <c r="H7" s="390" t="str">
        <f t="shared" si="0"/>
        <v>Rétirédanslesdélais</v>
      </c>
      <c r="I7" s="381" t="s">
        <v>371</v>
      </c>
      <c r="J7" s="391">
        <v>45660</v>
      </c>
      <c r="K7" s="381"/>
      <c r="L7" s="381"/>
      <c r="M7" s="381"/>
      <c r="N7" s="381"/>
      <c r="O7" s="381"/>
      <c r="P7" s="381"/>
      <c r="Q7" s="381"/>
    </row>
    <row r="8" spans="1:152" s="346" customFormat="1" ht="15.75" x14ac:dyDescent="0.25">
      <c r="A8" s="381">
        <v>4</v>
      </c>
      <c r="B8" s="381">
        <v>4054414360</v>
      </c>
      <c r="C8" s="381"/>
      <c r="D8" s="381"/>
      <c r="E8" s="396" t="s">
        <v>1414</v>
      </c>
      <c r="F8" s="395" t="s">
        <v>1406</v>
      </c>
      <c r="G8" s="381" t="s">
        <v>1207</v>
      </c>
      <c r="H8" s="390" t="str">
        <f t="shared" si="0"/>
        <v>Rétirédanslesdélais</v>
      </c>
      <c r="I8" s="381" t="s">
        <v>363</v>
      </c>
      <c r="J8" s="391">
        <v>45660</v>
      </c>
      <c r="K8" s="381"/>
      <c r="L8" s="381"/>
      <c r="M8" s="381"/>
      <c r="N8" s="381"/>
      <c r="O8" s="381"/>
      <c r="P8" s="381"/>
      <c r="Q8" s="381"/>
    </row>
    <row r="9" spans="1:152" s="346" customFormat="1" ht="15.75" x14ac:dyDescent="0.25">
      <c r="A9" s="381">
        <v>5</v>
      </c>
      <c r="B9" s="381">
        <v>4054420270</v>
      </c>
      <c r="C9" s="381"/>
      <c r="D9" s="381"/>
      <c r="E9" s="396" t="s">
        <v>1370</v>
      </c>
      <c r="F9" s="395" t="s">
        <v>1412</v>
      </c>
      <c r="G9" s="346" t="s">
        <v>1207</v>
      </c>
      <c r="H9" s="390" t="str">
        <f t="shared" si="0"/>
        <v>Rétirédanslesdélais</v>
      </c>
      <c r="I9" s="381" t="s">
        <v>366</v>
      </c>
      <c r="J9" s="391">
        <v>45660</v>
      </c>
      <c r="K9" s="381"/>
      <c r="L9" s="381"/>
      <c r="M9" s="381"/>
      <c r="N9" s="381"/>
      <c r="O9" s="381"/>
      <c r="P9" s="381"/>
      <c r="Q9" s="381"/>
    </row>
    <row r="10" spans="1:152" s="346" customFormat="1" ht="15.75" x14ac:dyDescent="0.25">
      <c r="A10" s="381">
        <v>6</v>
      </c>
      <c r="B10" s="381">
        <v>4054322882</v>
      </c>
      <c r="C10" s="381"/>
      <c r="D10" s="381"/>
      <c r="E10" s="396" t="s">
        <v>1370</v>
      </c>
      <c r="F10" s="395" t="s">
        <v>1412</v>
      </c>
      <c r="G10" s="346" t="s">
        <v>1207</v>
      </c>
      <c r="H10" s="390" t="str">
        <f t="shared" si="0"/>
        <v>Rétirédanslesdélais</v>
      </c>
      <c r="I10" s="381" t="s">
        <v>367</v>
      </c>
      <c r="J10" s="391">
        <v>45660</v>
      </c>
      <c r="K10" s="381"/>
      <c r="L10" s="381"/>
      <c r="M10" s="381"/>
      <c r="N10" s="381"/>
      <c r="O10" s="381"/>
      <c r="P10" s="381"/>
      <c r="Q10" s="381"/>
    </row>
    <row r="11" spans="1:152" s="346" customFormat="1" ht="15.75" x14ac:dyDescent="0.25">
      <c r="A11" s="381">
        <v>7</v>
      </c>
      <c r="B11" s="381">
        <v>2154960780</v>
      </c>
      <c r="C11" s="381"/>
      <c r="D11" s="381"/>
      <c r="E11" s="396" t="s">
        <v>1415</v>
      </c>
      <c r="F11" s="395" t="s">
        <v>1406</v>
      </c>
      <c r="G11" s="381" t="s">
        <v>1416</v>
      </c>
      <c r="H11" s="390" t="str">
        <f t="shared" si="0"/>
        <v>Rétirédanslesdélais</v>
      </c>
      <c r="I11" s="381" t="s">
        <v>365</v>
      </c>
      <c r="J11" s="391">
        <v>45660</v>
      </c>
      <c r="K11" s="381"/>
      <c r="L11" s="381"/>
      <c r="M11" s="381"/>
      <c r="N11" s="381"/>
      <c r="O11" s="381"/>
      <c r="P11" s="381"/>
      <c r="Q11" s="381"/>
    </row>
    <row r="12" spans="1:152" s="346" customFormat="1" ht="15.75" x14ac:dyDescent="0.25">
      <c r="A12" s="381">
        <v>8</v>
      </c>
      <c r="B12" s="381">
        <v>2154960790</v>
      </c>
      <c r="C12" s="381"/>
      <c r="D12" s="381"/>
      <c r="E12" s="396" t="s">
        <v>1415</v>
      </c>
      <c r="F12" s="395" t="s">
        <v>1406</v>
      </c>
      <c r="G12" s="381" t="s">
        <v>1416</v>
      </c>
      <c r="H12" s="390" t="str">
        <f t="shared" si="0"/>
        <v>Rétirédanslesdélais</v>
      </c>
      <c r="I12" s="381" t="s">
        <v>364</v>
      </c>
      <c r="J12" s="391">
        <v>45660</v>
      </c>
      <c r="K12" s="381"/>
      <c r="L12" s="381"/>
      <c r="M12" s="381"/>
      <c r="N12" s="381"/>
      <c r="O12" s="381"/>
      <c r="P12" s="381"/>
      <c r="Q12" s="381"/>
    </row>
    <row r="13" spans="1:152" ht="15.75" x14ac:dyDescent="0.25">
      <c r="A13" s="381">
        <v>9</v>
      </c>
      <c r="B13" s="381">
        <v>4054396950</v>
      </c>
      <c r="C13" s="381"/>
      <c r="D13" s="381"/>
      <c r="E13" s="396" t="s">
        <v>1122</v>
      </c>
      <c r="F13" s="395" t="s">
        <v>1406</v>
      </c>
      <c r="G13" s="381" t="s">
        <v>1266</v>
      </c>
      <c r="H13" s="390" t="str">
        <f t="shared" si="0"/>
        <v>Rétirédanslesdélais</v>
      </c>
      <c r="I13" s="381" t="s">
        <v>368</v>
      </c>
      <c r="J13" s="391">
        <v>45660</v>
      </c>
      <c r="K13" s="381"/>
      <c r="L13" s="381"/>
      <c r="M13" s="381"/>
      <c r="N13" s="381"/>
      <c r="O13" s="381"/>
      <c r="P13" s="381"/>
      <c r="Q13" s="381"/>
    </row>
    <row r="14" spans="1:152" ht="15.75" x14ac:dyDescent="0.25">
      <c r="A14" s="381">
        <v>10</v>
      </c>
      <c r="B14" s="381">
        <v>4054396960</v>
      </c>
      <c r="C14" s="381"/>
      <c r="D14" s="381"/>
      <c r="E14" s="396" t="s">
        <v>1122</v>
      </c>
      <c r="F14" s="395" t="s">
        <v>1406</v>
      </c>
      <c r="G14" s="381" t="s">
        <v>1266</v>
      </c>
      <c r="H14" s="390" t="str">
        <f t="shared" si="0"/>
        <v>Rétirédanslesdélais</v>
      </c>
      <c r="I14" s="381" t="s">
        <v>369</v>
      </c>
      <c r="J14" s="391">
        <v>45660</v>
      </c>
      <c r="K14" s="381"/>
      <c r="L14" s="381"/>
      <c r="M14" s="381"/>
      <c r="N14" s="381"/>
      <c r="O14" s="381"/>
      <c r="P14" s="381"/>
      <c r="Q14" s="381"/>
    </row>
    <row r="15" spans="1:152" x14ac:dyDescent="0.25">
      <c r="B15" s="378"/>
    </row>
    <row r="16" spans="1:152" x14ac:dyDescent="0.25">
      <c r="B16" s="378"/>
    </row>
    <row r="17" spans="2:2" x14ac:dyDescent="0.25">
      <c r="B17" s="378"/>
    </row>
    <row r="18" spans="2:2" x14ac:dyDescent="0.25">
      <c r="B18" s="378"/>
    </row>
    <row r="19" spans="2:2" x14ac:dyDescent="0.25">
      <c r="B19" s="378"/>
    </row>
  </sheetData>
  <mergeCells count="3">
    <mergeCell ref="H1:J1"/>
    <mergeCell ref="A2:B2"/>
    <mergeCell ref="N4:Q4"/>
  </mergeCells>
  <conditionalFormatting sqref="B1:B4">
    <cfRule type="duplicateValues" dxfId="914" priority="16"/>
  </conditionalFormatting>
  <conditionalFormatting sqref="B1:B1048576">
    <cfRule type="duplicateValues" dxfId="913" priority="1"/>
  </conditionalFormatting>
  <conditionalFormatting sqref="B21:B1048576 B1:B19">
    <cfRule type="duplicateValues" dxfId="912" priority="9"/>
  </conditionalFormatting>
  <conditionalFormatting sqref="B21:B1048576 B15:B19 B1:B4">
    <cfRule type="duplicateValues" dxfId="911" priority="12"/>
    <cfRule type="duplicateValues" dxfId="910" priority="13"/>
    <cfRule type="duplicateValues" dxfId="909" priority="15"/>
  </conditionalFormatting>
  <conditionalFormatting sqref="B21:B1048576 B17:B19">
    <cfRule type="duplicateValues" dxfId="908" priority="14"/>
  </conditionalFormatting>
  <conditionalFormatting sqref="B21:B1048576">
    <cfRule type="duplicateValues" dxfId="907" priority="6"/>
  </conditionalFormatting>
  <conditionalFormatting sqref="H5:H14">
    <cfRule type="containsText" dxfId="906" priority="10" operator="containsText" text="En Attente d'un Retrait Tardif">
      <formula>NOT(ISERROR(SEARCH("En Attente d'un Retrait Tardif",H5)))</formula>
    </cfRule>
    <cfRule type="containsText" dxfId="905" priority="11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E6D6-8328-4D8F-9352-5BAA48D2CD33}">
  <sheetPr codeName="Feuil42">
    <tabColor theme="5" tint="-0.249977111117893"/>
  </sheetPr>
  <dimension ref="A1:Q28"/>
  <sheetViews>
    <sheetView workbookViewId="0">
      <selection activeCell="F31" sqref="F31"/>
    </sheetView>
  </sheetViews>
  <sheetFormatPr baseColWidth="10" defaultRowHeight="15" x14ac:dyDescent="0.25"/>
  <cols>
    <col min="2" max="2" width="19.28515625" customWidth="1"/>
    <col min="3" max="3" width="14.140625" customWidth="1"/>
    <col min="5" max="5" width="35.140625" customWidth="1"/>
    <col min="6" max="6" width="18.140625" customWidth="1"/>
    <col min="7" max="7" width="33.5703125" customWidth="1"/>
    <col min="8" max="8" width="31.28515625" style="105" customWidth="1"/>
    <col min="9" max="9" width="21" customWidth="1"/>
    <col min="10" max="10" width="27.7109375" customWidth="1"/>
    <col min="11" max="11" width="15" customWidth="1"/>
  </cols>
  <sheetData>
    <row r="1" spans="1:17" ht="19.5" thickBot="1" x14ac:dyDescent="0.35">
      <c r="A1" s="348" t="s">
        <v>1417</v>
      </c>
      <c r="B1" s="98"/>
      <c r="C1" s="98"/>
      <c r="D1" s="98"/>
      <c r="E1" s="288"/>
      <c r="F1" s="288"/>
      <c r="G1" s="288"/>
      <c r="H1" s="729"/>
      <c r="I1" s="729"/>
      <c r="J1" s="729"/>
      <c r="K1" s="208"/>
      <c r="L1" s="208"/>
      <c r="M1" s="208"/>
    </row>
    <row r="2" spans="1:17" ht="24" thickBot="1" x14ac:dyDescent="0.3">
      <c r="A2" s="730" t="s">
        <v>0</v>
      </c>
      <c r="B2" s="730"/>
      <c r="C2" s="24"/>
      <c r="D2" s="24"/>
      <c r="E2" s="25"/>
      <c r="F2" s="358">
        <f ca="1">J2-H2</f>
        <v>452</v>
      </c>
      <c r="G2" s="25"/>
      <c r="H2" s="314">
        <v>45644</v>
      </c>
      <c r="I2" s="365">
        <f ca="1">J2-H2</f>
        <v>452</v>
      </c>
      <c r="J2" s="315">
        <f ca="1">TODAY()</f>
        <v>46096</v>
      </c>
      <c r="K2" s="340"/>
      <c r="L2" s="340"/>
      <c r="M2" s="208"/>
    </row>
    <row r="3" spans="1:17" x14ac:dyDescent="0.25">
      <c r="E3" s="292"/>
      <c r="F3" s="292"/>
      <c r="G3" s="292"/>
      <c r="I3" s="105"/>
      <c r="J3" s="208"/>
      <c r="K3" s="208"/>
      <c r="L3" s="208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346" customFormat="1" ht="15.75" x14ac:dyDescent="0.25">
      <c r="A5" s="381">
        <v>1</v>
      </c>
      <c r="B5" s="381">
        <v>4054394810</v>
      </c>
      <c r="C5" s="381"/>
      <c r="D5" s="381"/>
      <c r="E5" s="381" t="s">
        <v>274</v>
      </c>
      <c r="F5" s="381" t="s">
        <v>1418</v>
      </c>
      <c r="G5" s="381" t="s">
        <v>1419</v>
      </c>
      <c r="H5" s="390" t="str">
        <f t="shared" ref="H5:H26" si="0">IF(J5="",IF($F$2&lt;=15,"EnattentedeRetrait","EnAttented'unRetraitTardif"),IF(J5-$H$2&lt;=15,"Rétirédanslesdélais",IF(J5-$H$2&gt;15,"Rétirétardivement-30000FCFAamende")))</f>
        <v>Rétirédanslesdélais</v>
      </c>
      <c r="I5" s="381" t="s">
        <v>378</v>
      </c>
      <c r="J5" s="391">
        <v>45657</v>
      </c>
      <c r="K5" s="381"/>
      <c r="L5" s="381"/>
      <c r="M5" s="381"/>
      <c r="N5" s="381"/>
      <c r="O5" s="381"/>
      <c r="P5" s="381"/>
      <c r="Q5" s="381"/>
    </row>
    <row r="6" spans="1:17" s="346" customFormat="1" ht="15.75" x14ac:dyDescent="0.25">
      <c r="A6" s="381">
        <v>2</v>
      </c>
      <c r="B6" s="381">
        <v>4054395690</v>
      </c>
      <c r="C6" s="381"/>
      <c r="D6" s="381"/>
      <c r="E6" s="381" t="s">
        <v>274</v>
      </c>
      <c r="F6" s="381" t="s">
        <v>1418</v>
      </c>
      <c r="G6" s="381" t="s">
        <v>1419</v>
      </c>
      <c r="H6" s="390" t="str">
        <f t="shared" si="0"/>
        <v>Rétirédanslesdélais</v>
      </c>
      <c r="I6" s="381" t="s">
        <v>377</v>
      </c>
      <c r="J6" s="391">
        <v>45657</v>
      </c>
      <c r="K6" s="381"/>
      <c r="L6" s="381"/>
      <c r="M6" s="381"/>
      <c r="N6" s="381"/>
      <c r="O6" s="381"/>
      <c r="P6" s="381"/>
      <c r="Q6" s="381"/>
    </row>
    <row r="7" spans="1:17" s="346" customFormat="1" ht="15.75" x14ac:dyDescent="0.25">
      <c r="A7" s="381">
        <v>3</v>
      </c>
      <c r="B7" s="381">
        <v>4054394820</v>
      </c>
      <c r="C7" s="381"/>
      <c r="D7" s="381"/>
      <c r="E7" s="381" t="s">
        <v>274</v>
      </c>
      <c r="F7" s="381" t="s">
        <v>1418</v>
      </c>
      <c r="G7" s="381" t="s">
        <v>1419</v>
      </c>
      <c r="H7" s="390" t="str">
        <f t="shared" si="0"/>
        <v>Rétirédanslesdélais</v>
      </c>
      <c r="I7" s="381" t="s">
        <v>376</v>
      </c>
      <c r="J7" s="391">
        <v>45657</v>
      </c>
      <c r="K7" s="381"/>
      <c r="L7" s="381"/>
      <c r="M7" s="381"/>
      <c r="N7" s="381"/>
      <c r="O7" s="381"/>
      <c r="P7" s="381"/>
      <c r="Q7" s="381"/>
    </row>
    <row r="8" spans="1:17" s="346" customFormat="1" ht="15.75" x14ac:dyDescent="0.25">
      <c r="A8" s="381">
        <v>4</v>
      </c>
      <c r="B8" s="381">
        <v>4054396210</v>
      </c>
      <c r="C8" s="381"/>
      <c r="D8" s="381"/>
      <c r="E8" s="381" t="s">
        <v>274</v>
      </c>
      <c r="F8" s="381" t="s">
        <v>1418</v>
      </c>
      <c r="G8" s="381" t="s">
        <v>1419</v>
      </c>
      <c r="H8" s="390" t="str">
        <f t="shared" si="0"/>
        <v>Rétirédanslesdélais</v>
      </c>
      <c r="I8" s="381" t="s">
        <v>375</v>
      </c>
      <c r="J8" s="391">
        <v>45657</v>
      </c>
      <c r="K8" s="381"/>
      <c r="L8" s="381"/>
      <c r="M8" s="381"/>
      <c r="N8" s="381"/>
      <c r="O8" s="381"/>
      <c r="P8" s="381"/>
      <c r="Q8" s="381"/>
    </row>
    <row r="9" spans="1:17" s="346" customFormat="1" ht="15.75" x14ac:dyDescent="0.25">
      <c r="A9" s="381">
        <v>5</v>
      </c>
      <c r="B9" s="381">
        <v>4054396260</v>
      </c>
      <c r="C9" s="381"/>
      <c r="D9" s="381"/>
      <c r="E9" s="381" t="s">
        <v>274</v>
      </c>
      <c r="F9" s="381" t="s">
        <v>1418</v>
      </c>
      <c r="G9" s="381" t="s">
        <v>1419</v>
      </c>
      <c r="H9" s="390" t="str">
        <f t="shared" si="0"/>
        <v>Rétirédanslesdélais</v>
      </c>
      <c r="I9" s="381" t="s">
        <v>373</v>
      </c>
      <c r="J9" s="391">
        <v>45657</v>
      </c>
      <c r="K9" s="381"/>
      <c r="L9" s="381"/>
      <c r="M9" s="381"/>
      <c r="N9" s="381"/>
      <c r="O9" s="381"/>
      <c r="P9" s="381"/>
      <c r="Q9" s="381"/>
    </row>
    <row r="10" spans="1:17" s="346" customFormat="1" ht="15.75" x14ac:dyDescent="0.25">
      <c r="A10" s="381">
        <v>6</v>
      </c>
      <c r="B10" s="381">
        <v>4054396220</v>
      </c>
      <c r="C10" s="381"/>
      <c r="D10" s="381"/>
      <c r="E10" s="381" t="s">
        <v>274</v>
      </c>
      <c r="F10" s="381" t="s">
        <v>1418</v>
      </c>
      <c r="G10" s="381" t="s">
        <v>1419</v>
      </c>
      <c r="H10" s="390" t="str">
        <f t="shared" si="0"/>
        <v>Rétirédanslesdélais</v>
      </c>
      <c r="I10" s="381" t="s">
        <v>374</v>
      </c>
      <c r="J10" s="391">
        <v>45657</v>
      </c>
      <c r="K10" s="381"/>
      <c r="L10" s="381"/>
      <c r="M10" s="381"/>
      <c r="N10" s="381"/>
      <c r="O10" s="381"/>
      <c r="P10" s="381"/>
      <c r="Q10" s="381"/>
    </row>
    <row r="11" spans="1:17" s="346" customFormat="1" ht="15.75" x14ac:dyDescent="0.25">
      <c r="A11" s="381">
        <v>7</v>
      </c>
      <c r="B11" s="381">
        <v>4054373310</v>
      </c>
      <c r="C11" s="381"/>
      <c r="D11" s="381"/>
      <c r="E11" s="381" t="s">
        <v>1368</v>
      </c>
      <c r="F11" s="381" t="s">
        <v>1065</v>
      </c>
      <c r="G11" s="381" t="s">
        <v>1143</v>
      </c>
      <c r="H11" s="390" t="str">
        <f t="shared" si="0"/>
        <v>Rétirédanslesdélais</v>
      </c>
      <c r="I11" s="381" t="s">
        <v>334</v>
      </c>
      <c r="J11" s="391">
        <v>45646</v>
      </c>
      <c r="K11" s="381"/>
      <c r="L11" s="381"/>
      <c r="M11" s="381"/>
      <c r="N11" s="381"/>
      <c r="O11" s="381"/>
      <c r="P11" s="381"/>
      <c r="Q11" s="381"/>
    </row>
    <row r="12" spans="1:17" s="346" customFormat="1" ht="15.75" x14ac:dyDescent="0.25">
      <c r="A12" s="381">
        <v>8</v>
      </c>
      <c r="B12" s="381">
        <v>4054369590</v>
      </c>
      <c r="C12" s="381"/>
      <c r="D12" s="381"/>
      <c r="E12" s="381" t="s">
        <v>203</v>
      </c>
      <c r="F12" s="381" t="s">
        <v>1065</v>
      </c>
      <c r="G12" s="381" t="s">
        <v>1143</v>
      </c>
      <c r="H12" s="390" t="str">
        <f t="shared" si="0"/>
        <v>Rétirédanslesdélais</v>
      </c>
      <c r="I12" s="381" t="s">
        <v>353</v>
      </c>
      <c r="J12" s="391">
        <v>45656</v>
      </c>
      <c r="K12" s="381"/>
      <c r="L12" s="381"/>
      <c r="M12" s="381"/>
      <c r="N12" s="381"/>
      <c r="O12" s="381"/>
      <c r="P12" s="381"/>
      <c r="Q12" s="381"/>
    </row>
    <row r="13" spans="1:17" s="346" customFormat="1" ht="15.75" x14ac:dyDescent="0.25">
      <c r="A13" s="381">
        <v>9</v>
      </c>
      <c r="B13" s="381">
        <v>4054369610</v>
      </c>
      <c r="C13" s="381"/>
      <c r="D13" s="381"/>
      <c r="E13" s="381" t="s">
        <v>203</v>
      </c>
      <c r="F13" s="381" t="s">
        <v>1065</v>
      </c>
      <c r="G13" s="381" t="s">
        <v>1143</v>
      </c>
      <c r="H13" s="390" t="str">
        <f t="shared" si="0"/>
        <v>Rétirédanslesdélais</v>
      </c>
      <c r="I13" s="381" t="s">
        <v>354</v>
      </c>
      <c r="J13" s="391">
        <v>45656</v>
      </c>
      <c r="K13" s="381"/>
      <c r="L13" s="381"/>
      <c r="M13" s="381"/>
      <c r="N13" s="381"/>
      <c r="O13" s="381"/>
      <c r="P13" s="381"/>
      <c r="Q13" s="381"/>
    </row>
    <row r="14" spans="1:17" s="346" customFormat="1" ht="15.75" x14ac:dyDescent="0.25">
      <c r="A14" s="381">
        <v>10</v>
      </c>
      <c r="B14" s="381">
        <v>4054365010</v>
      </c>
      <c r="C14" s="381"/>
      <c r="D14" s="381"/>
      <c r="E14" s="381" t="s">
        <v>1420</v>
      </c>
      <c r="F14" s="381" t="s">
        <v>1065</v>
      </c>
      <c r="G14" s="381" t="s">
        <v>1207</v>
      </c>
      <c r="H14" s="390" t="str">
        <f t="shared" si="0"/>
        <v>Rétirédanslesdélais</v>
      </c>
      <c r="I14" s="381" t="s">
        <v>349</v>
      </c>
      <c r="J14" s="391">
        <v>45650</v>
      </c>
      <c r="K14" s="381"/>
      <c r="L14" s="381"/>
      <c r="M14" s="381"/>
      <c r="N14" s="381"/>
      <c r="O14" s="381"/>
      <c r="P14" s="381"/>
      <c r="Q14" s="381"/>
    </row>
    <row r="15" spans="1:17" s="346" customFormat="1" ht="15.75" x14ac:dyDescent="0.25">
      <c r="A15" s="381">
        <v>11</v>
      </c>
      <c r="B15" s="381">
        <v>4054365020</v>
      </c>
      <c r="C15" s="381"/>
      <c r="D15" s="381"/>
      <c r="E15" s="381" t="s">
        <v>1420</v>
      </c>
      <c r="F15" s="381" t="s">
        <v>1065</v>
      </c>
      <c r="G15" s="381" t="s">
        <v>1207</v>
      </c>
      <c r="H15" s="390" t="str">
        <f t="shared" si="0"/>
        <v>Rétirédanslesdélais</v>
      </c>
      <c r="I15" s="381" t="s">
        <v>350</v>
      </c>
      <c r="J15" s="391">
        <v>45650</v>
      </c>
      <c r="K15" s="381"/>
      <c r="L15" s="381"/>
      <c r="M15" s="381"/>
      <c r="N15" s="381"/>
      <c r="O15" s="381"/>
      <c r="P15" s="381"/>
      <c r="Q15" s="381"/>
    </row>
    <row r="16" spans="1:17" s="346" customFormat="1" ht="15.75" x14ac:dyDescent="0.25">
      <c r="A16" s="381">
        <v>12</v>
      </c>
      <c r="B16" s="381">
        <v>4054385690</v>
      </c>
      <c r="C16" s="381"/>
      <c r="D16" s="381"/>
      <c r="E16" s="381" t="s">
        <v>275</v>
      </c>
      <c r="F16" s="381" t="s">
        <v>1065</v>
      </c>
      <c r="G16" s="381" t="s">
        <v>1207</v>
      </c>
      <c r="H16" s="390" t="str">
        <f t="shared" si="0"/>
        <v>Rétirédanslesdélais</v>
      </c>
      <c r="I16" s="381" t="s">
        <v>338</v>
      </c>
      <c r="J16" s="391">
        <v>45649</v>
      </c>
      <c r="K16" s="381"/>
      <c r="L16" s="381"/>
      <c r="M16" s="381"/>
      <c r="N16" s="381"/>
      <c r="O16" s="381"/>
      <c r="P16" s="381"/>
      <c r="Q16" s="381"/>
    </row>
    <row r="17" spans="1:17" s="346" customFormat="1" ht="15.75" x14ac:dyDescent="0.25">
      <c r="A17" s="381">
        <v>13</v>
      </c>
      <c r="B17" s="381">
        <v>4054373970</v>
      </c>
      <c r="C17" s="381"/>
      <c r="D17" s="381"/>
      <c r="E17" s="381" t="s">
        <v>1421</v>
      </c>
      <c r="F17" s="381" t="s">
        <v>1065</v>
      </c>
      <c r="G17" s="381" t="s">
        <v>1207</v>
      </c>
      <c r="H17" s="390" t="str">
        <f t="shared" si="0"/>
        <v>Rétirédanslesdélais</v>
      </c>
      <c r="I17" s="346" t="s">
        <v>348</v>
      </c>
      <c r="J17" s="393">
        <v>45650</v>
      </c>
      <c r="K17" s="381"/>
      <c r="L17" s="381"/>
      <c r="M17" s="381"/>
      <c r="N17" s="381"/>
      <c r="O17" s="381"/>
      <c r="P17" s="381"/>
      <c r="Q17" s="381"/>
    </row>
    <row r="18" spans="1:17" s="346" customFormat="1" ht="15.75" x14ac:dyDescent="0.25">
      <c r="A18" s="381">
        <v>14</v>
      </c>
      <c r="B18" s="381">
        <v>4054367220</v>
      </c>
      <c r="C18" s="381"/>
      <c r="D18" s="381"/>
      <c r="E18" s="381" t="s">
        <v>255</v>
      </c>
      <c r="F18" s="381" t="s">
        <v>1065</v>
      </c>
      <c r="G18" s="381" t="s">
        <v>1207</v>
      </c>
      <c r="H18" s="390" t="str">
        <f t="shared" si="0"/>
        <v>Rétirédanslesdélais</v>
      </c>
      <c r="I18" s="381" t="s">
        <v>339</v>
      </c>
      <c r="J18" s="391">
        <v>45650</v>
      </c>
      <c r="K18" s="381"/>
      <c r="L18" s="381"/>
      <c r="M18" s="381"/>
      <c r="N18" s="381"/>
      <c r="O18" s="381"/>
      <c r="P18" s="381"/>
      <c r="Q18" s="381"/>
    </row>
    <row r="19" spans="1:17" s="346" customFormat="1" ht="15.75" x14ac:dyDescent="0.25">
      <c r="A19" s="381">
        <v>15</v>
      </c>
      <c r="B19" s="381">
        <v>4054395850</v>
      </c>
      <c r="C19" s="381"/>
      <c r="D19" s="381"/>
      <c r="E19" s="381" t="s">
        <v>255</v>
      </c>
      <c r="F19" s="381" t="s">
        <v>1065</v>
      </c>
      <c r="G19" s="381" t="s">
        <v>1207</v>
      </c>
      <c r="H19" s="390" t="str">
        <f t="shared" si="0"/>
        <v>Rétirédanslesdélais</v>
      </c>
      <c r="I19" s="381" t="s">
        <v>340</v>
      </c>
      <c r="J19" s="391">
        <v>45650</v>
      </c>
      <c r="K19" s="381"/>
      <c r="L19" s="381"/>
      <c r="M19" s="381"/>
      <c r="N19" s="381"/>
      <c r="O19" s="381"/>
      <c r="P19" s="381"/>
      <c r="Q19" s="381"/>
    </row>
    <row r="20" spans="1:17" s="346" customFormat="1" ht="15.75" x14ac:dyDescent="0.25">
      <c r="A20" s="381">
        <v>16</v>
      </c>
      <c r="B20" s="381">
        <v>4054365070</v>
      </c>
      <c r="C20" s="381"/>
      <c r="D20" s="381"/>
      <c r="E20" s="381" t="s">
        <v>272</v>
      </c>
      <c r="F20" s="381" t="s">
        <v>1065</v>
      </c>
      <c r="G20" s="381" t="s">
        <v>1207</v>
      </c>
      <c r="H20" s="390" t="str">
        <f t="shared" si="0"/>
        <v>Rétirédanslesdélais</v>
      </c>
      <c r="I20" s="381" t="s">
        <v>352</v>
      </c>
      <c r="J20" s="391">
        <v>45653</v>
      </c>
      <c r="K20" s="381"/>
      <c r="L20" s="381"/>
      <c r="M20" s="381"/>
      <c r="N20" s="381"/>
      <c r="O20" s="381"/>
      <c r="P20" s="381"/>
      <c r="Q20" s="381"/>
    </row>
    <row r="21" spans="1:17" s="346" customFormat="1" ht="15.75" x14ac:dyDescent="0.25">
      <c r="A21" s="381">
        <v>17</v>
      </c>
      <c r="B21" s="381">
        <v>4054391400</v>
      </c>
      <c r="C21" s="381"/>
      <c r="D21" s="381"/>
      <c r="E21" s="381" t="s">
        <v>275</v>
      </c>
      <c r="F21" s="381" t="s">
        <v>1065</v>
      </c>
      <c r="G21" s="381" t="s">
        <v>1207</v>
      </c>
      <c r="H21" s="390" t="str">
        <f t="shared" si="0"/>
        <v>Rétirédanslesdélais</v>
      </c>
      <c r="I21" s="381" t="s">
        <v>337</v>
      </c>
      <c r="J21" s="391">
        <v>45649</v>
      </c>
      <c r="K21" s="381"/>
      <c r="L21" s="381"/>
      <c r="M21" s="381"/>
      <c r="N21" s="381"/>
      <c r="O21" s="381"/>
      <c r="P21" s="381"/>
      <c r="Q21" s="381"/>
    </row>
    <row r="22" spans="1:17" s="346" customFormat="1" ht="15.75" x14ac:dyDescent="0.25">
      <c r="A22" s="381">
        <v>18</v>
      </c>
      <c r="B22" s="381">
        <v>4054391670</v>
      </c>
      <c r="C22" s="381"/>
      <c r="D22" s="381"/>
      <c r="E22" s="381" t="s">
        <v>1125</v>
      </c>
      <c r="F22" s="381" t="s">
        <v>1065</v>
      </c>
      <c r="G22" s="381" t="s">
        <v>1207</v>
      </c>
      <c r="H22" s="390" t="str">
        <f t="shared" si="0"/>
        <v>Rétirédanslesdélais</v>
      </c>
      <c r="I22" s="381" t="s">
        <v>332</v>
      </c>
      <c r="J22" s="391">
        <v>45646</v>
      </c>
      <c r="K22" s="381"/>
      <c r="L22" s="381"/>
      <c r="M22" s="381"/>
      <c r="N22" s="381"/>
      <c r="O22" s="381"/>
      <c r="P22" s="381"/>
      <c r="Q22" s="381"/>
    </row>
    <row r="23" spans="1:17" s="346" customFormat="1" ht="15.75" x14ac:dyDescent="0.25">
      <c r="A23" s="381">
        <v>19</v>
      </c>
      <c r="B23" s="381">
        <v>4054339081</v>
      </c>
      <c r="C23" s="381"/>
      <c r="D23" s="381"/>
      <c r="E23" s="381" t="s">
        <v>1370</v>
      </c>
      <c r="F23" s="381" t="s">
        <v>1065</v>
      </c>
      <c r="G23" s="381" t="s">
        <v>1207</v>
      </c>
      <c r="H23" s="390" t="str">
        <f t="shared" si="0"/>
        <v>Rétirédanslesdélais</v>
      </c>
      <c r="I23" s="381" t="s">
        <v>333</v>
      </c>
      <c r="J23" s="391">
        <v>45646</v>
      </c>
      <c r="K23" s="381"/>
      <c r="L23" s="381"/>
      <c r="M23" s="381"/>
      <c r="N23" s="381"/>
      <c r="O23" s="381"/>
      <c r="P23" s="381"/>
      <c r="Q23" s="381"/>
    </row>
    <row r="24" spans="1:17" s="392" customFormat="1" ht="15.75" x14ac:dyDescent="0.25">
      <c r="A24" s="381">
        <v>20</v>
      </c>
      <c r="B24" s="381">
        <v>2153526451</v>
      </c>
      <c r="C24" s="381"/>
      <c r="D24" s="381"/>
      <c r="E24" s="381" t="s">
        <v>1334</v>
      </c>
      <c r="F24" s="381" t="s">
        <v>1065</v>
      </c>
      <c r="G24" s="381" t="s">
        <v>66</v>
      </c>
      <c r="H24" s="390" t="str">
        <f t="shared" si="0"/>
        <v>Rétirédanslesdélais</v>
      </c>
      <c r="I24" s="381" t="s">
        <v>347</v>
      </c>
      <c r="J24" s="391">
        <v>45650</v>
      </c>
      <c r="K24" s="381" t="s">
        <v>1422</v>
      </c>
      <c r="L24" s="382"/>
      <c r="M24" s="382"/>
      <c r="N24" s="382"/>
      <c r="O24" s="382"/>
      <c r="P24" s="382"/>
      <c r="Q24" s="382"/>
    </row>
    <row r="25" spans="1:17" s="346" customFormat="1" ht="15.75" x14ac:dyDescent="0.25">
      <c r="A25" s="381">
        <v>21</v>
      </c>
      <c r="B25" s="275">
        <v>4054372980</v>
      </c>
      <c r="C25" s="381"/>
      <c r="D25" s="381"/>
      <c r="E25" s="275" t="s">
        <v>273</v>
      </c>
      <c r="F25" s="381" t="s">
        <v>1065</v>
      </c>
      <c r="G25" s="381" t="s">
        <v>1207</v>
      </c>
      <c r="H25" s="390" t="str">
        <f t="shared" si="0"/>
        <v>Rétirédanslesdélais</v>
      </c>
      <c r="I25" s="381" t="s">
        <v>335</v>
      </c>
      <c r="J25" s="391">
        <v>45649</v>
      </c>
      <c r="K25" s="381"/>
      <c r="L25" s="381"/>
      <c r="M25" s="381"/>
      <c r="N25" s="381"/>
      <c r="O25" s="381"/>
      <c r="P25" s="381"/>
      <c r="Q25" s="381"/>
    </row>
    <row r="26" spans="1:17" s="346" customFormat="1" ht="15.75" x14ac:dyDescent="0.25">
      <c r="A26" s="381">
        <v>22</v>
      </c>
      <c r="B26" s="275">
        <v>4054384190</v>
      </c>
      <c r="C26" s="381"/>
      <c r="D26" s="381"/>
      <c r="E26" s="275" t="s">
        <v>273</v>
      </c>
      <c r="F26" s="381" t="s">
        <v>1065</v>
      </c>
      <c r="G26" s="381" t="s">
        <v>1207</v>
      </c>
      <c r="H26" s="390" t="str">
        <f t="shared" si="0"/>
        <v>Rétirédanslesdélais</v>
      </c>
      <c r="I26" s="381" t="s">
        <v>336</v>
      </c>
      <c r="J26" s="391">
        <v>45649</v>
      </c>
      <c r="K26" s="381"/>
      <c r="L26" s="381"/>
      <c r="M26" s="381"/>
      <c r="N26" s="381"/>
      <c r="O26" s="381"/>
      <c r="P26" s="381"/>
      <c r="Q26" s="381"/>
    </row>
    <row r="28" spans="1:17" x14ac:dyDescent="0.25">
      <c r="H28" s="410"/>
      <c r="I28" s="409"/>
    </row>
  </sheetData>
  <autoFilter ref="E4:Q26" xr:uid="{1ECAE6D6-8328-4D8F-9352-5BAA48D2CD33}">
    <filterColumn colId="9" showButton="0"/>
    <filterColumn colId="10" showButton="0"/>
    <filterColumn colId="11" showButton="0"/>
  </autoFilter>
  <mergeCells count="3">
    <mergeCell ref="H1:J1"/>
    <mergeCell ref="A2:B2"/>
    <mergeCell ref="N4:Q4"/>
  </mergeCells>
  <conditionalFormatting sqref="B25">
    <cfRule type="duplicateValues" dxfId="904" priority="3"/>
  </conditionalFormatting>
  <conditionalFormatting sqref="B27:B1048576 B1:B24">
    <cfRule type="duplicateValues" dxfId="903" priority="4"/>
  </conditionalFormatting>
  <conditionalFormatting sqref="B27:B1048576">
    <cfRule type="duplicateValues" dxfId="902" priority="675"/>
  </conditionalFormatting>
  <conditionalFormatting sqref="B30:B1048576 B1:B24">
    <cfRule type="duplicateValues" dxfId="901" priority="14"/>
  </conditionalFormatting>
  <conditionalFormatting sqref="B30:B1048576">
    <cfRule type="duplicateValues" dxfId="900" priority="16"/>
  </conditionalFormatting>
  <conditionalFormatting sqref="H5:H26">
    <cfRule type="containsText" dxfId="899" priority="1" operator="containsText" text="En Attente d'un Retrait Tardif">
      <formula>NOT(ISERROR(SEARCH("En Attente d'un Retrait Tardif",H5)))</formula>
    </cfRule>
    <cfRule type="containsText" dxfId="898" priority="2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F875-0234-4F77-B142-8EA6607B942F}">
  <sheetPr codeName="Feuil44" filterMode="1">
    <tabColor theme="5" tint="-0.249977111117893"/>
  </sheetPr>
  <dimension ref="A1:Q24"/>
  <sheetViews>
    <sheetView zoomScale="90" zoomScaleNormal="90" workbookViewId="0">
      <selection activeCell="B6" sqref="A1:Q24"/>
    </sheetView>
  </sheetViews>
  <sheetFormatPr baseColWidth="10" defaultRowHeight="15" x14ac:dyDescent="0.25"/>
  <cols>
    <col min="1" max="1" width="5.42578125" customWidth="1"/>
    <col min="2" max="2" width="25.7109375" customWidth="1"/>
    <col min="5" max="5" width="44.42578125" customWidth="1"/>
    <col min="6" max="6" width="18.140625" customWidth="1"/>
    <col min="7" max="7" width="40.5703125" customWidth="1"/>
    <col min="8" max="8" width="26.85546875" customWidth="1"/>
    <col min="9" max="9" width="15.140625" customWidth="1"/>
    <col min="10" max="10" width="18" customWidth="1"/>
  </cols>
  <sheetData>
    <row r="1" spans="1:17" ht="19.5" thickBot="1" x14ac:dyDescent="0.35">
      <c r="A1" s="348" t="s">
        <v>1423</v>
      </c>
      <c r="B1" s="98"/>
      <c r="C1" s="98"/>
      <c r="D1" s="98"/>
      <c r="E1" s="288"/>
      <c r="F1" s="288"/>
      <c r="G1" s="288"/>
      <c r="H1" s="729"/>
      <c r="I1" s="729"/>
      <c r="J1" s="729"/>
      <c r="K1" s="208"/>
      <c r="L1" s="208"/>
      <c r="M1" s="208"/>
    </row>
    <row r="2" spans="1:17" ht="24" thickBot="1" x14ac:dyDescent="0.3">
      <c r="A2" s="730" t="s">
        <v>0</v>
      </c>
      <c r="B2" s="730"/>
      <c r="C2" s="24"/>
      <c r="D2" s="24"/>
      <c r="E2" s="25"/>
      <c r="F2" s="358">
        <f ca="1">J2-H2</f>
        <v>466</v>
      </c>
      <c r="G2" s="25"/>
      <c r="H2" s="314">
        <v>45630</v>
      </c>
      <c r="I2" s="365">
        <f ca="1">J2-H2</f>
        <v>466</v>
      </c>
      <c r="J2" s="315">
        <f ca="1">TODAY()</f>
        <v>46096</v>
      </c>
      <c r="K2" s="340"/>
      <c r="L2" s="340"/>
      <c r="M2" s="208"/>
    </row>
    <row r="3" spans="1:17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346" customFormat="1" ht="15.75" hidden="1" x14ac:dyDescent="0.25">
      <c r="A5" s="381">
        <v>1</v>
      </c>
      <c r="B5" s="381">
        <v>4054382280</v>
      </c>
      <c r="C5" s="381"/>
      <c r="D5" s="381"/>
      <c r="E5" s="381" t="s">
        <v>32</v>
      </c>
      <c r="F5" s="381" t="s">
        <v>6</v>
      </c>
      <c r="G5" s="381" t="s">
        <v>13</v>
      </c>
      <c r="H5" s="390" t="str">
        <f>IF(J5="",IF($F$2&lt;=15,"En attente de Retrait","En Attente d'un Retrait Tardif"),IF(J5-$H$2&lt;=15,"Rétiré dans les délais",IF(J5-$H$2&gt;15,"Rétiré tardivement-30000FCFA amende")))</f>
        <v>Rétiré dans les délais</v>
      </c>
      <c r="I5" s="381" t="s">
        <v>330</v>
      </c>
      <c r="J5" s="384">
        <v>45644</v>
      </c>
      <c r="K5" s="381"/>
      <c r="L5" s="381"/>
      <c r="M5" s="381"/>
      <c r="N5" s="381"/>
      <c r="O5" s="381"/>
      <c r="P5" s="381"/>
    </row>
    <row r="6" spans="1:17" s="346" customFormat="1" ht="15.75" x14ac:dyDescent="0.25">
      <c r="A6" s="381">
        <v>2</v>
      </c>
      <c r="B6" s="381">
        <v>4054371880</v>
      </c>
      <c r="C6" s="381"/>
      <c r="D6" s="381"/>
      <c r="E6" s="381" t="s">
        <v>1157</v>
      </c>
      <c r="F6" s="381"/>
      <c r="G6" s="381" t="s">
        <v>1424</v>
      </c>
      <c r="H6" s="390" t="str">
        <f>IF(J6="",IF($F$2&lt;=15,"EnattentedeRetrait","EnAttented'unRetraitTardif"),IF(J6-$H$2&lt;=15,"Rétirédanslesdélais",IF(J6-$H$2&gt;15,"Rétirétardivement-30000FCFAamende")))</f>
        <v>Rétirétardivement-30000FCFAamende</v>
      </c>
      <c r="I6" s="381" t="s">
        <v>399</v>
      </c>
      <c r="J6" s="384">
        <v>45667</v>
      </c>
      <c r="K6" s="381"/>
      <c r="L6" s="381"/>
      <c r="M6" s="381"/>
      <c r="N6" s="381"/>
      <c r="O6" s="381"/>
      <c r="P6" s="381"/>
    </row>
    <row r="7" spans="1:17" s="346" customFormat="1" ht="15.75" hidden="1" x14ac:dyDescent="0.25">
      <c r="A7" s="381">
        <v>3</v>
      </c>
      <c r="B7" s="381">
        <v>4054330171</v>
      </c>
      <c r="C7" s="381"/>
      <c r="D7" s="381"/>
      <c r="E7" s="381" t="s">
        <v>265</v>
      </c>
      <c r="F7" s="381" t="s">
        <v>6</v>
      </c>
      <c r="G7" s="381" t="s">
        <v>13</v>
      </c>
      <c r="H7" s="390" t="str">
        <f t="shared" ref="H7:H20" si="0">IF(J7="",IF($F$2&lt;=15,"En attente de Retrait","En Attente d'un Retrait Tardif"),IF(J7-$H$2&lt;=15,"Rétiré dans les délais",IF(J7-$H$2&gt;15,"Rétiré tardivement-30000FCFA amende")))</f>
        <v>Rétiré dans les délais</v>
      </c>
      <c r="I7" s="381" t="s">
        <v>312</v>
      </c>
      <c r="J7" s="384">
        <v>45638</v>
      </c>
      <c r="K7" s="381"/>
      <c r="L7" s="381"/>
      <c r="M7" s="381"/>
      <c r="N7" s="381"/>
      <c r="O7" s="381"/>
      <c r="P7" s="381"/>
    </row>
    <row r="8" spans="1:17" s="346" customFormat="1" ht="15.75" hidden="1" x14ac:dyDescent="0.25">
      <c r="A8" s="381" t="s">
        <v>278</v>
      </c>
      <c r="B8" s="381">
        <v>4054332130</v>
      </c>
      <c r="C8" s="381"/>
      <c r="D8" s="381"/>
      <c r="E8" s="381" t="s">
        <v>30</v>
      </c>
      <c r="F8" s="381" t="s">
        <v>6</v>
      </c>
      <c r="G8" s="381" t="s">
        <v>13</v>
      </c>
      <c r="H8" s="390" t="str">
        <f>IF(J8="",IF($F$2&lt;=15,"En attente de Retrait","En Attente d'un Retrait Tardif"),IF(J8-$H$2&lt;=15,"Rétiré dans les délais",IF(J8-$H$2&gt;15,"Rétiré tardivement-30000FCFA amende")))</f>
        <v>Rétiré dans les délais</v>
      </c>
      <c r="I8" s="381" t="s">
        <v>315</v>
      </c>
      <c r="J8" s="384">
        <v>45638</v>
      </c>
      <c r="K8" s="381"/>
      <c r="L8" s="381"/>
      <c r="M8" s="381"/>
      <c r="N8" s="381"/>
      <c r="O8" s="381"/>
      <c r="P8" s="381"/>
    </row>
    <row r="9" spans="1:17" s="346" customFormat="1" ht="15.75" hidden="1" x14ac:dyDescent="0.25">
      <c r="A9" s="381">
        <v>5</v>
      </c>
      <c r="B9" s="381">
        <v>4054332750</v>
      </c>
      <c r="C9" s="381"/>
      <c r="D9" s="381"/>
      <c r="E9" s="381" t="s">
        <v>30</v>
      </c>
      <c r="F9" s="381" t="s">
        <v>6</v>
      </c>
      <c r="G9" s="381" t="s">
        <v>13</v>
      </c>
      <c r="H9" s="390" t="str">
        <f>IF(J9="",IF($F$2&lt;=15,"En attente de Retrait","En Attente d'un Retrait Tardif"),IF(J9-$H$2&lt;=15,"Rétiré dans les délais",IF(J9-$H$2&gt;15,"Rétiré tardivement-30000FCFA amende")))</f>
        <v>Rétiré dans les délais</v>
      </c>
      <c r="I9" s="381" t="s">
        <v>314</v>
      </c>
      <c r="J9" s="384">
        <v>45638</v>
      </c>
      <c r="K9" s="381"/>
      <c r="L9" s="381"/>
      <c r="M9" s="381"/>
      <c r="N9" s="381"/>
      <c r="O9" s="381"/>
      <c r="P9" s="381"/>
    </row>
    <row r="10" spans="1:17" s="346" customFormat="1" ht="15.75" hidden="1" x14ac:dyDescent="0.25">
      <c r="A10" s="381">
        <v>6</v>
      </c>
      <c r="B10" s="381">
        <v>4054385790</v>
      </c>
      <c r="C10" s="381"/>
      <c r="D10" s="381"/>
      <c r="E10" s="381" t="s">
        <v>16</v>
      </c>
      <c r="F10" s="381" t="s">
        <v>270</v>
      </c>
      <c r="G10" s="381" t="s">
        <v>331</v>
      </c>
      <c r="H10" s="390" t="str">
        <f t="shared" ref="H10" si="1">IF(J10="",IF($F$2&lt;=15,"En attente de Retrait","En Attente d'un Retrait Tardif"),IF(J10-$H$2&lt;=15,"Rétiré dans les délais",IF(J10-$H$2&gt;15,"Rétiré tardivement-30000FCFA amende")))</f>
        <v>Rétiré dans les délais</v>
      </c>
      <c r="I10" s="381" t="s">
        <v>313</v>
      </c>
      <c r="J10" s="384">
        <v>45638</v>
      </c>
      <c r="K10" s="381"/>
      <c r="L10" s="381"/>
      <c r="M10" s="381"/>
      <c r="N10" s="381"/>
      <c r="O10" s="381"/>
      <c r="P10" s="381"/>
    </row>
    <row r="11" spans="1:17" s="346" customFormat="1" ht="15.75" hidden="1" x14ac:dyDescent="0.25">
      <c r="A11" s="381">
        <v>7</v>
      </c>
      <c r="B11" s="381">
        <v>2153813181</v>
      </c>
      <c r="C11" s="381"/>
      <c r="D11" s="381"/>
      <c r="E11" s="381" t="s">
        <v>120</v>
      </c>
      <c r="F11" s="381" t="s">
        <v>6</v>
      </c>
      <c r="G11" s="381" t="s">
        <v>45</v>
      </c>
      <c r="H11" s="390" t="str">
        <f t="shared" si="0"/>
        <v>Rétiré dans les délais</v>
      </c>
      <c r="I11" s="381" t="s">
        <v>321</v>
      </c>
      <c r="J11" s="384">
        <v>45637</v>
      </c>
      <c r="K11" s="381"/>
      <c r="L11" s="381"/>
      <c r="M11" s="381"/>
      <c r="N11" s="381"/>
      <c r="O11" s="381"/>
      <c r="P11" s="381"/>
    </row>
    <row r="12" spans="1:17" s="346" customFormat="1" ht="15.75" hidden="1" x14ac:dyDescent="0.25">
      <c r="A12" s="381">
        <v>8</v>
      </c>
      <c r="B12" s="381">
        <v>4054387380</v>
      </c>
      <c r="C12" s="381"/>
      <c r="D12" s="381"/>
      <c r="E12" s="381" t="s">
        <v>54</v>
      </c>
      <c r="F12" s="381" t="s">
        <v>6</v>
      </c>
      <c r="G12" s="381" t="s">
        <v>13</v>
      </c>
      <c r="H12" s="390" t="str">
        <f t="shared" ref="H12:H18" si="2">IF(J12="",IF($F$2&lt;=15,"En attente de Retrait","En Attente d'un Retrait Tardif"),IF(J12-$H$2&lt;=15,"Rétiré dans les délais",IF(J12-$H$2&gt;15,"Rétiré tardivement-30000FCFA amende")))</f>
        <v>Rétiré dans les délais</v>
      </c>
      <c r="I12" s="381" t="s">
        <v>326</v>
      </c>
      <c r="J12" s="384">
        <v>45637</v>
      </c>
      <c r="K12" s="381"/>
      <c r="L12" s="381"/>
      <c r="M12" s="381"/>
      <c r="N12" s="381"/>
      <c r="O12" s="381"/>
      <c r="P12" s="381"/>
    </row>
    <row r="13" spans="1:17" s="346" customFormat="1" ht="15.75" hidden="1" x14ac:dyDescent="0.25">
      <c r="A13" s="381">
        <v>9</v>
      </c>
      <c r="B13" s="381">
        <v>4054341081</v>
      </c>
      <c r="C13" s="381"/>
      <c r="D13" s="381"/>
      <c r="E13" s="381" t="s">
        <v>47</v>
      </c>
      <c r="F13" s="381" t="s">
        <v>6</v>
      </c>
      <c r="G13" s="381" t="s">
        <v>13</v>
      </c>
      <c r="H13" s="390" t="str">
        <f t="shared" si="2"/>
        <v>Rétiré dans les délais</v>
      </c>
      <c r="I13" s="381" t="s">
        <v>322</v>
      </c>
      <c r="J13" s="384">
        <v>45638</v>
      </c>
      <c r="K13" s="381"/>
      <c r="L13" s="381"/>
      <c r="M13" s="381"/>
      <c r="N13" s="381"/>
      <c r="O13" s="381"/>
      <c r="P13" s="381"/>
    </row>
    <row r="14" spans="1:17" s="346" customFormat="1" ht="15.75" hidden="1" x14ac:dyDescent="0.25">
      <c r="A14" s="381">
        <v>10</v>
      </c>
      <c r="B14" s="381">
        <v>4054382290</v>
      </c>
      <c r="C14" s="381"/>
      <c r="D14" s="381"/>
      <c r="E14" s="381" t="s">
        <v>47</v>
      </c>
      <c r="F14" s="381" t="s">
        <v>6</v>
      </c>
      <c r="G14" s="381" t="s">
        <v>13</v>
      </c>
      <c r="H14" s="390" t="str">
        <f t="shared" si="2"/>
        <v>Rétiré dans les délais</v>
      </c>
      <c r="I14" s="381" t="s">
        <v>319</v>
      </c>
      <c r="J14" s="384">
        <v>45638</v>
      </c>
      <c r="K14" s="381"/>
      <c r="L14" s="381"/>
      <c r="M14" s="381"/>
      <c r="N14" s="381"/>
      <c r="O14" s="381"/>
      <c r="P14" s="381"/>
    </row>
    <row r="15" spans="1:17" s="346" customFormat="1" ht="15.75" hidden="1" x14ac:dyDescent="0.25">
      <c r="A15" s="381">
        <v>11</v>
      </c>
      <c r="B15" s="381">
        <v>4054359710</v>
      </c>
      <c r="C15" s="381"/>
      <c r="D15" s="381"/>
      <c r="E15" s="381" t="s">
        <v>50</v>
      </c>
      <c r="F15" s="381" t="s">
        <v>270</v>
      </c>
      <c r="G15" s="381" t="s">
        <v>277</v>
      </c>
      <c r="H15" s="390" t="str">
        <f t="shared" si="2"/>
        <v>Rétiré dans les délais</v>
      </c>
      <c r="I15" s="381" t="s">
        <v>317</v>
      </c>
      <c r="J15" s="384">
        <v>45642</v>
      </c>
      <c r="K15" s="381"/>
      <c r="L15" s="381"/>
      <c r="M15" s="381"/>
      <c r="N15" s="381"/>
      <c r="O15" s="381"/>
      <c r="P15" s="381"/>
    </row>
    <row r="16" spans="1:17" s="346" customFormat="1" ht="15.75" hidden="1" x14ac:dyDescent="0.25">
      <c r="A16" s="381">
        <v>12</v>
      </c>
      <c r="B16" s="381">
        <v>4054373330</v>
      </c>
      <c r="C16" s="381"/>
      <c r="D16" s="381"/>
      <c r="E16" s="381" t="s">
        <v>50</v>
      </c>
      <c r="F16" s="381" t="s">
        <v>270</v>
      </c>
      <c r="G16" s="381" t="s">
        <v>277</v>
      </c>
      <c r="H16" s="390" t="str">
        <f t="shared" si="2"/>
        <v>Rétiré dans les délais</v>
      </c>
      <c r="I16" s="381" t="s">
        <v>316</v>
      </c>
      <c r="J16" s="384">
        <v>45642</v>
      </c>
      <c r="K16" s="381"/>
      <c r="L16" s="381"/>
      <c r="M16" s="381"/>
      <c r="N16" s="381"/>
      <c r="O16" s="381"/>
      <c r="P16" s="381"/>
    </row>
    <row r="17" spans="1:16" s="346" customFormat="1" ht="15.75" hidden="1" x14ac:dyDescent="0.25">
      <c r="A17" s="381">
        <v>13</v>
      </c>
      <c r="B17" s="381">
        <v>4054382670</v>
      </c>
      <c r="C17" s="381"/>
      <c r="D17" s="381"/>
      <c r="E17" s="381" t="s">
        <v>47</v>
      </c>
      <c r="F17" s="381" t="s">
        <v>6</v>
      </c>
      <c r="G17" s="381" t="s">
        <v>13</v>
      </c>
      <c r="H17" s="390" t="str">
        <f t="shared" si="2"/>
        <v>Rétiré dans les délais</v>
      </c>
      <c r="I17" s="381" t="s">
        <v>320</v>
      </c>
      <c r="J17" s="384">
        <v>45638</v>
      </c>
      <c r="K17" s="381"/>
      <c r="L17" s="381"/>
      <c r="M17" s="381"/>
      <c r="N17" s="381"/>
      <c r="O17" s="381"/>
      <c r="P17" s="381"/>
    </row>
    <row r="18" spans="1:16" s="346" customFormat="1" ht="15.75" hidden="1" x14ac:dyDescent="0.25">
      <c r="A18" s="381">
        <v>14</v>
      </c>
      <c r="B18" s="381">
        <v>4054382340</v>
      </c>
      <c r="C18" s="381"/>
      <c r="D18" s="381"/>
      <c r="E18" s="381" t="s">
        <v>47</v>
      </c>
      <c r="F18" s="381" t="s">
        <v>6</v>
      </c>
      <c r="G18" s="381" t="s">
        <v>13</v>
      </c>
      <c r="H18" s="390" t="str">
        <f t="shared" si="2"/>
        <v>Rétiré dans les délais</v>
      </c>
      <c r="I18" s="381" t="s">
        <v>318</v>
      </c>
      <c r="J18" s="384">
        <v>45638</v>
      </c>
      <c r="K18" s="381"/>
      <c r="L18" s="381"/>
      <c r="M18" s="381"/>
      <c r="N18" s="381"/>
      <c r="O18" s="381"/>
      <c r="P18" s="381"/>
    </row>
    <row r="19" spans="1:16" s="346" customFormat="1" ht="15.75" hidden="1" x14ac:dyDescent="0.25">
      <c r="A19" s="381">
        <v>15</v>
      </c>
      <c r="B19" s="381">
        <v>4054365421</v>
      </c>
      <c r="C19" s="381"/>
      <c r="D19" s="381"/>
      <c r="E19" s="381" t="s">
        <v>20</v>
      </c>
      <c r="F19" s="381" t="s">
        <v>6</v>
      </c>
      <c r="G19" s="381" t="s">
        <v>13</v>
      </c>
      <c r="H19" s="390" t="str">
        <f t="shared" si="0"/>
        <v>Rétiré dans les délais</v>
      </c>
      <c r="I19" s="381" t="s">
        <v>324</v>
      </c>
      <c r="J19" s="384">
        <v>45638</v>
      </c>
      <c r="K19" s="381"/>
      <c r="L19" s="381"/>
      <c r="M19" s="381"/>
      <c r="N19" s="381"/>
      <c r="O19" s="381"/>
      <c r="P19" s="381"/>
    </row>
    <row r="20" spans="1:16" s="346" customFormat="1" ht="15.75" hidden="1" x14ac:dyDescent="0.25">
      <c r="A20" s="381">
        <v>16</v>
      </c>
      <c r="B20" s="381">
        <v>4054365420</v>
      </c>
      <c r="C20" s="381"/>
      <c r="D20" s="381"/>
      <c r="E20" s="381" t="s">
        <v>20</v>
      </c>
      <c r="F20" s="381" t="s">
        <v>6</v>
      </c>
      <c r="G20" s="381" t="s">
        <v>13</v>
      </c>
      <c r="H20" s="390" t="str">
        <f t="shared" si="0"/>
        <v>Rétiré dans les délais</v>
      </c>
      <c r="I20" s="381" t="s">
        <v>325</v>
      </c>
      <c r="J20" s="384">
        <v>45638</v>
      </c>
      <c r="K20" s="381"/>
      <c r="L20" s="381"/>
      <c r="M20" s="381"/>
      <c r="N20" s="381"/>
      <c r="O20" s="381"/>
      <c r="P20" s="381"/>
    </row>
    <row r="21" spans="1:16" s="346" customFormat="1" ht="15.75" hidden="1" x14ac:dyDescent="0.25">
      <c r="A21" s="381">
        <v>17</v>
      </c>
      <c r="B21" s="381">
        <v>4054376030</v>
      </c>
      <c r="C21" s="381"/>
      <c r="D21" s="381"/>
      <c r="E21" s="381" t="s">
        <v>121</v>
      </c>
      <c r="F21" s="381" t="s">
        <v>6</v>
      </c>
      <c r="G21" s="381" t="s">
        <v>13</v>
      </c>
      <c r="H21" s="390" t="str">
        <f>IF(J21="",IF($F$2&lt;=15,"En attente de Retrait","En Attente d'un Retrait Tardif"),IF(J21-$H$2&lt;=15,"Rétiré dans les délais",IF(J21-$H$2&gt;15,"Rétiré tardivement-30000FCFA amende")))</f>
        <v>Rétiré dans les délais</v>
      </c>
      <c r="I21" s="381" t="s">
        <v>311</v>
      </c>
      <c r="J21" s="384">
        <v>45638</v>
      </c>
      <c r="K21" s="381"/>
      <c r="L21" s="381"/>
      <c r="M21" s="381"/>
      <c r="N21" s="381"/>
      <c r="O21" s="381"/>
      <c r="P21" s="381"/>
    </row>
    <row r="22" spans="1:16" s="346" customFormat="1" ht="15.75" hidden="1" x14ac:dyDescent="0.25">
      <c r="A22" s="381">
        <v>18</v>
      </c>
      <c r="B22" s="381">
        <v>4054388510</v>
      </c>
      <c r="C22" s="381"/>
      <c r="D22" s="381"/>
      <c r="E22" s="381" t="s">
        <v>64</v>
      </c>
      <c r="F22" s="381" t="s">
        <v>6</v>
      </c>
      <c r="G22" s="381" t="s">
        <v>45</v>
      </c>
      <c r="H22" s="390" t="str">
        <f>IF(J22="",IF($F$2&lt;=15,"En attente de Retrait","En Attente d'un Retrait Tardif"),IF(J22-$H$2&lt;=15,"Rétiré dans les délais",IF(J22-$H$2&gt;15,"Rétiré tardivement-30000FCFA amende")))</f>
        <v>Rétiré dans les délais</v>
      </c>
      <c r="I22" s="381" t="s">
        <v>323</v>
      </c>
      <c r="J22" s="384">
        <v>45638</v>
      </c>
      <c r="K22" s="381"/>
      <c r="L22" s="381"/>
      <c r="M22" s="381"/>
      <c r="N22" s="381"/>
      <c r="O22" s="381"/>
      <c r="P22" s="381"/>
    </row>
    <row r="24" spans="1:16" ht="15.75" x14ac:dyDescent="0.25">
      <c r="G24" s="377"/>
      <c r="H24" s="409"/>
      <c r="I24" s="409"/>
    </row>
  </sheetData>
  <autoFilter ref="E4:Q22" xr:uid="{A542F875-0234-4F77-B142-8EA6607B942F}">
    <filterColumn colId="5">
      <filters>
        <dateGroupItem year="2025" dateTimeGrouping="year"/>
      </filters>
    </filterColumn>
    <filterColumn colId="9" showButton="0"/>
    <filterColumn colId="10" showButton="0"/>
    <filterColumn colId="11" showButton="0"/>
  </autoFilter>
  <mergeCells count="3">
    <mergeCell ref="H1:J1"/>
    <mergeCell ref="A2:B2"/>
    <mergeCell ref="N4:Q4"/>
  </mergeCells>
  <conditionalFormatting sqref="B1:B1048576">
    <cfRule type="duplicateValues" dxfId="897" priority="3"/>
  </conditionalFormatting>
  <conditionalFormatting sqref="H5:H22">
    <cfRule type="containsText" dxfId="896" priority="1" operator="containsText" text="En Attente d'un Retrait Tardif">
      <formula>NOT(ISERROR(SEARCH("En Attente d'un Retrait Tardif",H5)))</formula>
    </cfRule>
    <cfRule type="containsText" dxfId="895" priority="2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3706-AF14-4FA2-AD21-11FA394644A0}">
  <sheetPr codeName="Feuil45">
    <tabColor theme="5" tint="-0.249977111117893"/>
  </sheetPr>
  <dimension ref="A1:Q26"/>
  <sheetViews>
    <sheetView workbookViewId="0">
      <selection activeCell="E13" sqref="E13"/>
    </sheetView>
  </sheetViews>
  <sheetFormatPr baseColWidth="10" defaultRowHeight="15" x14ac:dyDescent="0.25"/>
  <cols>
    <col min="1" max="1" width="7.42578125" customWidth="1"/>
    <col min="2" max="2" width="14.140625" bestFit="1" customWidth="1"/>
    <col min="5" max="5" width="43.140625" customWidth="1"/>
    <col min="6" max="6" width="29" customWidth="1"/>
    <col min="7" max="7" width="37.85546875" customWidth="1"/>
    <col min="8" max="8" width="34.28515625" customWidth="1"/>
    <col min="9" max="9" width="15.5703125" customWidth="1"/>
    <col min="10" max="10" width="19.28515625" customWidth="1"/>
  </cols>
  <sheetData>
    <row r="1" spans="1:17" ht="19.5" thickBot="1" x14ac:dyDescent="0.35">
      <c r="A1" s="348" t="s">
        <v>1425</v>
      </c>
      <c r="B1" s="98"/>
      <c r="C1" s="98"/>
      <c r="D1" s="98"/>
      <c r="E1" s="288"/>
      <c r="F1" s="288"/>
      <c r="G1" s="288"/>
      <c r="H1" s="729"/>
      <c r="I1" s="729"/>
      <c r="J1" s="729"/>
      <c r="K1" s="208"/>
      <c r="L1" s="208"/>
      <c r="M1" s="208"/>
    </row>
    <row r="2" spans="1:17" ht="24" thickBot="1" x14ac:dyDescent="0.3">
      <c r="A2" s="730" t="s">
        <v>0</v>
      </c>
      <c r="B2" s="730"/>
      <c r="C2" s="24"/>
      <c r="D2" s="24"/>
      <c r="E2" s="25"/>
      <c r="F2" s="358">
        <f ca="1">J2-H2</f>
        <v>452</v>
      </c>
      <c r="G2" s="25"/>
      <c r="H2" s="314">
        <v>45644</v>
      </c>
      <c r="I2" s="365">
        <f ca="1">J2-H2</f>
        <v>452</v>
      </c>
      <c r="J2" s="315">
        <f ca="1">TODAY()</f>
        <v>46096</v>
      </c>
      <c r="K2" s="340"/>
      <c r="L2" s="340"/>
      <c r="M2" s="208"/>
    </row>
    <row r="3" spans="1:17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383" customFormat="1" ht="15.75" x14ac:dyDescent="0.25">
      <c r="A5" s="734">
        <v>1</v>
      </c>
      <c r="B5" s="742">
        <v>4054413940</v>
      </c>
      <c r="C5" s="734" t="s">
        <v>513</v>
      </c>
      <c r="D5" s="385"/>
      <c r="E5" s="385" t="s">
        <v>1426</v>
      </c>
      <c r="F5" s="388"/>
      <c r="G5" s="385" t="s">
        <v>1427</v>
      </c>
      <c r="H5" s="740" t="str">
        <f>IF(J5="",IF($F$2&lt;=15,"EnattentedeRetrait","EnAttented'unRetraitTardif"),IF(J5-$H$2&lt;=15,"Rétirédanslesdélais",IF(J5-$H$2&gt;15,"Rétirétardivement-30000FCFAamende")))</f>
        <v>Rétirédanslesdélais</v>
      </c>
      <c r="I5" s="736" t="s">
        <v>346</v>
      </c>
      <c r="J5" s="738">
        <v>45650</v>
      </c>
      <c r="K5" s="744" t="s">
        <v>513</v>
      </c>
      <c r="L5" s="388"/>
      <c r="M5" s="388"/>
      <c r="N5" s="388"/>
      <c r="O5" s="388"/>
      <c r="P5" s="388"/>
      <c r="Q5" s="388"/>
    </row>
    <row r="6" spans="1:17" s="383" customFormat="1" ht="15.75" x14ac:dyDescent="0.25">
      <c r="A6" s="735"/>
      <c r="B6" s="743"/>
      <c r="C6" s="735"/>
      <c r="D6" s="385"/>
      <c r="E6" s="385" t="s">
        <v>1426</v>
      </c>
      <c r="F6" s="388"/>
      <c r="G6" s="385" t="s">
        <v>1428</v>
      </c>
      <c r="H6" s="741"/>
      <c r="I6" s="737"/>
      <c r="J6" s="739"/>
      <c r="K6" s="745"/>
      <c r="L6" s="388"/>
      <c r="M6" s="388"/>
      <c r="N6" s="388"/>
      <c r="O6" s="388"/>
      <c r="P6" s="388"/>
      <c r="Q6" s="388"/>
    </row>
    <row r="7" spans="1:17" s="346" customFormat="1" ht="15.75" x14ac:dyDescent="0.25">
      <c r="A7" s="389">
        <v>2</v>
      </c>
      <c r="B7" s="381">
        <v>4054405120</v>
      </c>
      <c r="C7" s="417" t="s">
        <v>514</v>
      </c>
      <c r="D7" s="381"/>
      <c r="E7" s="381" t="s">
        <v>1157</v>
      </c>
      <c r="F7" s="381" t="s">
        <v>1065</v>
      </c>
      <c r="G7" s="381" t="s">
        <v>1429</v>
      </c>
      <c r="H7" s="390" t="str">
        <f t="shared" ref="H7:H13" si="0">IF(J7="",IF($F$2&lt;=15,"EnattentedeRetrait","EnAttented'unRetraitTardif"),IF(J7-$H$2&lt;=15,"Rétirédanslesdélais",IF(J7-$H$2&gt;15,"Rétirétardivement-30000FCFAamende")))</f>
        <v>Rétirédanslesdélais</v>
      </c>
      <c r="I7" s="381" t="s">
        <v>343</v>
      </c>
      <c r="J7" s="391">
        <v>45650</v>
      </c>
      <c r="K7" s="381">
        <v>21240</v>
      </c>
      <c r="L7" s="381"/>
      <c r="M7" s="381"/>
      <c r="N7" s="381"/>
      <c r="O7" s="381"/>
      <c r="P7" s="381"/>
      <c r="Q7" s="381"/>
    </row>
    <row r="8" spans="1:17" s="346" customFormat="1" ht="15.75" x14ac:dyDescent="0.25">
      <c r="A8" s="381">
        <v>3</v>
      </c>
      <c r="B8" s="381">
        <v>4054404620</v>
      </c>
      <c r="C8" s="381" t="s">
        <v>513</v>
      </c>
      <c r="D8" s="381"/>
      <c r="E8" s="381" t="s">
        <v>1075</v>
      </c>
      <c r="F8" s="381" t="s">
        <v>1065</v>
      </c>
      <c r="G8" s="381" t="s">
        <v>1429</v>
      </c>
      <c r="H8" s="390" t="str">
        <f t="shared" si="0"/>
        <v>Rétirédanslesdélais</v>
      </c>
      <c r="I8" s="381" t="s">
        <v>341</v>
      </c>
      <c r="J8" s="391">
        <v>45650</v>
      </c>
      <c r="K8" s="381">
        <v>17700</v>
      </c>
      <c r="L8" s="381"/>
      <c r="M8" s="381"/>
      <c r="N8" s="381"/>
      <c r="O8" s="381"/>
      <c r="P8" s="381"/>
      <c r="Q8" s="381"/>
    </row>
    <row r="9" spans="1:17" s="346" customFormat="1" ht="15.75" x14ac:dyDescent="0.25">
      <c r="A9" s="389">
        <v>4</v>
      </c>
      <c r="B9" s="381">
        <v>4054341082</v>
      </c>
      <c r="C9" s="381" t="s">
        <v>513</v>
      </c>
      <c r="D9" s="381"/>
      <c r="E9" s="381" t="s">
        <v>1122</v>
      </c>
      <c r="F9" s="381" t="s">
        <v>1065</v>
      </c>
      <c r="G9" s="381" t="s">
        <v>1429</v>
      </c>
      <c r="H9" s="390" t="str">
        <f t="shared" si="0"/>
        <v>Rétirédanslesdélais</v>
      </c>
      <c r="I9" s="381" t="s">
        <v>342</v>
      </c>
      <c r="J9" s="391">
        <v>45650</v>
      </c>
      <c r="K9" s="381">
        <v>1770</v>
      </c>
      <c r="L9" s="381"/>
      <c r="M9" s="381"/>
      <c r="N9" s="381"/>
      <c r="O9" s="381"/>
      <c r="P9" s="381"/>
      <c r="Q9" s="381"/>
    </row>
    <row r="10" spans="1:17" s="346" customFormat="1" ht="15.75" x14ac:dyDescent="0.25">
      <c r="A10" s="381">
        <v>5</v>
      </c>
      <c r="B10" s="381">
        <v>4054415840</v>
      </c>
      <c r="C10" s="417" t="s">
        <v>514</v>
      </c>
      <c r="D10" s="381"/>
      <c r="E10" s="381" t="s">
        <v>1430</v>
      </c>
      <c r="F10" s="381" t="s">
        <v>1418</v>
      </c>
      <c r="G10" s="381" t="s">
        <v>1429</v>
      </c>
      <c r="H10" s="390" t="str">
        <f t="shared" si="0"/>
        <v>Rétirétardivement-30000FCFAamende</v>
      </c>
      <c r="I10" s="381" t="s">
        <v>397</v>
      </c>
      <c r="J10" s="391">
        <v>45666</v>
      </c>
      <c r="K10" s="381">
        <v>1770</v>
      </c>
      <c r="L10" s="381"/>
      <c r="M10" s="381"/>
      <c r="N10" s="381"/>
      <c r="O10" s="381"/>
      <c r="P10" s="381"/>
      <c r="Q10" s="381"/>
    </row>
    <row r="11" spans="1:17" s="346" customFormat="1" ht="15.75" x14ac:dyDescent="0.25">
      <c r="A11" s="389">
        <v>6</v>
      </c>
      <c r="B11" s="381">
        <v>4054363390</v>
      </c>
      <c r="C11" s="381" t="s">
        <v>513</v>
      </c>
      <c r="D11" s="381"/>
      <c r="E11" s="381" t="s">
        <v>1160</v>
      </c>
      <c r="F11" s="381" t="s">
        <v>1065</v>
      </c>
      <c r="G11" s="381" t="s">
        <v>1429</v>
      </c>
      <c r="H11" s="390" t="str">
        <f t="shared" si="0"/>
        <v>Rétirédanslesdélais</v>
      </c>
      <c r="I11" s="381" t="s">
        <v>344</v>
      </c>
      <c r="J11" s="391">
        <v>45650</v>
      </c>
      <c r="K11" s="381">
        <v>17700</v>
      </c>
      <c r="L11" s="381"/>
      <c r="M11" s="381"/>
      <c r="N11" s="381"/>
      <c r="O11" s="381"/>
      <c r="P11" s="381"/>
      <c r="Q11" s="381"/>
    </row>
    <row r="12" spans="1:17" s="346" customFormat="1" ht="15.75" x14ac:dyDescent="0.25">
      <c r="A12" s="381">
        <v>7</v>
      </c>
      <c r="B12" s="381">
        <v>4054363399</v>
      </c>
      <c r="C12" s="381" t="s">
        <v>513</v>
      </c>
      <c r="D12" s="381"/>
      <c r="E12" s="381" t="s">
        <v>1160</v>
      </c>
      <c r="F12" s="381" t="s">
        <v>1065</v>
      </c>
      <c r="G12" s="381" t="s">
        <v>1429</v>
      </c>
      <c r="H12" s="390" t="str">
        <f t="shared" si="0"/>
        <v>Rétirédanslesdélais</v>
      </c>
      <c r="I12" s="381" t="s">
        <v>345</v>
      </c>
      <c r="J12" s="391">
        <v>45650</v>
      </c>
      <c r="K12" s="381">
        <v>17700</v>
      </c>
      <c r="L12" s="381"/>
      <c r="M12" s="381"/>
      <c r="N12" s="381"/>
      <c r="O12" s="381"/>
      <c r="P12" s="381"/>
      <c r="Q12" s="381"/>
    </row>
    <row r="13" spans="1:17" s="346" customFormat="1" ht="15.75" x14ac:dyDescent="0.25">
      <c r="A13" s="389">
        <v>8</v>
      </c>
      <c r="B13" s="381">
        <v>4054379501</v>
      </c>
      <c r="C13" s="381" t="s">
        <v>513</v>
      </c>
      <c r="D13" s="381"/>
      <c r="E13" s="381" t="s">
        <v>1138</v>
      </c>
      <c r="F13" s="381" t="s">
        <v>1065</v>
      </c>
      <c r="G13" s="381" t="s">
        <v>1429</v>
      </c>
      <c r="H13" s="390" t="str">
        <f t="shared" si="0"/>
        <v>Rétirédanslesdélais</v>
      </c>
      <c r="I13" s="381" t="s">
        <v>351</v>
      </c>
      <c r="J13" s="391">
        <v>45652</v>
      </c>
      <c r="K13" s="381"/>
      <c r="L13" s="381"/>
      <c r="M13" s="381"/>
      <c r="N13" s="381"/>
      <c r="O13" s="381"/>
      <c r="P13" s="381"/>
      <c r="Q13" s="381"/>
    </row>
    <row r="14" spans="1:17" x14ac:dyDescent="0.25">
      <c r="B14" s="378"/>
    </row>
    <row r="15" spans="1:17" x14ac:dyDescent="0.25">
      <c r="B15" s="378"/>
    </row>
    <row r="16" spans="1:17" x14ac:dyDescent="0.25">
      <c r="B16" s="378"/>
    </row>
    <row r="17" spans="2:2" x14ac:dyDescent="0.25">
      <c r="B17" s="378"/>
    </row>
    <row r="18" spans="2:2" x14ac:dyDescent="0.25">
      <c r="B18" s="378"/>
    </row>
    <row r="19" spans="2:2" x14ac:dyDescent="0.25">
      <c r="B19" s="378"/>
    </row>
    <row r="20" spans="2:2" x14ac:dyDescent="0.25">
      <c r="B20" s="378"/>
    </row>
    <row r="21" spans="2:2" x14ac:dyDescent="0.25">
      <c r="B21" s="378"/>
    </row>
    <row r="22" spans="2:2" x14ac:dyDescent="0.25">
      <c r="B22" s="378"/>
    </row>
    <row r="23" spans="2:2" x14ac:dyDescent="0.25">
      <c r="B23" s="378"/>
    </row>
    <row r="26" spans="2:2" ht="15" customHeight="1" x14ac:dyDescent="0.25"/>
  </sheetData>
  <autoFilter ref="E4:Q13" xr:uid="{E1B43706-AF14-4FA2-AD21-11FA394644A0}">
    <filterColumn colId="9" showButton="0"/>
    <filterColumn colId="10" showButton="0"/>
    <filterColumn colId="11" showButton="0"/>
  </autoFilter>
  <mergeCells count="10">
    <mergeCell ref="A5:A6"/>
    <mergeCell ref="H1:J1"/>
    <mergeCell ref="A2:B2"/>
    <mergeCell ref="N4:Q4"/>
    <mergeCell ref="I5:I6"/>
    <mergeCell ref="J5:J6"/>
    <mergeCell ref="H5:H6"/>
    <mergeCell ref="B5:B6"/>
    <mergeCell ref="C5:C6"/>
    <mergeCell ref="K5:K6"/>
  </mergeCells>
  <conditionalFormatting sqref="B1:B4">
    <cfRule type="duplicateValues" dxfId="894" priority="10"/>
  </conditionalFormatting>
  <conditionalFormatting sqref="B1:B5 B7:B1048576">
    <cfRule type="duplicateValues" dxfId="893" priority="6"/>
    <cfRule type="duplicateValues" dxfId="892" priority="7"/>
    <cfRule type="duplicateValues" dxfId="891" priority="9"/>
  </conditionalFormatting>
  <conditionalFormatting sqref="B18:B1048576">
    <cfRule type="duplicateValues" dxfId="890" priority="8"/>
  </conditionalFormatting>
  <conditionalFormatting sqref="H5 H7:H13">
    <cfRule type="containsText" dxfId="889" priority="4" operator="containsText" text="En Attente d'un Retrait Tardif">
      <formula>NOT(ISERROR(SEARCH("En Attente d'un Retrait Tardif",H5)))</formula>
    </cfRule>
    <cfRule type="containsText" dxfId="888" priority="5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34C-E1A8-4788-A336-55187472940D}">
  <sheetPr codeName="Feuil46">
    <tabColor theme="5" tint="-0.249977111117893"/>
  </sheetPr>
  <dimension ref="A1:EV33"/>
  <sheetViews>
    <sheetView workbookViewId="0">
      <selection activeCell="B5" sqref="B5:J23"/>
    </sheetView>
  </sheetViews>
  <sheetFormatPr baseColWidth="10" defaultRowHeight="15" x14ac:dyDescent="0.25"/>
  <cols>
    <col min="1" max="1" width="7.42578125" customWidth="1"/>
    <col min="2" max="2" width="14.140625" bestFit="1" customWidth="1"/>
    <col min="5" max="5" width="43.140625" customWidth="1"/>
    <col min="6" max="6" width="29" customWidth="1"/>
    <col min="7" max="7" width="37.85546875" customWidth="1"/>
    <col min="8" max="8" width="31.42578125" customWidth="1"/>
    <col min="9" max="9" width="15.5703125" customWidth="1"/>
    <col min="10" max="10" width="19.28515625" customWidth="1"/>
  </cols>
  <sheetData>
    <row r="1" spans="1:152" ht="19.5" thickBot="1" x14ac:dyDescent="0.35">
      <c r="A1" s="348" t="s">
        <v>1431</v>
      </c>
      <c r="B1" s="98"/>
      <c r="C1" s="98"/>
      <c r="D1" s="98"/>
      <c r="E1" s="288"/>
      <c r="F1" s="288"/>
      <c r="G1" s="288"/>
      <c r="H1" s="729"/>
      <c r="I1" s="729"/>
      <c r="J1" s="729"/>
      <c r="K1" s="208"/>
      <c r="L1" s="208"/>
      <c r="M1" s="208"/>
    </row>
    <row r="2" spans="1:152" ht="24" thickBot="1" x14ac:dyDescent="0.3">
      <c r="A2" s="730" t="s">
        <v>0</v>
      </c>
      <c r="B2" s="730"/>
      <c r="C2" s="24"/>
      <c r="D2" s="24"/>
      <c r="E2" s="25"/>
      <c r="F2" s="358">
        <f ca="1">J2-H2</f>
        <v>439</v>
      </c>
      <c r="G2" s="25"/>
      <c r="H2" s="314">
        <v>45657</v>
      </c>
      <c r="I2" s="365">
        <f ca="1">J2-H2</f>
        <v>439</v>
      </c>
      <c r="J2" s="315">
        <f ca="1">TODAY()</f>
        <v>46096</v>
      </c>
      <c r="K2" s="340"/>
      <c r="L2" s="340"/>
      <c r="M2" s="208"/>
    </row>
    <row r="3" spans="1:152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52" ht="17.25" x14ac:dyDescent="0.25">
      <c r="A4" s="318" t="s">
        <v>1</v>
      </c>
      <c r="B4" s="335" t="s">
        <v>2</v>
      </c>
      <c r="C4" s="336" t="s">
        <v>361</v>
      </c>
      <c r="D4" s="336" t="s">
        <v>362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52" s="383" customFormat="1" ht="15.75" x14ac:dyDescent="0.25">
      <c r="A5" s="397">
        <v>6</v>
      </c>
      <c r="B5" s="398">
        <v>4054394790</v>
      </c>
      <c r="C5" s="399" t="s">
        <v>355</v>
      </c>
      <c r="D5" s="280" t="s">
        <v>358</v>
      </c>
      <c r="E5" s="398" t="s">
        <v>1158</v>
      </c>
      <c r="F5" s="395" t="s">
        <v>1406</v>
      </c>
      <c r="G5" s="381" t="s">
        <v>1207</v>
      </c>
      <c r="H5" s="390" t="str">
        <f t="shared" ref="H5:H23" si="0">IF(J5="",IF($F$2&lt;=15,"EnattentedeRetrait","EnAttented'unRetraitTardif"),IF(J5-$H$2&lt;=15,"Rétirédanslesdélais",IF(J5-$H$2&gt;15,"Rétirétardivement-30000FCFAamende")))</f>
        <v>Rétirédanslesdélais</v>
      </c>
      <c r="I5" s="381" t="s">
        <v>398</v>
      </c>
      <c r="J5" s="391">
        <v>45667</v>
      </c>
      <c r="K5" s="408" t="s">
        <v>1432</v>
      </c>
      <c r="L5" s="381"/>
      <c r="M5" s="381"/>
      <c r="N5" s="381"/>
      <c r="O5" s="381"/>
      <c r="P5" s="381"/>
      <c r="Q5" s="381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  <c r="AW5" s="394"/>
      <c r="AX5" s="394"/>
      <c r="AY5" s="394"/>
      <c r="AZ5" s="394"/>
      <c r="BA5" s="394"/>
      <c r="BB5" s="394"/>
      <c r="BC5" s="394"/>
      <c r="BD5" s="394"/>
      <c r="BE5" s="394"/>
      <c r="BF5" s="394"/>
      <c r="BG5" s="394"/>
      <c r="BH5" s="394"/>
      <c r="BI5" s="394"/>
      <c r="BJ5" s="394"/>
      <c r="BK5" s="394"/>
      <c r="BL5" s="394"/>
      <c r="BM5" s="394"/>
      <c r="BN5" s="394"/>
      <c r="BO5" s="394"/>
      <c r="BP5" s="394"/>
      <c r="BQ5" s="394"/>
      <c r="BR5" s="394"/>
      <c r="BS5" s="394"/>
      <c r="BT5" s="394"/>
      <c r="BU5" s="394"/>
      <c r="BV5" s="394"/>
      <c r="BW5" s="394"/>
      <c r="BX5" s="394"/>
      <c r="BY5" s="394"/>
      <c r="BZ5" s="394"/>
      <c r="CA5" s="394"/>
      <c r="CB5" s="394"/>
      <c r="CC5" s="394"/>
      <c r="CD5" s="394"/>
      <c r="CE5" s="394"/>
      <c r="CF5" s="394"/>
      <c r="CG5" s="394"/>
      <c r="CH5" s="394"/>
      <c r="CI5" s="394"/>
      <c r="CJ5" s="394"/>
      <c r="CK5" s="394"/>
      <c r="CL5" s="394"/>
      <c r="CM5" s="394"/>
      <c r="CN5" s="394"/>
      <c r="CO5" s="394"/>
      <c r="CP5" s="394"/>
      <c r="CQ5" s="394"/>
      <c r="CR5" s="394"/>
      <c r="CS5" s="394"/>
      <c r="CT5" s="394"/>
      <c r="CU5" s="394"/>
      <c r="CV5" s="394"/>
      <c r="CW5" s="394"/>
      <c r="CX5" s="394"/>
      <c r="CY5" s="394"/>
      <c r="CZ5" s="394"/>
      <c r="DA5" s="394"/>
      <c r="DB5" s="394"/>
      <c r="DC5" s="394"/>
      <c r="DD5" s="394"/>
      <c r="DE5" s="394"/>
      <c r="DF5" s="394"/>
      <c r="DG5" s="394"/>
      <c r="DH5" s="394"/>
      <c r="DI5" s="394"/>
      <c r="DJ5" s="394"/>
      <c r="DK5" s="394"/>
      <c r="DL5" s="394"/>
      <c r="DM5" s="394"/>
      <c r="DN5" s="394"/>
      <c r="DO5" s="394"/>
      <c r="DP5" s="394"/>
      <c r="DQ5" s="394"/>
      <c r="DR5" s="394"/>
      <c r="DS5" s="394"/>
      <c r="DT5" s="394"/>
      <c r="DU5" s="394"/>
      <c r="DV5" s="394"/>
      <c r="DW5" s="394"/>
      <c r="DX5" s="394"/>
      <c r="DY5" s="394"/>
      <c r="DZ5" s="394"/>
      <c r="EA5" s="394"/>
      <c r="EB5" s="394"/>
      <c r="EC5" s="394"/>
      <c r="ED5" s="394"/>
      <c r="EE5" s="394"/>
      <c r="EF5" s="394"/>
      <c r="EG5" s="394"/>
      <c r="EH5" s="394"/>
      <c r="EI5" s="394"/>
      <c r="EJ5" s="394"/>
      <c r="EK5" s="394"/>
      <c r="EL5" s="394"/>
      <c r="EM5" s="394"/>
      <c r="EN5" s="394"/>
      <c r="EO5" s="394"/>
      <c r="EP5" s="394"/>
      <c r="EQ5" s="394"/>
      <c r="ER5" s="394"/>
      <c r="ES5" s="394"/>
      <c r="ET5" s="394"/>
      <c r="EU5" s="394"/>
      <c r="EV5" s="394"/>
    </row>
    <row r="6" spans="1:152" s="346" customFormat="1" ht="15.75" x14ac:dyDescent="0.25">
      <c r="A6" s="397">
        <v>7</v>
      </c>
      <c r="B6" s="398">
        <v>4054409480</v>
      </c>
      <c r="C6" s="399" t="s">
        <v>355</v>
      </c>
      <c r="D6" s="280" t="s">
        <v>358</v>
      </c>
      <c r="E6" s="398" t="s">
        <v>1158</v>
      </c>
      <c r="F6" s="395" t="s">
        <v>17</v>
      </c>
      <c r="G6" s="381" t="s">
        <v>1207</v>
      </c>
      <c r="H6" s="390" t="str">
        <f t="shared" si="0"/>
        <v>Rétirédanslesdélais</v>
      </c>
      <c r="I6" s="381" t="s">
        <v>389</v>
      </c>
      <c r="J6" s="391">
        <v>45665</v>
      </c>
      <c r="K6" s="381"/>
      <c r="L6" s="381"/>
      <c r="M6" s="381"/>
      <c r="N6" s="381"/>
      <c r="O6" s="381"/>
      <c r="P6" s="381"/>
      <c r="Q6" s="381"/>
    </row>
    <row r="7" spans="1:152" s="346" customFormat="1" ht="15.75" x14ac:dyDescent="0.25">
      <c r="A7" s="397">
        <v>16</v>
      </c>
      <c r="B7" s="406">
        <v>4054418980</v>
      </c>
      <c r="C7" s="399" t="s">
        <v>355</v>
      </c>
      <c r="D7" s="280" t="s">
        <v>358</v>
      </c>
      <c r="E7" s="398" t="s">
        <v>1158</v>
      </c>
      <c r="F7" s="395" t="s">
        <v>17</v>
      </c>
      <c r="G7" s="381" t="s">
        <v>1207</v>
      </c>
      <c r="H7" s="390" t="str">
        <f t="shared" si="0"/>
        <v>Rétirédanslesdélais</v>
      </c>
      <c r="I7" s="381" t="s">
        <v>393</v>
      </c>
      <c r="J7" s="391">
        <v>45665</v>
      </c>
      <c r="K7" s="381"/>
      <c r="L7" s="381"/>
      <c r="M7" s="381"/>
      <c r="N7" s="381"/>
      <c r="O7" s="381"/>
      <c r="P7" s="381"/>
      <c r="Q7" s="381"/>
    </row>
    <row r="8" spans="1:152" s="346" customFormat="1" ht="15.75" x14ac:dyDescent="0.25">
      <c r="A8" s="397">
        <v>1</v>
      </c>
      <c r="B8" s="398">
        <v>4054395740</v>
      </c>
      <c r="C8" s="399" t="s">
        <v>355</v>
      </c>
      <c r="D8" s="280" t="s">
        <v>356</v>
      </c>
      <c r="E8" s="398" t="s">
        <v>1125</v>
      </c>
      <c r="F8" s="395" t="s">
        <v>17</v>
      </c>
      <c r="G8" s="381" t="s">
        <v>1207</v>
      </c>
      <c r="H8" s="390" t="str">
        <f t="shared" si="0"/>
        <v>Rétirédanslesdélais</v>
      </c>
      <c r="I8" s="381" t="s">
        <v>387</v>
      </c>
      <c r="J8" s="391">
        <v>45664</v>
      </c>
      <c r="K8" s="381"/>
      <c r="L8" s="381"/>
      <c r="M8" s="381"/>
      <c r="N8" s="381"/>
      <c r="O8" s="381"/>
      <c r="P8" s="381"/>
      <c r="Q8" s="381"/>
    </row>
    <row r="9" spans="1:152" s="346" customFormat="1" ht="15.75" x14ac:dyDescent="0.25">
      <c r="A9" s="397">
        <v>2</v>
      </c>
      <c r="B9" s="398">
        <v>4054395730</v>
      </c>
      <c r="C9" s="399" t="s">
        <v>355</v>
      </c>
      <c r="D9" s="280" t="s">
        <v>356</v>
      </c>
      <c r="E9" s="398" t="s">
        <v>1125</v>
      </c>
      <c r="F9" s="395" t="s">
        <v>17</v>
      </c>
      <c r="G9" s="381" t="s">
        <v>1207</v>
      </c>
      <c r="H9" s="390" t="str">
        <f t="shared" si="0"/>
        <v>Rétirédanslesdélais</v>
      </c>
      <c r="I9" s="381" t="s">
        <v>372</v>
      </c>
      <c r="J9" s="391">
        <v>45660</v>
      </c>
      <c r="K9" s="381"/>
      <c r="L9" s="381"/>
      <c r="M9" s="381"/>
      <c r="N9" s="381"/>
      <c r="O9" s="381"/>
      <c r="P9" s="381"/>
      <c r="Q9" s="381"/>
    </row>
    <row r="10" spans="1:152" s="346" customFormat="1" ht="15.75" x14ac:dyDescent="0.25">
      <c r="A10" s="397">
        <v>3</v>
      </c>
      <c r="B10" s="398">
        <v>4054396900</v>
      </c>
      <c r="C10" s="399" t="s">
        <v>355</v>
      </c>
      <c r="D10" s="280" t="s">
        <v>357</v>
      </c>
      <c r="E10" s="398" t="s">
        <v>1262</v>
      </c>
      <c r="F10" s="395" t="s">
        <v>17</v>
      </c>
      <c r="G10" s="381" t="s">
        <v>1207</v>
      </c>
      <c r="H10" s="390" t="str">
        <f t="shared" si="0"/>
        <v>Rétirédanslesdélais</v>
      </c>
      <c r="I10" s="381" t="s">
        <v>380</v>
      </c>
      <c r="J10" s="391">
        <v>45663</v>
      </c>
      <c r="K10" s="381"/>
      <c r="L10" s="381"/>
      <c r="M10" s="381"/>
      <c r="N10" s="381"/>
      <c r="O10" s="381"/>
      <c r="P10" s="381"/>
      <c r="Q10" s="381"/>
    </row>
    <row r="11" spans="1:152" ht="15.75" x14ac:dyDescent="0.25">
      <c r="A11" s="397">
        <v>4</v>
      </c>
      <c r="B11" s="398">
        <v>4054404580</v>
      </c>
      <c r="C11" s="399" t="s">
        <v>355</v>
      </c>
      <c r="D11" s="280" t="s">
        <v>357</v>
      </c>
      <c r="E11" s="398" t="s">
        <v>1262</v>
      </c>
      <c r="F11" s="395" t="s">
        <v>17</v>
      </c>
      <c r="G11" s="381" t="s">
        <v>1207</v>
      </c>
      <c r="H11" s="390" t="str">
        <f t="shared" si="0"/>
        <v>Rétirédanslesdélais</v>
      </c>
      <c r="I11" s="381" t="s">
        <v>379</v>
      </c>
      <c r="J11" s="391">
        <v>45663</v>
      </c>
      <c r="K11" s="381"/>
      <c r="L11" s="381"/>
      <c r="M11" s="381"/>
      <c r="N11" s="381"/>
      <c r="O11" s="381"/>
      <c r="P11" s="381"/>
      <c r="Q11" s="381"/>
    </row>
    <row r="12" spans="1:152" ht="15.75" x14ac:dyDescent="0.25">
      <c r="A12" s="397">
        <v>5</v>
      </c>
      <c r="B12" s="398">
        <v>4054404250</v>
      </c>
      <c r="C12" s="399" t="s">
        <v>355</v>
      </c>
      <c r="D12" s="280" t="s">
        <v>358</v>
      </c>
      <c r="E12" s="398" t="s">
        <v>1158</v>
      </c>
      <c r="F12" s="395" t="s">
        <v>17</v>
      </c>
      <c r="G12" s="381" t="s">
        <v>1207</v>
      </c>
      <c r="H12" s="390" t="str">
        <f t="shared" si="0"/>
        <v>Rétirédanslesdélais</v>
      </c>
      <c r="I12" s="381" t="s">
        <v>370</v>
      </c>
      <c r="J12" s="391">
        <v>45660</v>
      </c>
      <c r="K12" s="381"/>
      <c r="L12" s="381"/>
      <c r="M12" s="381"/>
      <c r="N12" s="381"/>
      <c r="O12" s="381"/>
      <c r="P12" s="381"/>
      <c r="Q12" s="381"/>
    </row>
    <row r="13" spans="1:152" ht="15.75" x14ac:dyDescent="0.25">
      <c r="A13" s="397">
        <v>8</v>
      </c>
      <c r="B13" s="398">
        <v>4054409490</v>
      </c>
      <c r="C13" s="399" t="s">
        <v>355</v>
      </c>
      <c r="D13" s="280" t="s">
        <v>356</v>
      </c>
      <c r="E13" s="398" t="s">
        <v>1144</v>
      </c>
      <c r="F13" s="395" t="s">
        <v>17</v>
      </c>
      <c r="G13" s="381" t="s">
        <v>1207</v>
      </c>
      <c r="H13" s="390" t="str">
        <f t="shared" si="0"/>
        <v>Rétirédanslesdélais</v>
      </c>
      <c r="I13" s="381" t="s">
        <v>392</v>
      </c>
      <c r="J13" s="391">
        <v>45658</v>
      </c>
      <c r="K13" s="381"/>
      <c r="L13" s="381"/>
      <c r="M13" s="381"/>
      <c r="N13" s="381"/>
      <c r="O13" s="381"/>
      <c r="P13" s="381"/>
      <c r="Q13" s="381"/>
    </row>
    <row r="14" spans="1:152" ht="15.75" x14ac:dyDescent="0.25">
      <c r="A14" s="397">
        <v>9</v>
      </c>
      <c r="B14" s="398">
        <v>4054409500</v>
      </c>
      <c r="C14" s="399" t="s">
        <v>355</v>
      </c>
      <c r="D14" s="280" t="s">
        <v>356</v>
      </c>
      <c r="E14" s="398" t="s">
        <v>1144</v>
      </c>
      <c r="F14" s="395" t="s">
        <v>17</v>
      </c>
      <c r="G14" s="381" t="s">
        <v>1207</v>
      </c>
      <c r="H14" s="390" t="str">
        <f t="shared" si="0"/>
        <v>Rétirédanslesdélais</v>
      </c>
      <c r="I14" s="381" t="s">
        <v>391</v>
      </c>
      <c r="J14" s="391">
        <v>45658</v>
      </c>
      <c r="K14" s="381"/>
      <c r="L14" s="381"/>
      <c r="M14" s="381"/>
      <c r="N14" s="381"/>
      <c r="O14" s="381"/>
      <c r="P14" s="381"/>
      <c r="Q14" s="381"/>
    </row>
    <row r="15" spans="1:152" ht="15.75" x14ac:dyDescent="0.25">
      <c r="A15" s="397">
        <v>10</v>
      </c>
      <c r="B15" s="398">
        <v>4054391360</v>
      </c>
      <c r="C15" s="399" t="s">
        <v>355</v>
      </c>
      <c r="D15" s="280" t="s">
        <v>359</v>
      </c>
      <c r="E15" s="398" t="s">
        <v>1433</v>
      </c>
      <c r="F15" s="395" t="s">
        <v>17</v>
      </c>
      <c r="G15" s="381" t="s">
        <v>1207</v>
      </c>
      <c r="H15" s="390" t="str">
        <f t="shared" si="0"/>
        <v>Rétirédanslesdélais</v>
      </c>
      <c r="I15" s="381" t="s">
        <v>381</v>
      </c>
      <c r="J15" s="391">
        <v>45663</v>
      </c>
      <c r="K15" s="381"/>
      <c r="L15" s="381"/>
      <c r="M15" s="381"/>
      <c r="N15" s="381"/>
      <c r="O15" s="381"/>
      <c r="P15" s="381"/>
      <c r="Q15" s="381"/>
    </row>
    <row r="16" spans="1:152" ht="15.75" x14ac:dyDescent="0.25">
      <c r="A16" s="397">
        <v>11</v>
      </c>
      <c r="B16" s="398">
        <v>4054393520</v>
      </c>
      <c r="C16" s="399" t="s">
        <v>355</v>
      </c>
      <c r="D16" s="280" t="s">
        <v>357</v>
      </c>
      <c r="E16" s="398" t="s">
        <v>1363</v>
      </c>
      <c r="F16" s="395" t="s">
        <v>17</v>
      </c>
      <c r="G16" s="381" t="s">
        <v>1207</v>
      </c>
      <c r="H16" s="390" t="str">
        <f t="shared" si="0"/>
        <v>Rétirédanslesdélais</v>
      </c>
      <c r="I16" s="381" t="s">
        <v>385</v>
      </c>
      <c r="J16" s="391">
        <v>45664</v>
      </c>
      <c r="K16" s="381"/>
      <c r="L16" s="381"/>
      <c r="M16" s="381"/>
      <c r="N16" s="381"/>
      <c r="O16" s="381"/>
      <c r="P16" s="381"/>
      <c r="Q16" s="381"/>
    </row>
    <row r="17" spans="1:17" ht="15.75" x14ac:dyDescent="0.25">
      <c r="A17" s="397">
        <v>15</v>
      </c>
      <c r="B17" s="398">
        <v>4054404880</v>
      </c>
      <c r="C17" s="399" t="s">
        <v>355</v>
      </c>
      <c r="D17" s="280" t="s">
        <v>358</v>
      </c>
      <c r="E17" s="398" t="s">
        <v>1158</v>
      </c>
      <c r="F17" s="395" t="s">
        <v>17</v>
      </c>
      <c r="G17" s="381" t="s">
        <v>1207</v>
      </c>
      <c r="H17" s="390" t="str">
        <f t="shared" si="0"/>
        <v>Rétirédanslesdélais</v>
      </c>
      <c r="I17" s="381" t="s">
        <v>382</v>
      </c>
      <c r="J17" s="391">
        <v>45663</v>
      </c>
      <c r="K17" s="381"/>
      <c r="L17" s="381"/>
      <c r="M17" s="381"/>
      <c r="N17" s="381"/>
      <c r="O17" s="381"/>
      <c r="P17" s="381"/>
      <c r="Q17" s="381"/>
    </row>
    <row r="18" spans="1:17" ht="15.75" x14ac:dyDescent="0.25">
      <c r="A18" s="397">
        <v>17</v>
      </c>
      <c r="B18" s="406">
        <v>4054419000</v>
      </c>
      <c r="C18" s="399" t="s">
        <v>355</v>
      </c>
      <c r="D18" s="280" t="s">
        <v>358</v>
      </c>
      <c r="E18" s="398" t="s">
        <v>1158</v>
      </c>
      <c r="F18" s="395" t="s">
        <v>17</v>
      </c>
      <c r="G18" s="381" t="s">
        <v>1207</v>
      </c>
      <c r="H18" s="390" t="str">
        <f t="shared" si="0"/>
        <v>Rétirédanslesdélais</v>
      </c>
      <c r="I18" s="381" t="s">
        <v>394</v>
      </c>
      <c r="J18" s="391">
        <v>45665</v>
      </c>
      <c r="K18" s="381"/>
      <c r="L18" s="381"/>
      <c r="M18" s="381"/>
      <c r="N18" s="381"/>
      <c r="O18" s="381"/>
      <c r="P18" s="381"/>
      <c r="Q18" s="381"/>
    </row>
    <row r="19" spans="1:17" ht="15.75" x14ac:dyDescent="0.25">
      <c r="A19" s="397">
        <v>18</v>
      </c>
      <c r="B19" s="398">
        <v>4054401850</v>
      </c>
      <c r="C19" s="399" t="s">
        <v>355</v>
      </c>
      <c r="D19" s="280" t="s">
        <v>357</v>
      </c>
      <c r="E19" s="398" t="s">
        <v>1363</v>
      </c>
      <c r="F19" s="395" t="s">
        <v>17</v>
      </c>
      <c r="G19" s="381" t="s">
        <v>1207</v>
      </c>
      <c r="H19" s="390" t="str">
        <f t="shared" si="0"/>
        <v>Rétirédanslesdélais</v>
      </c>
      <c r="I19" s="381" t="s">
        <v>386</v>
      </c>
      <c r="J19" s="391">
        <v>45664</v>
      </c>
      <c r="K19" s="381"/>
      <c r="L19" s="381"/>
      <c r="M19" s="381"/>
      <c r="N19" s="381"/>
      <c r="O19" s="381"/>
      <c r="P19" s="381"/>
      <c r="Q19" s="381"/>
    </row>
    <row r="20" spans="1:17" ht="15.75" x14ac:dyDescent="0.25">
      <c r="A20" s="397">
        <v>12</v>
      </c>
      <c r="B20" s="398">
        <v>4054418770</v>
      </c>
      <c r="C20" s="400" t="s">
        <v>360</v>
      </c>
      <c r="D20" s="280" t="s">
        <v>360</v>
      </c>
      <c r="E20" s="398" t="s">
        <v>274</v>
      </c>
      <c r="F20" s="395" t="s">
        <v>1434</v>
      </c>
      <c r="G20" s="381" t="s">
        <v>1094</v>
      </c>
      <c r="H20" s="420" t="str">
        <f t="shared" si="0"/>
        <v>Rétirétardivement-30000FCFAamende</v>
      </c>
      <c r="I20" s="381" t="s">
        <v>415</v>
      </c>
      <c r="J20" s="391">
        <v>45674</v>
      </c>
      <c r="K20" s="381"/>
      <c r="L20" s="381"/>
      <c r="M20" s="381"/>
      <c r="N20" s="381"/>
      <c r="O20" s="381"/>
      <c r="P20" s="381"/>
      <c r="Q20" s="381"/>
    </row>
    <row r="21" spans="1:17" ht="15.75" x14ac:dyDescent="0.25">
      <c r="A21" s="397">
        <v>13</v>
      </c>
      <c r="B21" s="398">
        <v>4054418690</v>
      </c>
      <c r="C21" s="400" t="s">
        <v>360</v>
      </c>
      <c r="D21" s="280" t="s">
        <v>360</v>
      </c>
      <c r="E21" s="398" t="s">
        <v>274</v>
      </c>
      <c r="F21" s="395" t="s">
        <v>1434</v>
      </c>
      <c r="G21" s="381" t="s">
        <v>1094</v>
      </c>
      <c r="H21" s="420" t="str">
        <f t="shared" si="0"/>
        <v>Rétirétardivement-30000FCFAamende</v>
      </c>
      <c r="I21" s="381" t="s">
        <v>416</v>
      </c>
      <c r="J21" s="391">
        <v>45674</v>
      </c>
      <c r="K21" s="381"/>
      <c r="L21" s="381"/>
      <c r="M21" s="381"/>
      <c r="N21" s="381"/>
      <c r="O21" s="381"/>
      <c r="P21" s="381"/>
      <c r="Q21" s="381"/>
    </row>
    <row r="22" spans="1:17" ht="15.75" x14ac:dyDescent="0.25">
      <c r="A22" s="397">
        <v>14</v>
      </c>
      <c r="B22" s="398">
        <v>4054418810</v>
      </c>
      <c r="C22" s="400" t="s">
        <v>360</v>
      </c>
      <c r="D22" s="280" t="s">
        <v>360</v>
      </c>
      <c r="E22" s="398" t="s">
        <v>274</v>
      </c>
      <c r="F22" s="395" t="s">
        <v>1434</v>
      </c>
      <c r="G22" s="381" t="s">
        <v>1094</v>
      </c>
      <c r="H22" s="420" t="str">
        <f t="shared" si="0"/>
        <v>Rétirétardivement-30000FCFAamende</v>
      </c>
      <c r="I22" s="381" t="s">
        <v>417</v>
      </c>
      <c r="J22" s="391">
        <v>45674</v>
      </c>
      <c r="K22" s="381"/>
      <c r="L22" s="381"/>
      <c r="M22" s="381"/>
      <c r="N22" s="381"/>
      <c r="O22" s="381"/>
      <c r="P22" s="381"/>
      <c r="Q22" s="381"/>
    </row>
    <row r="23" spans="1:17" ht="15.75" x14ac:dyDescent="0.25">
      <c r="A23" s="397">
        <v>19</v>
      </c>
      <c r="B23" s="398">
        <v>4054418780</v>
      </c>
      <c r="C23" s="400" t="s">
        <v>360</v>
      </c>
      <c r="D23" s="280" t="s">
        <v>360</v>
      </c>
      <c r="E23" s="398" t="s">
        <v>274</v>
      </c>
      <c r="F23" s="395" t="s">
        <v>1434</v>
      </c>
      <c r="G23" s="381" t="s">
        <v>1094</v>
      </c>
      <c r="H23" s="420" t="str">
        <f t="shared" si="0"/>
        <v>Rétirétardivement-30000FCFAamende</v>
      </c>
      <c r="I23" s="381" t="s">
        <v>418</v>
      </c>
      <c r="J23" s="391">
        <v>45674</v>
      </c>
      <c r="K23" s="381"/>
      <c r="L23" s="381"/>
      <c r="M23" s="381"/>
      <c r="N23" s="381"/>
      <c r="O23" s="381"/>
      <c r="P23" s="381"/>
      <c r="Q23" s="381"/>
    </row>
    <row r="30" spans="1:17" x14ac:dyDescent="0.25">
      <c r="B30" s="405"/>
    </row>
    <row r="31" spans="1:17" x14ac:dyDescent="0.25">
      <c r="B31" s="405"/>
    </row>
    <row r="32" spans="1:17" x14ac:dyDescent="0.25">
      <c r="B32" s="405"/>
    </row>
    <row r="33" spans="2:2" x14ac:dyDescent="0.25">
      <c r="B33" s="405"/>
    </row>
  </sheetData>
  <autoFilter ref="A4:Q23" xr:uid="{D559034C-E1A8-4788-A336-55187472940D}">
    <filterColumn colId="13" showButton="0"/>
    <filterColumn colId="14" showButton="0"/>
    <filterColumn colId="15" showButton="0"/>
  </autoFilter>
  <mergeCells count="3">
    <mergeCell ref="H1:J1"/>
    <mergeCell ref="A2:B2"/>
    <mergeCell ref="N4:Q4"/>
  </mergeCells>
  <conditionalFormatting sqref="B1:B4">
    <cfRule type="duplicateValues" dxfId="887" priority="10"/>
  </conditionalFormatting>
  <conditionalFormatting sqref="B1:B33 B47:B1048576">
    <cfRule type="duplicateValues" dxfId="886" priority="1"/>
    <cfRule type="duplicateValues" dxfId="885" priority="3"/>
  </conditionalFormatting>
  <conditionalFormatting sqref="B13:B33 B1:B4 B47:B1048576">
    <cfRule type="duplicateValues" dxfId="884" priority="6"/>
    <cfRule type="duplicateValues" dxfId="883" priority="7"/>
    <cfRule type="duplicateValues" dxfId="882" priority="9"/>
  </conditionalFormatting>
  <conditionalFormatting sqref="B15:B33 B47:B1048576">
    <cfRule type="duplicateValues" dxfId="881" priority="8"/>
  </conditionalFormatting>
  <conditionalFormatting sqref="H5:H23">
    <cfRule type="containsText" dxfId="880" priority="4" operator="containsText" text="En Attente d'un Retrait Tardif">
      <formula>NOT(ISERROR(SEARCH("En Attente d'un Retrait Tardif",H5)))</formula>
    </cfRule>
    <cfRule type="containsText" dxfId="879" priority="5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3BBF-1394-4E5E-93FC-0B71EF38234C}">
  <sheetPr codeName="Feuil47">
    <tabColor theme="5" tint="-0.249977111117893"/>
  </sheetPr>
  <dimension ref="A1:Q85"/>
  <sheetViews>
    <sheetView zoomScaleNormal="100" workbookViewId="0">
      <selection activeCell="B4" sqref="B4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43.5703125" style="292" customWidth="1"/>
    <col min="6" max="6" width="23.7109375" style="292" customWidth="1"/>
    <col min="7" max="7" width="23.140625" style="292" customWidth="1"/>
    <col min="8" max="8" width="37.28515625" customWidth="1"/>
    <col min="9" max="9" width="17.28515625" customWidth="1"/>
    <col min="10" max="10" width="16.42578125" style="208" customWidth="1"/>
    <col min="11" max="12" width="11.42578125" style="208" customWidth="1"/>
    <col min="13" max="13" width="29" style="208" customWidth="1"/>
    <col min="14" max="17" width="3.42578125" customWidth="1"/>
  </cols>
  <sheetData>
    <row r="1" spans="1:17" ht="19.5" thickBot="1" x14ac:dyDescent="0.35">
      <c r="A1" s="348" t="s">
        <v>1435</v>
      </c>
      <c r="B1" s="98"/>
      <c r="C1" s="98"/>
      <c r="D1" s="98"/>
      <c r="E1" s="288"/>
      <c r="F1" s="288"/>
      <c r="G1" s="288"/>
      <c r="H1" s="729"/>
      <c r="I1" s="729"/>
      <c r="J1" s="729"/>
    </row>
    <row r="2" spans="1:17" ht="24" thickBot="1" x14ac:dyDescent="0.3">
      <c r="A2" s="730" t="s">
        <v>0</v>
      </c>
      <c r="B2" s="730"/>
      <c r="C2" s="24"/>
      <c r="D2" s="24"/>
      <c r="E2" s="25"/>
      <c r="F2" s="358">
        <f ca="1">J2-H2</f>
        <v>475</v>
      </c>
      <c r="G2" s="25"/>
      <c r="H2" s="314">
        <v>45621</v>
      </c>
      <c r="I2" s="365">
        <f ca="1">J2-H2</f>
        <v>475</v>
      </c>
      <c r="J2" s="315">
        <f ca="1">TODAY()</f>
        <v>46096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ht="20.25" customHeight="1" x14ac:dyDescent="0.25">
      <c r="A5" s="275">
        <v>1</v>
      </c>
      <c r="B5" s="275">
        <v>4054322380</v>
      </c>
      <c r="C5" s="275"/>
      <c r="D5" s="275"/>
      <c r="E5" s="275" t="s">
        <v>264</v>
      </c>
      <c r="F5" s="275" t="s">
        <v>1418</v>
      </c>
      <c r="G5" s="275" t="s">
        <v>1207</v>
      </c>
      <c r="H5" s="390" t="str">
        <f>IF(J5="",IF($F$2&lt;=15,"EnattentedeRetrait","EnAttented'unRetraitTardif"),IF(J5-$H$2&lt;=15,"Rétirédanslesdélais",IF(J5-$H$2&gt;15,"Rétirétardivement-30000FCFAamende")))</f>
        <v>Rétirédanslesdélais</v>
      </c>
      <c r="I5" s="275" t="s">
        <v>276</v>
      </c>
      <c r="J5" s="354">
        <v>45636</v>
      </c>
      <c r="K5" s="344"/>
      <c r="L5" s="344"/>
      <c r="M5" s="344"/>
      <c r="N5" s="732"/>
      <c r="O5" s="732"/>
      <c r="P5" s="732"/>
      <c r="Q5" s="732"/>
    </row>
    <row r="6" spans="1:17" ht="20.25" customHeight="1" x14ac:dyDescent="0.25">
      <c r="A6" s="275">
        <v>2</v>
      </c>
      <c r="B6" s="275">
        <v>4054320700</v>
      </c>
      <c r="C6" s="275"/>
      <c r="D6" s="275"/>
      <c r="E6" s="275" t="s">
        <v>1436</v>
      </c>
      <c r="F6" s="275" t="s">
        <v>1418</v>
      </c>
      <c r="G6" s="275" t="s">
        <v>1207</v>
      </c>
      <c r="H6" s="390" t="str">
        <f>IF(J6="",IF($F$2&lt;=15,"EnattentedeRetrait","EnAttented'unRetraitTardif"),IF(J6-$H$2&lt;=15,"Rétirédanslesdélais",IF(J6-$H$2&gt;15,"Rétirétardivement-30000FCFAamende")))</f>
        <v>Rétirédanslesdélais</v>
      </c>
      <c r="I6" s="275" t="s">
        <v>310</v>
      </c>
      <c r="J6" s="354">
        <v>45624</v>
      </c>
      <c r="K6" s="344"/>
      <c r="L6" s="344"/>
      <c r="M6" s="344"/>
      <c r="N6" s="732"/>
      <c r="O6" s="732"/>
      <c r="P6" s="732"/>
      <c r="Q6" s="732"/>
    </row>
    <row r="7" spans="1:17" ht="18.75" x14ac:dyDescent="0.3">
      <c r="B7" s="370"/>
    </row>
    <row r="8" spans="1:17" ht="18.75" x14ac:dyDescent="0.3">
      <c r="B8" s="370"/>
      <c r="H8" s="409"/>
      <c r="I8" s="409"/>
    </row>
    <row r="9" spans="1:17" x14ac:dyDescent="0.25">
      <c r="B9" s="292"/>
    </row>
    <row r="10" spans="1:17" x14ac:dyDescent="0.25">
      <c r="B10" s="292"/>
    </row>
    <row r="11" spans="1:17" x14ac:dyDescent="0.25">
      <c r="B11" s="292"/>
    </row>
    <row r="12" spans="1:17" x14ac:dyDescent="0.25">
      <c r="B12" s="292"/>
    </row>
    <row r="13" spans="1:17" x14ac:dyDescent="0.25">
      <c r="B13" s="292"/>
    </row>
    <row r="14" spans="1:17" x14ac:dyDescent="0.25">
      <c r="B14" s="292"/>
    </row>
    <row r="15" spans="1:17" x14ac:dyDescent="0.25">
      <c r="B15" s="292"/>
    </row>
    <row r="16" spans="1:17" x14ac:dyDescent="0.25">
      <c r="B16" s="292"/>
    </row>
    <row r="17" spans="2:2" x14ac:dyDescent="0.25">
      <c r="B17" s="292"/>
    </row>
    <row r="18" spans="2:2" x14ac:dyDescent="0.25">
      <c r="B18" s="292"/>
    </row>
    <row r="19" spans="2:2" x14ac:dyDescent="0.25">
      <c r="B19" s="292"/>
    </row>
    <row r="20" spans="2:2" x14ac:dyDescent="0.25">
      <c r="B20" s="292"/>
    </row>
    <row r="21" spans="2:2" x14ac:dyDescent="0.25">
      <c r="B21" s="292"/>
    </row>
    <row r="22" spans="2:2" x14ac:dyDescent="0.25">
      <c r="B22" s="292"/>
    </row>
    <row r="23" spans="2:2" x14ac:dyDescent="0.25">
      <c r="B23" s="292"/>
    </row>
    <row r="24" spans="2:2" x14ac:dyDescent="0.25">
      <c r="B24" s="292"/>
    </row>
    <row r="25" spans="2:2" x14ac:dyDescent="0.25">
      <c r="B25" s="292"/>
    </row>
    <row r="26" spans="2:2" x14ac:dyDescent="0.25">
      <c r="B26" s="292"/>
    </row>
    <row r="27" spans="2:2" x14ac:dyDescent="0.25">
      <c r="B27" s="292"/>
    </row>
    <row r="28" spans="2:2" x14ac:dyDescent="0.25">
      <c r="B28" s="292"/>
    </row>
    <row r="29" spans="2:2" x14ac:dyDescent="0.25">
      <c r="B29" s="292"/>
    </row>
    <row r="30" spans="2:2" x14ac:dyDescent="0.25">
      <c r="B30" s="292"/>
    </row>
    <row r="31" spans="2:2" x14ac:dyDescent="0.25">
      <c r="B31" s="292"/>
    </row>
    <row r="32" spans="2:2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</sheetData>
  <mergeCells count="5">
    <mergeCell ref="N5:Q5"/>
    <mergeCell ref="H1:J1"/>
    <mergeCell ref="A2:B2"/>
    <mergeCell ref="N4:Q4"/>
    <mergeCell ref="N6:Q6"/>
  </mergeCells>
  <conditionalFormatting sqref="B7:B8">
    <cfRule type="duplicateValues" dxfId="878" priority="669"/>
  </conditionalFormatting>
  <conditionalFormatting sqref="H5:H6">
    <cfRule type="containsText" dxfId="877" priority="1" operator="containsText" text="En Attente d'un Retrait Tardif">
      <formula>NOT(ISERROR(SEARCH("En Attente d'un Retrait Tardif",H5)))</formula>
    </cfRule>
    <cfRule type="containsText" dxfId="876" priority="2" operator="containsText" text="Rétiré dans les délais">
      <formula>NOT(ISERROR(SEARCH("Rétiré dans les délais",H5)))</formula>
    </cfRule>
  </conditionalFormatting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79AC-7209-4BB8-9C4A-9DF49CBF4237}">
  <sheetPr codeName="Feuil48">
    <tabColor theme="5" tint="-0.249977111117893"/>
  </sheetPr>
  <dimension ref="A1:Q89"/>
  <sheetViews>
    <sheetView zoomScaleNormal="100" workbookViewId="0">
      <selection activeCell="H25" sqref="H25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43.5703125" style="292" customWidth="1"/>
    <col min="6" max="6" width="23.7109375" style="292" customWidth="1"/>
    <col min="7" max="7" width="35" style="292" customWidth="1"/>
    <col min="8" max="8" width="37.28515625" customWidth="1"/>
    <col min="9" max="9" width="17.28515625" customWidth="1"/>
    <col min="10" max="10" width="16.42578125" style="208" customWidth="1"/>
    <col min="11" max="12" width="11.42578125" style="208" customWidth="1"/>
    <col min="13" max="13" width="29" style="208" customWidth="1"/>
    <col min="14" max="17" width="3.42578125" customWidth="1"/>
  </cols>
  <sheetData>
    <row r="1" spans="1:17" ht="19.5" thickBot="1" x14ac:dyDescent="0.35">
      <c r="A1" s="348" t="s">
        <v>1437</v>
      </c>
      <c r="B1" s="98"/>
      <c r="C1" s="98"/>
      <c r="D1" s="98"/>
      <c r="E1" s="288"/>
      <c r="F1" s="288"/>
      <c r="G1" s="288"/>
      <c r="H1" s="729"/>
      <c r="I1" s="729"/>
      <c r="J1" s="729"/>
    </row>
    <row r="2" spans="1:17" ht="24" thickBot="1" x14ac:dyDescent="0.3">
      <c r="A2" s="730" t="s">
        <v>0</v>
      </c>
      <c r="B2" s="730"/>
      <c r="C2" s="24"/>
      <c r="D2" s="24"/>
      <c r="E2" s="25"/>
      <c r="F2" s="358">
        <f ca="1">J2-H2</f>
        <v>476</v>
      </c>
      <c r="G2" s="25"/>
      <c r="H2" s="314">
        <v>45620</v>
      </c>
      <c r="I2" s="365">
        <f ca="1">J2-H2</f>
        <v>476</v>
      </c>
      <c r="J2" s="315">
        <f ca="1">TODAY()</f>
        <v>46096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ht="20.25" customHeight="1" x14ac:dyDescent="0.25">
      <c r="A5" s="275">
        <v>1</v>
      </c>
      <c r="B5" s="275">
        <v>4054341070</v>
      </c>
      <c r="C5" s="275"/>
      <c r="D5" s="275"/>
      <c r="E5" s="275" t="s">
        <v>1122</v>
      </c>
      <c r="F5" s="275" t="s">
        <v>1065</v>
      </c>
      <c r="G5" s="275" t="s">
        <v>1207</v>
      </c>
      <c r="H5" s="390" t="str">
        <f t="shared" ref="H5:H12" si="0">IF(J5="",IF($F$2&lt;=15,"EnattentedeRetrait","EnAttented'unRetraitTardif"),IF(J5-$H$2&lt;=15,"Rétirédanslesdélais",IF(J5-$H$2&gt;15,"Rétirétardivement-30000FCFAamende")))</f>
        <v>Rétirédanslesdélais</v>
      </c>
      <c r="I5" s="275" t="s">
        <v>309</v>
      </c>
      <c r="J5" s="354">
        <v>45625</v>
      </c>
      <c r="K5" s="344"/>
      <c r="L5" s="344"/>
      <c r="M5" s="344"/>
      <c r="N5" s="732"/>
      <c r="O5" s="732"/>
      <c r="P5" s="732"/>
      <c r="Q5" s="732"/>
    </row>
    <row r="6" spans="1:17" ht="20.25" customHeight="1" x14ac:dyDescent="0.25">
      <c r="A6" s="275">
        <v>2</v>
      </c>
      <c r="B6" s="275">
        <v>4054341071</v>
      </c>
      <c r="C6" s="275"/>
      <c r="D6" s="275"/>
      <c r="E6" s="275" t="s">
        <v>1122</v>
      </c>
      <c r="F6" s="275" t="s">
        <v>1065</v>
      </c>
      <c r="G6" s="275" t="s">
        <v>1207</v>
      </c>
      <c r="H6" s="390" t="str">
        <f t="shared" si="0"/>
        <v>Rétirédanslesdélais</v>
      </c>
      <c r="I6" s="275" t="s">
        <v>305</v>
      </c>
      <c r="J6" s="354">
        <v>45623</v>
      </c>
      <c r="K6" s="344"/>
      <c r="L6" s="344"/>
      <c r="M6" s="344"/>
      <c r="N6" s="732"/>
      <c r="O6" s="732"/>
      <c r="P6" s="732"/>
      <c r="Q6" s="732"/>
    </row>
    <row r="7" spans="1:17" ht="20.25" customHeight="1" x14ac:dyDescent="0.25">
      <c r="A7" s="275">
        <v>3</v>
      </c>
      <c r="B7" s="275">
        <v>2154024590</v>
      </c>
      <c r="C7" s="275"/>
      <c r="D7" s="275"/>
      <c r="E7" s="275" t="s">
        <v>1117</v>
      </c>
      <c r="F7" s="275" t="s">
        <v>1065</v>
      </c>
      <c r="G7" s="275" t="s">
        <v>1207</v>
      </c>
      <c r="H7" s="390" t="str">
        <f t="shared" si="0"/>
        <v>Rétirédanslesdélais</v>
      </c>
      <c r="I7" s="275" t="s">
        <v>307</v>
      </c>
      <c r="J7" s="354">
        <v>45624</v>
      </c>
      <c r="K7" s="344"/>
      <c r="L7" s="344"/>
      <c r="M7" s="344"/>
      <c r="N7" s="732"/>
      <c r="O7" s="732"/>
      <c r="P7" s="732"/>
      <c r="Q7" s="732"/>
    </row>
    <row r="8" spans="1:17" ht="20.25" customHeight="1" x14ac:dyDescent="0.25">
      <c r="A8" s="275">
        <v>4</v>
      </c>
      <c r="B8" s="275">
        <v>2153813180</v>
      </c>
      <c r="C8" s="275"/>
      <c r="D8" s="275"/>
      <c r="E8" s="275" t="s">
        <v>1334</v>
      </c>
      <c r="F8" s="275" t="s">
        <v>1065</v>
      </c>
      <c r="G8" s="275" t="s">
        <v>1143</v>
      </c>
      <c r="H8" s="390" t="str">
        <f t="shared" si="0"/>
        <v>Rétirédanslesdélais</v>
      </c>
      <c r="I8" s="275" t="s">
        <v>302</v>
      </c>
      <c r="J8" s="354">
        <v>45622</v>
      </c>
      <c r="K8" s="344"/>
      <c r="L8" s="344"/>
      <c r="M8" s="344"/>
      <c r="N8" s="732"/>
      <c r="O8" s="732"/>
      <c r="P8" s="732"/>
      <c r="Q8" s="732"/>
    </row>
    <row r="9" spans="1:17" ht="20.25" customHeight="1" x14ac:dyDescent="0.25">
      <c r="A9" s="275">
        <v>5</v>
      </c>
      <c r="B9" s="275">
        <v>4054341080</v>
      </c>
      <c r="C9" s="275"/>
      <c r="D9" s="275"/>
      <c r="E9" s="275" t="s">
        <v>1122</v>
      </c>
      <c r="F9" s="275" t="s">
        <v>1065</v>
      </c>
      <c r="G9" s="275" t="s">
        <v>1207</v>
      </c>
      <c r="H9" s="390" t="str">
        <f t="shared" si="0"/>
        <v>Rétirédanslesdélais</v>
      </c>
      <c r="I9" s="275" t="s">
        <v>304</v>
      </c>
      <c r="J9" s="354">
        <v>45623</v>
      </c>
      <c r="K9" s="344"/>
      <c r="L9" s="344"/>
      <c r="M9" s="344"/>
      <c r="N9" s="732"/>
      <c r="O9" s="732"/>
      <c r="P9" s="732"/>
      <c r="Q9" s="732"/>
    </row>
    <row r="10" spans="1:17" ht="20.25" customHeight="1" x14ac:dyDescent="0.25">
      <c r="A10" s="275">
        <v>6</v>
      </c>
      <c r="B10" s="275">
        <v>4054291630</v>
      </c>
      <c r="C10" s="275"/>
      <c r="D10" s="275"/>
      <c r="E10" s="275" t="s">
        <v>1075</v>
      </c>
      <c r="F10" s="275" t="s">
        <v>1065</v>
      </c>
      <c r="G10" s="275" t="s">
        <v>1207</v>
      </c>
      <c r="H10" s="390" t="str">
        <f t="shared" si="0"/>
        <v>Rétirédanslesdélais</v>
      </c>
      <c r="I10" s="275" t="s">
        <v>303</v>
      </c>
      <c r="J10" s="354">
        <v>45623</v>
      </c>
      <c r="K10" s="344"/>
      <c r="L10" s="344"/>
      <c r="M10" s="344"/>
      <c r="N10" s="732"/>
      <c r="O10" s="732"/>
      <c r="P10" s="732"/>
      <c r="Q10" s="732"/>
    </row>
    <row r="11" spans="1:17" s="292" customFormat="1" ht="20.25" customHeight="1" x14ac:dyDescent="0.2">
      <c r="A11" s="275">
        <v>7</v>
      </c>
      <c r="B11" s="275">
        <v>4054330170</v>
      </c>
      <c r="C11" s="275"/>
      <c r="D11" s="275"/>
      <c r="E11" s="275" t="s">
        <v>1076</v>
      </c>
      <c r="F11" s="275" t="s">
        <v>1065</v>
      </c>
      <c r="G11" s="275" t="s">
        <v>1207</v>
      </c>
      <c r="H11" s="390" t="str">
        <f t="shared" si="0"/>
        <v>Rétirédanslesdélais</v>
      </c>
      <c r="I11" s="275" t="s">
        <v>308</v>
      </c>
      <c r="J11" s="354">
        <v>45624</v>
      </c>
      <c r="K11" s="344"/>
      <c r="L11" s="344"/>
      <c r="M11" s="344"/>
      <c r="N11" s="732"/>
      <c r="O11" s="732"/>
      <c r="P11" s="732"/>
      <c r="Q11" s="732"/>
    </row>
    <row r="12" spans="1:17" s="292" customFormat="1" ht="20.25" customHeight="1" x14ac:dyDescent="0.2">
      <c r="A12" s="275">
        <v>8</v>
      </c>
      <c r="B12" s="275">
        <v>4054276930</v>
      </c>
      <c r="C12" s="275"/>
      <c r="D12" s="275"/>
      <c r="E12" s="275" t="s">
        <v>1438</v>
      </c>
      <c r="F12" s="375" t="s">
        <v>1418</v>
      </c>
      <c r="G12" s="275" t="s">
        <v>1207</v>
      </c>
      <c r="H12" s="390" t="str">
        <f t="shared" si="0"/>
        <v>Rétirédanslesdélais</v>
      </c>
      <c r="I12" s="275" t="s">
        <v>306</v>
      </c>
      <c r="J12" s="354">
        <v>45623</v>
      </c>
      <c r="K12" s="344"/>
      <c r="L12" s="344"/>
      <c r="M12" s="344"/>
      <c r="N12" s="732"/>
      <c r="O12" s="732"/>
      <c r="P12" s="732"/>
      <c r="Q12" s="732"/>
    </row>
    <row r="13" spans="1:17" s="23" customFormat="1" x14ac:dyDescent="0.25">
      <c r="B13" s="294"/>
      <c r="E13" s="294"/>
      <c r="F13" s="294"/>
      <c r="G13" s="294"/>
      <c r="J13" s="379"/>
      <c r="K13" s="379"/>
      <c r="L13" s="379"/>
      <c r="M13" s="379"/>
    </row>
    <row r="14" spans="1:17" s="23" customFormat="1" x14ac:dyDescent="0.25">
      <c r="B14" s="294"/>
      <c r="E14" s="294"/>
      <c r="F14" s="294"/>
      <c r="G14" s="294"/>
      <c r="J14" s="379"/>
      <c r="K14" s="379"/>
      <c r="L14" s="379"/>
      <c r="M14" s="379"/>
    </row>
    <row r="15" spans="1:17" s="23" customFormat="1" x14ac:dyDescent="0.25">
      <c r="B15" s="294"/>
      <c r="E15" s="294"/>
      <c r="F15" s="294"/>
      <c r="G15" s="294"/>
      <c r="J15" s="379"/>
      <c r="K15" s="379"/>
      <c r="L15" s="379"/>
      <c r="M15" s="379"/>
    </row>
    <row r="16" spans="1:17" s="23" customFormat="1" x14ac:dyDescent="0.25">
      <c r="B16" s="294"/>
      <c r="E16" s="294"/>
      <c r="F16" s="294"/>
      <c r="G16" s="294"/>
      <c r="J16" s="379"/>
      <c r="K16" s="379"/>
      <c r="L16" s="379"/>
      <c r="M16" s="379"/>
    </row>
    <row r="17" spans="2:13" s="23" customFormat="1" x14ac:dyDescent="0.25">
      <c r="B17" s="294"/>
      <c r="E17" s="294"/>
      <c r="F17" s="294"/>
      <c r="G17" s="294"/>
      <c r="J17" s="379"/>
      <c r="K17" s="379"/>
      <c r="L17" s="379"/>
      <c r="M17" s="379"/>
    </row>
    <row r="18" spans="2:13" x14ac:dyDescent="0.25">
      <c r="B18" s="292"/>
    </row>
    <row r="19" spans="2:13" x14ac:dyDescent="0.25">
      <c r="B19" s="292"/>
    </row>
    <row r="20" spans="2:13" x14ac:dyDescent="0.25">
      <c r="B20" s="292"/>
    </row>
    <row r="21" spans="2:13" x14ac:dyDescent="0.25">
      <c r="B21" s="292"/>
    </row>
    <row r="22" spans="2:13" x14ac:dyDescent="0.25">
      <c r="B22" s="292"/>
    </row>
    <row r="23" spans="2:13" x14ac:dyDescent="0.25">
      <c r="B23" s="292"/>
    </row>
    <row r="24" spans="2:13" x14ac:dyDescent="0.25">
      <c r="B24" s="292"/>
    </row>
    <row r="25" spans="2:13" x14ac:dyDescent="0.25">
      <c r="B25" s="292"/>
    </row>
    <row r="26" spans="2:13" x14ac:dyDescent="0.25">
      <c r="B26" s="292"/>
    </row>
    <row r="27" spans="2:13" x14ac:dyDescent="0.25">
      <c r="B27" s="292"/>
    </row>
    <row r="28" spans="2:13" x14ac:dyDescent="0.25">
      <c r="B28" s="292"/>
    </row>
    <row r="29" spans="2:13" x14ac:dyDescent="0.25">
      <c r="B29" s="292"/>
    </row>
    <row r="30" spans="2:13" x14ac:dyDescent="0.25">
      <c r="B30" s="292"/>
    </row>
    <row r="31" spans="2:13" x14ac:dyDescent="0.25">
      <c r="B31" s="292"/>
    </row>
    <row r="32" spans="2:13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</sheetData>
  <autoFilter ref="A4:Q11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0">
      <sortCondition ref="E4"/>
    </sortState>
  </autoFilter>
  <mergeCells count="11">
    <mergeCell ref="N11:Q11"/>
    <mergeCell ref="N12:Q12"/>
    <mergeCell ref="N9:Q9"/>
    <mergeCell ref="N7:Q7"/>
    <mergeCell ref="N8:Q8"/>
    <mergeCell ref="N10:Q10"/>
    <mergeCell ref="H1:J1"/>
    <mergeCell ref="A2:B2"/>
    <mergeCell ref="N4:Q4"/>
    <mergeCell ref="N5:Q5"/>
    <mergeCell ref="N6:Q6"/>
  </mergeCells>
  <conditionalFormatting sqref="H5:H12">
    <cfRule type="containsText" dxfId="875" priority="1" operator="containsText" text="En Attente d'un Retrait Tardif">
      <formula>NOT(ISERROR(SEARCH("En Attente d'un Retrait Tardif",H5)))</formula>
    </cfRule>
    <cfRule type="containsText" dxfId="874" priority="2" operator="containsText" text="Rétiré dans les délais">
      <formula>NOT(ISERROR(SEARCH("Rétiré dans les délais",H5)))</formula>
    </cfRule>
  </conditionalFormatting>
  <conditionalFormatting sqref="I1:I1048576">
    <cfRule type="duplicateValues" dxfId="873" priority="3"/>
  </conditionalFormatting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E416-F354-4E44-959B-D6E26DF9926B}">
  <sheetPr codeName="Feuil43">
    <tabColor theme="5" tint="-0.249977111117893"/>
  </sheetPr>
  <dimension ref="A1:Q12"/>
  <sheetViews>
    <sheetView workbookViewId="0">
      <selection activeCell="E8" sqref="E8"/>
    </sheetView>
  </sheetViews>
  <sheetFormatPr baseColWidth="10" defaultRowHeight="15" x14ac:dyDescent="0.25"/>
  <cols>
    <col min="2" max="2" width="15" customWidth="1"/>
    <col min="5" max="5" width="25.28515625" customWidth="1"/>
    <col min="6" max="6" width="22.42578125" customWidth="1"/>
    <col min="7" max="7" width="21.5703125" customWidth="1"/>
    <col min="8" max="8" width="29.28515625" customWidth="1"/>
    <col min="9" max="9" width="15" customWidth="1"/>
    <col min="10" max="10" width="23.28515625" customWidth="1"/>
    <col min="11" max="11" width="24" customWidth="1"/>
  </cols>
  <sheetData>
    <row r="1" spans="1:17" ht="19.5" thickBot="1" x14ac:dyDescent="0.35">
      <c r="A1" s="348" t="s">
        <v>1439</v>
      </c>
      <c r="B1" s="98"/>
      <c r="C1" s="98"/>
      <c r="D1" s="98"/>
      <c r="E1" s="288"/>
      <c r="F1" s="288"/>
      <c r="G1" s="288"/>
      <c r="H1" s="729"/>
      <c r="I1" s="729"/>
      <c r="J1" s="729"/>
      <c r="K1" s="208"/>
      <c r="L1" s="208"/>
      <c r="M1" s="208"/>
    </row>
    <row r="2" spans="1:17" ht="24" thickBot="1" x14ac:dyDescent="0.3">
      <c r="A2" s="730" t="s">
        <v>0</v>
      </c>
      <c r="B2" s="730"/>
      <c r="C2" s="24"/>
      <c r="D2" s="24"/>
      <c r="E2" s="25"/>
      <c r="F2" s="358">
        <f ca="1">J2-H2</f>
        <v>456</v>
      </c>
      <c r="G2" s="25"/>
      <c r="H2" s="314">
        <v>45640</v>
      </c>
      <c r="I2" s="365">
        <f ca="1">J2-H2</f>
        <v>456</v>
      </c>
      <c r="J2" s="315">
        <f ca="1">TODAY()</f>
        <v>46096</v>
      </c>
      <c r="K2" s="340"/>
      <c r="L2" s="340"/>
      <c r="M2" s="208"/>
    </row>
    <row r="3" spans="1:17" x14ac:dyDescent="0.25">
      <c r="E3" s="292"/>
      <c r="F3" s="292"/>
      <c r="G3" s="292"/>
      <c r="H3" s="105"/>
      <c r="I3" s="105"/>
      <c r="J3" s="208"/>
      <c r="K3" s="208"/>
      <c r="L3" s="208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380" customFormat="1" ht="15.75" x14ac:dyDescent="0.25">
      <c r="A5" s="412">
        <v>1</v>
      </c>
      <c r="B5" s="386">
        <v>4054402760</v>
      </c>
      <c r="C5" s="386"/>
      <c r="D5" s="386"/>
      <c r="E5" s="386" t="s">
        <v>1076</v>
      </c>
      <c r="F5" s="386" t="s">
        <v>1065</v>
      </c>
      <c r="G5" s="386" t="s">
        <v>1407</v>
      </c>
      <c r="H5" s="390" t="str">
        <f>IF(J5="",IF($F$2&lt;=15,"EnattentedeRetrait","EnAttented'unRetraitTardif"),IF(J5-$H$2&lt;=15,"Rétirédanslesdélais",IF(J5-$H$2&gt;15,"Rétirétardivement-30000FCFAamende")))</f>
        <v>Rétirédanslesdélais</v>
      </c>
      <c r="I5" s="386" t="s">
        <v>329</v>
      </c>
      <c r="J5" s="387">
        <v>45652</v>
      </c>
      <c r="K5" s="386"/>
      <c r="L5" s="386"/>
      <c r="M5" s="386"/>
      <c r="N5" s="386"/>
      <c r="O5" s="386"/>
      <c r="P5" s="386"/>
      <c r="Q5" s="386"/>
    </row>
    <row r="6" spans="1:17" s="380" customFormat="1" ht="15.75" x14ac:dyDescent="0.25">
      <c r="A6" s="412">
        <v>2</v>
      </c>
      <c r="B6" s="386">
        <v>4054341370</v>
      </c>
      <c r="C6" s="386"/>
      <c r="D6" s="386"/>
      <c r="E6" s="386" t="s">
        <v>1440</v>
      </c>
      <c r="F6" s="386" t="s">
        <v>1418</v>
      </c>
      <c r="G6" s="386" t="s">
        <v>1407</v>
      </c>
      <c r="H6" s="390" t="str">
        <f>IF(J6="",IF($F$2&lt;=15,"EnattentedeRetrait","EnAttented'unRetraitTardif"),IF(J6-$H$2&lt;=15,"Rétirédanslesdélais",IF(J6-$H$2&gt;15,"Rétirétardivement-30000FCFAamende")))</f>
        <v>Rétirétardivement-30000FCFAamende</v>
      </c>
      <c r="I6" s="386" t="s">
        <v>327</v>
      </c>
      <c r="J6" s="387">
        <v>45657</v>
      </c>
      <c r="K6" s="386"/>
      <c r="L6" s="386"/>
      <c r="M6" s="386"/>
      <c r="N6" s="386"/>
      <c r="O6" s="386"/>
      <c r="P6" s="386"/>
      <c r="Q6" s="386"/>
    </row>
    <row r="7" spans="1:17" s="380" customFormat="1" ht="15.75" x14ac:dyDescent="0.25">
      <c r="A7" s="386">
        <v>3</v>
      </c>
      <c r="B7" s="386">
        <v>4054379500</v>
      </c>
      <c r="C7" s="386"/>
      <c r="D7" s="386"/>
      <c r="E7" s="386" t="s">
        <v>1138</v>
      </c>
      <c r="F7" s="386" t="s">
        <v>1065</v>
      </c>
      <c r="G7" s="386" t="s">
        <v>1207</v>
      </c>
      <c r="H7" s="390" t="str">
        <f>IF(J7="",IF($F$2&lt;=15,"EnattentedeRetrait","EnAttented'unRetraitTardif"),IF(J7-$H$2&lt;=15,"Rétirédanslesdélais",IF(J7-$H$2&gt;15,"Rétirétardivement-30000FCFAamende")))</f>
        <v>Rétirédanslesdélais</v>
      </c>
      <c r="I7" s="386" t="s">
        <v>403</v>
      </c>
      <c r="J7" s="387">
        <v>45646</v>
      </c>
      <c r="K7" s="386"/>
      <c r="L7" s="386"/>
      <c r="M7" s="386"/>
      <c r="N7" s="386"/>
      <c r="O7" s="386"/>
      <c r="P7" s="386"/>
      <c r="Q7" s="386"/>
    </row>
    <row r="8" spans="1:17" s="380" customFormat="1" ht="15.75" x14ac:dyDescent="0.25">
      <c r="A8" s="386">
        <v>4</v>
      </c>
      <c r="B8" s="386">
        <v>4054379490</v>
      </c>
      <c r="C8" s="386"/>
      <c r="D8" s="386"/>
      <c r="E8" s="386" t="s">
        <v>1138</v>
      </c>
      <c r="F8" s="386" t="s">
        <v>1065</v>
      </c>
      <c r="G8" s="386" t="s">
        <v>1207</v>
      </c>
      <c r="H8" s="390" t="str">
        <f>IF(J8="",IF($F$2&lt;=15,"EnattentedeRetrait","EnAttented'unRetraitTardif"),IF(J8-$H$2&lt;=15,"Rétirédanslesdélais",IF(J8-$H$2&gt;15,"Rétirétardivement-30000FCFAamende")))</f>
        <v>Rétirédanslesdélais</v>
      </c>
      <c r="I8" s="386" t="s">
        <v>328</v>
      </c>
      <c r="J8" s="387">
        <v>45646</v>
      </c>
      <c r="K8" s="386"/>
      <c r="L8" s="386"/>
      <c r="M8" s="386"/>
      <c r="N8" s="386"/>
      <c r="O8" s="386"/>
      <c r="P8" s="386"/>
      <c r="Q8" s="386"/>
    </row>
    <row r="10" spans="1:17" x14ac:dyDescent="0.25">
      <c r="H10" s="409"/>
      <c r="I10" s="409"/>
    </row>
    <row r="11" spans="1:17" s="376" customFormat="1" x14ac:dyDescent="0.25"/>
    <row r="12" spans="1:17" s="376" customFormat="1" x14ac:dyDescent="0.25"/>
  </sheetData>
  <mergeCells count="3">
    <mergeCell ref="H1:J1"/>
    <mergeCell ref="A2:B2"/>
    <mergeCell ref="N4:Q4"/>
  </mergeCells>
  <conditionalFormatting sqref="B1:B4">
    <cfRule type="duplicateValues" dxfId="872" priority="671"/>
  </conditionalFormatting>
  <conditionalFormatting sqref="H5:H8">
    <cfRule type="containsText" dxfId="871" priority="1" operator="containsText" text="En Attente d'un Retrait Tardif">
      <formula>NOT(ISERROR(SEARCH("En Attente d'un Retrait Tardif",H5)))</formula>
    </cfRule>
    <cfRule type="containsText" dxfId="870" priority="2" operator="containsText" text="Rétiré dans les délais">
      <formula>NOT(ISERROR(SEARCH("Rétiré dans les délais",H5)))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30D4-C553-4617-92FB-71BC5817B43F}">
  <sheetPr codeName="Feuil49">
    <tabColor theme="5" tint="-0.249977111117893"/>
  </sheetPr>
  <dimension ref="A1:Q86"/>
  <sheetViews>
    <sheetView zoomScaleNormal="100" workbookViewId="0">
      <selection activeCell="F18" sqref="F18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43.5703125" style="292" customWidth="1"/>
    <col min="6" max="6" width="23.7109375" style="292" customWidth="1"/>
    <col min="7" max="7" width="23.140625" style="292" customWidth="1"/>
    <col min="8" max="8" width="37.28515625" customWidth="1"/>
    <col min="9" max="9" width="17.28515625" customWidth="1"/>
    <col min="10" max="10" width="16.42578125" style="208" customWidth="1"/>
    <col min="11" max="12" width="11.42578125" style="208" customWidth="1"/>
    <col min="13" max="13" width="29" style="208" customWidth="1"/>
    <col min="14" max="16" width="3.42578125" customWidth="1"/>
    <col min="17" max="17" width="29.42578125" customWidth="1"/>
  </cols>
  <sheetData>
    <row r="1" spans="1:17" ht="19.5" thickBot="1" x14ac:dyDescent="0.35">
      <c r="A1" s="348" t="s">
        <v>1441</v>
      </c>
      <c r="B1" s="98"/>
      <c r="C1" s="98"/>
      <c r="D1" s="98"/>
      <c r="E1" s="288"/>
      <c r="F1" s="288"/>
      <c r="G1" s="288"/>
      <c r="H1" s="729"/>
      <c r="I1" s="729"/>
      <c r="J1" s="729"/>
    </row>
    <row r="2" spans="1:17" ht="24" thickBot="1" x14ac:dyDescent="0.3">
      <c r="A2" s="730" t="s">
        <v>0</v>
      </c>
      <c r="B2" s="730"/>
      <c r="C2" s="24"/>
      <c r="D2" s="24"/>
      <c r="E2" s="25"/>
      <c r="F2" s="358">
        <f ca="1">J2-H2</f>
        <v>487</v>
      </c>
      <c r="G2" s="25"/>
      <c r="H2" s="314">
        <v>45609</v>
      </c>
      <c r="I2" s="365">
        <f ca="1">J2-H2</f>
        <v>487</v>
      </c>
      <c r="J2" s="315">
        <f ca="1">TODAY()</f>
        <v>46096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ht="21" customHeight="1" x14ac:dyDescent="0.25">
      <c r="A5" s="275">
        <v>1</v>
      </c>
      <c r="B5" s="275">
        <v>4054341072</v>
      </c>
      <c r="C5" s="275" t="s">
        <v>269</v>
      </c>
      <c r="D5" s="275"/>
      <c r="E5" s="275" t="s">
        <v>1122</v>
      </c>
      <c r="F5" s="275" t="s">
        <v>1065</v>
      </c>
      <c r="G5" s="275" t="s">
        <v>1207</v>
      </c>
      <c r="H5" s="390" t="str">
        <f t="shared" ref="H5:H10" si="0">IF(J5="",IF($F$2&lt;=15,"EnattentedeRetrait","EnAttented'unRetraitTardif"),IF(J5-$H$2&lt;=15,"Rétirédanslesdélais",IF(J5-$H$2&gt;15,"Rétirétardivement-30000FCFAamende")))</f>
        <v>Rétirédanslesdélais</v>
      </c>
      <c r="I5" s="275" t="s">
        <v>298</v>
      </c>
      <c r="J5" s="354">
        <v>45616</v>
      </c>
      <c r="K5" s="344"/>
      <c r="L5" s="344"/>
      <c r="M5" s="344"/>
      <c r="N5" s="732"/>
      <c r="O5" s="732"/>
      <c r="P5" s="732"/>
      <c r="Q5" s="732"/>
    </row>
    <row r="6" spans="1:17" ht="21" customHeight="1" x14ac:dyDescent="0.25">
      <c r="A6" s="275">
        <v>2</v>
      </c>
      <c r="B6" s="275">
        <v>4054344930</v>
      </c>
      <c r="C6" s="275" t="s">
        <v>269</v>
      </c>
      <c r="D6" s="275"/>
      <c r="E6" s="275" t="s">
        <v>1144</v>
      </c>
      <c r="F6" s="275" t="s">
        <v>1065</v>
      </c>
      <c r="G6" s="275" t="s">
        <v>1207</v>
      </c>
      <c r="H6" s="390" t="str">
        <f t="shared" si="0"/>
        <v>Rétirédanslesdélais</v>
      </c>
      <c r="I6" s="275" t="s">
        <v>296</v>
      </c>
      <c r="J6" s="354">
        <v>45615</v>
      </c>
      <c r="K6" s="344"/>
      <c r="L6" s="344"/>
      <c r="M6" s="344"/>
      <c r="N6" s="732"/>
      <c r="O6" s="732"/>
      <c r="P6" s="732"/>
      <c r="Q6" s="732"/>
    </row>
    <row r="7" spans="1:17" ht="21" customHeight="1" x14ac:dyDescent="0.25">
      <c r="A7" s="275">
        <v>3</v>
      </c>
      <c r="B7" s="275">
        <v>4054286500</v>
      </c>
      <c r="C7" s="275" t="s">
        <v>269</v>
      </c>
      <c r="D7" s="275"/>
      <c r="E7" s="275" t="s">
        <v>1075</v>
      </c>
      <c r="F7" s="275" t="s">
        <v>1065</v>
      </c>
      <c r="G7" s="275" t="s">
        <v>1207</v>
      </c>
      <c r="H7" s="390" t="str">
        <f t="shared" si="0"/>
        <v>Rétirédanslesdélais</v>
      </c>
      <c r="I7" s="275" t="s">
        <v>299</v>
      </c>
      <c r="J7" s="354">
        <v>45616</v>
      </c>
      <c r="K7" s="344"/>
      <c r="L7" s="344"/>
      <c r="M7" s="344"/>
      <c r="N7" s="732"/>
      <c r="O7" s="732"/>
      <c r="P7" s="732"/>
      <c r="Q7" s="732"/>
    </row>
    <row r="8" spans="1:17" ht="21" customHeight="1" x14ac:dyDescent="0.25">
      <c r="A8" s="275">
        <v>4</v>
      </c>
      <c r="B8" s="275">
        <v>4054339030</v>
      </c>
      <c r="C8" s="275" t="s">
        <v>269</v>
      </c>
      <c r="D8" s="275"/>
      <c r="E8" s="275" t="s">
        <v>1125</v>
      </c>
      <c r="F8" s="275" t="s">
        <v>1065</v>
      </c>
      <c r="G8" s="275" t="s">
        <v>1207</v>
      </c>
      <c r="H8" s="390" t="str">
        <f t="shared" si="0"/>
        <v>Rétirédanslesdélais</v>
      </c>
      <c r="I8" s="275" t="s">
        <v>297</v>
      </c>
      <c r="J8" s="354">
        <v>45616</v>
      </c>
      <c r="K8" s="344"/>
      <c r="L8" s="344"/>
      <c r="M8" s="344"/>
      <c r="N8" s="732"/>
      <c r="O8" s="732"/>
      <c r="P8" s="732"/>
      <c r="Q8" s="732"/>
    </row>
    <row r="9" spans="1:17" ht="21" customHeight="1" x14ac:dyDescent="0.25">
      <c r="A9" s="275">
        <v>5</v>
      </c>
      <c r="B9" s="275">
        <v>4054351470</v>
      </c>
      <c r="C9" s="275" t="s">
        <v>269</v>
      </c>
      <c r="D9" s="275"/>
      <c r="E9" s="275" t="s">
        <v>1442</v>
      </c>
      <c r="F9" s="275" t="s">
        <v>1065</v>
      </c>
      <c r="G9" s="275" t="s">
        <v>1207</v>
      </c>
      <c r="H9" s="390" t="str">
        <f t="shared" si="0"/>
        <v>Rétirédanslesdélais</v>
      </c>
      <c r="I9" s="275" t="s">
        <v>300</v>
      </c>
      <c r="J9" s="354">
        <v>45623</v>
      </c>
      <c r="K9" s="344"/>
      <c r="L9" s="344"/>
      <c r="M9" s="344"/>
      <c r="N9" s="732" t="s">
        <v>1443</v>
      </c>
      <c r="O9" s="732"/>
      <c r="P9" s="732"/>
      <c r="Q9" s="732"/>
    </row>
    <row r="10" spans="1:17" ht="21" customHeight="1" x14ac:dyDescent="0.25">
      <c r="A10" s="275">
        <v>6</v>
      </c>
      <c r="B10" s="275">
        <v>4054351460</v>
      </c>
      <c r="C10" s="275"/>
      <c r="D10" s="275"/>
      <c r="E10" s="275" t="s">
        <v>1442</v>
      </c>
      <c r="F10" s="275" t="s">
        <v>1065</v>
      </c>
      <c r="G10" s="275" t="s">
        <v>1207</v>
      </c>
      <c r="H10" s="390" t="str">
        <f t="shared" si="0"/>
        <v>Rétirédanslesdélais</v>
      </c>
      <c r="I10" s="275" t="s">
        <v>301</v>
      </c>
      <c r="J10" s="354">
        <v>45623</v>
      </c>
      <c r="K10" s="344"/>
      <c r="L10" s="344"/>
      <c r="M10" s="344"/>
      <c r="N10" s="732" t="s">
        <v>1443</v>
      </c>
      <c r="O10" s="732"/>
      <c r="P10" s="732"/>
      <c r="Q10" s="732"/>
    </row>
    <row r="11" spans="1:17" x14ac:dyDescent="0.25">
      <c r="B11" s="292"/>
    </row>
    <row r="12" spans="1:17" x14ac:dyDescent="0.25">
      <c r="B12" s="292"/>
    </row>
    <row r="13" spans="1:17" x14ac:dyDescent="0.25">
      <c r="B13" s="292"/>
    </row>
    <row r="14" spans="1:17" x14ac:dyDescent="0.25">
      <c r="B14" s="292"/>
    </row>
    <row r="15" spans="1:17" x14ac:dyDescent="0.25">
      <c r="B15" s="292"/>
    </row>
    <row r="16" spans="1:17" x14ac:dyDescent="0.25">
      <c r="B16" s="292"/>
    </row>
    <row r="17" spans="2:2" x14ac:dyDescent="0.25">
      <c r="B17" s="292"/>
    </row>
    <row r="18" spans="2:2" x14ac:dyDescent="0.25">
      <c r="B18" s="292"/>
    </row>
    <row r="19" spans="2:2" x14ac:dyDescent="0.25">
      <c r="B19" s="292"/>
    </row>
    <row r="20" spans="2:2" x14ac:dyDescent="0.25">
      <c r="B20" s="292"/>
    </row>
    <row r="21" spans="2:2" x14ac:dyDescent="0.25">
      <c r="B21" s="292"/>
    </row>
    <row r="22" spans="2:2" x14ac:dyDescent="0.25">
      <c r="B22" s="292"/>
    </row>
    <row r="23" spans="2:2" x14ac:dyDescent="0.25">
      <c r="B23" s="292"/>
    </row>
    <row r="24" spans="2:2" x14ac:dyDescent="0.25">
      <c r="B24" s="292"/>
    </row>
    <row r="25" spans="2:2" x14ac:dyDescent="0.25">
      <c r="B25" s="292"/>
    </row>
    <row r="26" spans="2:2" x14ac:dyDescent="0.25">
      <c r="B26" s="292"/>
    </row>
    <row r="27" spans="2:2" x14ac:dyDescent="0.25">
      <c r="B27" s="292"/>
    </row>
    <row r="28" spans="2:2" x14ac:dyDescent="0.25">
      <c r="B28" s="292"/>
    </row>
    <row r="29" spans="2:2" x14ac:dyDescent="0.25">
      <c r="B29" s="292"/>
    </row>
    <row r="30" spans="2:2" x14ac:dyDescent="0.25">
      <c r="B30" s="292"/>
    </row>
    <row r="31" spans="2:2" x14ac:dyDescent="0.25">
      <c r="B31" s="292"/>
    </row>
    <row r="32" spans="2:2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</sheetData>
  <autoFilter ref="A4:Q10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0">
      <sortCondition ref="E4"/>
    </sortState>
  </autoFilter>
  <mergeCells count="9">
    <mergeCell ref="N8:Q8"/>
    <mergeCell ref="N9:Q9"/>
    <mergeCell ref="N10:Q10"/>
    <mergeCell ref="H1:J1"/>
    <mergeCell ref="A2:B2"/>
    <mergeCell ref="N4:Q4"/>
    <mergeCell ref="N5:Q5"/>
    <mergeCell ref="N6:Q6"/>
    <mergeCell ref="N7:Q7"/>
  </mergeCells>
  <conditionalFormatting sqref="H5:H10">
    <cfRule type="containsText" dxfId="869" priority="1" operator="containsText" text="En Attente d'un Retrait Tardif">
      <formula>NOT(ISERROR(SEARCH("En Attente d'un Retrait Tardif",H5)))</formula>
    </cfRule>
    <cfRule type="containsText" dxfId="868" priority="2" operator="containsText" text="Rétiré dans les délais">
      <formula>NOT(ISERROR(SEARCH("Rétiré dans les délais",H5)))</formula>
    </cfRule>
  </conditionalFormatting>
  <conditionalFormatting sqref="I1:I1048576">
    <cfRule type="duplicateValues" dxfId="867" priority="3"/>
  </conditionalFormatting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5FEC-1BF7-4DEF-99BB-8763C9D75E9B}">
  <sheetPr codeName="Feuil50">
    <tabColor theme="5" tint="-0.249977111117893"/>
  </sheetPr>
  <dimension ref="A1:Q87"/>
  <sheetViews>
    <sheetView topLeftCell="E1" zoomScaleNormal="100" workbookViewId="0">
      <selection activeCell="H5" sqref="H5"/>
    </sheetView>
  </sheetViews>
  <sheetFormatPr baseColWidth="10" defaultColWidth="11.42578125" defaultRowHeight="15" x14ac:dyDescent="0.25"/>
  <cols>
    <col min="1" max="1" width="4.85546875" customWidth="1"/>
    <col min="2" max="2" width="19.42578125" customWidth="1"/>
    <col min="3" max="4" width="9.85546875" customWidth="1"/>
    <col min="5" max="5" width="43.5703125" style="292" customWidth="1"/>
    <col min="6" max="6" width="23.7109375" style="292" customWidth="1"/>
    <col min="7" max="7" width="23.140625" style="292" customWidth="1"/>
    <col min="8" max="8" width="37.28515625" customWidth="1"/>
    <col min="9" max="9" width="17.28515625" customWidth="1"/>
    <col min="10" max="10" width="16.42578125" style="208" customWidth="1"/>
    <col min="11" max="11" width="71.7109375" style="208" customWidth="1"/>
    <col min="12" max="12" width="11.42578125" style="208" customWidth="1"/>
    <col min="13" max="13" width="29" style="208" customWidth="1"/>
    <col min="14" max="17" width="3.42578125" customWidth="1"/>
  </cols>
  <sheetData>
    <row r="1" spans="1:17" ht="19.5" thickBot="1" x14ac:dyDescent="0.35">
      <c r="A1" s="348" t="s">
        <v>1444</v>
      </c>
      <c r="B1" s="98"/>
      <c r="C1" s="98"/>
      <c r="D1" s="98"/>
      <c r="E1" s="288"/>
      <c r="F1" s="288"/>
      <c r="G1" s="288"/>
      <c r="H1" s="729"/>
      <c r="I1" s="729"/>
      <c r="J1" s="729"/>
    </row>
    <row r="2" spans="1:17" ht="24" thickBot="1" x14ac:dyDescent="0.3">
      <c r="A2" s="730" t="s">
        <v>0</v>
      </c>
      <c r="B2" s="730"/>
      <c r="C2" s="24"/>
      <c r="D2" s="24"/>
      <c r="E2" s="25"/>
      <c r="F2" s="358">
        <f ca="1">J2-H2</f>
        <v>493</v>
      </c>
      <c r="G2" s="25"/>
      <c r="H2" s="314">
        <v>45603</v>
      </c>
      <c r="I2" s="365">
        <f ca="1">J2-H2</f>
        <v>493</v>
      </c>
      <c r="J2" s="315">
        <f ca="1">TODAY()</f>
        <v>46096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/>
      <c r="D4" s="336"/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ht="21" customHeight="1" x14ac:dyDescent="0.25">
      <c r="A5" s="275">
        <v>1</v>
      </c>
      <c r="B5" s="275">
        <v>4054338590</v>
      </c>
      <c r="C5" s="275" t="s">
        <v>26</v>
      </c>
      <c r="D5" s="275" t="s">
        <v>165</v>
      </c>
      <c r="E5" s="275" t="s">
        <v>1125</v>
      </c>
      <c r="F5" s="275" t="s">
        <v>1065</v>
      </c>
      <c r="G5" s="275" t="s">
        <v>1207</v>
      </c>
      <c r="H5" s="390" t="str">
        <f t="shared" ref="H5:H14" si="0">IF(J5="",IF($F$2&lt;=15,"EnattentedeRetrait","EnAttented'unRetraitTardif"),IF(J5-$H$2&lt;=15,"Rétirédanslesdélais",IF(J5-$H$2&gt;15,"Rétirétardivement-30000FCFAamende")))</f>
        <v>Rétirédanslesdélais</v>
      </c>
      <c r="I5" s="275" t="s">
        <v>289</v>
      </c>
      <c r="J5" s="301">
        <v>45614</v>
      </c>
      <c r="K5" s="344"/>
      <c r="L5" s="344"/>
      <c r="M5" s="344"/>
      <c r="N5" s="732"/>
      <c r="O5" s="732"/>
      <c r="P5" s="732"/>
      <c r="Q5" s="732"/>
    </row>
    <row r="6" spans="1:17" ht="21" customHeight="1" x14ac:dyDescent="0.25">
      <c r="A6" s="275">
        <v>2</v>
      </c>
      <c r="B6" s="275">
        <v>4054339020</v>
      </c>
      <c r="C6" s="275" t="s">
        <v>26</v>
      </c>
      <c r="D6" s="275" t="s">
        <v>233</v>
      </c>
      <c r="E6" s="275" t="s">
        <v>1125</v>
      </c>
      <c r="F6" s="275" t="s">
        <v>1065</v>
      </c>
      <c r="G6" s="275" t="s">
        <v>1207</v>
      </c>
      <c r="H6" s="390" t="str">
        <f t="shared" si="0"/>
        <v>Rétirédanslesdélais</v>
      </c>
      <c r="I6" s="275" t="s">
        <v>290</v>
      </c>
      <c r="J6" s="301">
        <v>45614</v>
      </c>
      <c r="K6" s="344"/>
      <c r="L6" s="344"/>
      <c r="M6" s="344"/>
      <c r="N6" s="732"/>
      <c r="O6" s="732"/>
      <c r="P6" s="732"/>
      <c r="Q6" s="732"/>
    </row>
    <row r="7" spans="1:17" ht="21" customHeight="1" x14ac:dyDescent="0.25">
      <c r="A7" s="275">
        <v>4</v>
      </c>
      <c r="B7" s="375">
        <v>4054332440</v>
      </c>
      <c r="C7" s="275" t="s">
        <v>26</v>
      </c>
      <c r="D7" s="275" t="s">
        <v>27</v>
      </c>
      <c r="E7" s="275" t="s">
        <v>1445</v>
      </c>
      <c r="F7" s="275" t="s">
        <v>1446</v>
      </c>
      <c r="G7" s="275" t="s">
        <v>1207</v>
      </c>
      <c r="H7" s="390" t="str">
        <f t="shared" si="0"/>
        <v>Rétirétardivement-30000FCFAamende</v>
      </c>
      <c r="I7" s="275" t="s">
        <v>288</v>
      </c>
      <c r="J7" s="301">
        <v>45622</v>
      </c>
      <c r="K7" s="344" t="s">
        <v>1447</v>
      </c>
      <c r="L7" s="344"/>
      <c r="M7" s="344"/>
      <c r="N7" s="732"/>
      <c r="O7" s="732"/>
      <c r="P7" s="732"/>
      <c r="Q7" s="732"/>
    </row>
    <row r="8" spans="1:17" ht="21" customHeight="1" x14ac:dyDescent="0.25">
      <c r="A8" s="275">
        <v>5</v>
      </c>
      <c r="B8" s="275">
        <v>4054332980</v>
      </c>
      <c r="C8" s="275" t="s">
        <v>26</v>
      </c>
      <c r="D8" s="275" t="s">
        <v>27</v>
      </c>
      <c r="E8" s="275" t="s">
        <v>1448</v>
      </c>
      <c r="F8" s="275" t="s">
        <v>1065</v>
      </c>
      <c r="G8" s="275" t="s">
        <v>1207</v>
      </c>
      <c r="H8" s="390" t="str">
        <f t="shared" si="0"/>
        <v>Rétirédanslesdélais</v>
      </c>
      <c r="I8" s="275" t="s">
        <v>291</v>
      </c>
      <c r="J8" s="301">
        <v>45615</v>
      </c>
      <c r="K8" s="344"/>
      <c r="L8" s="344"/>
      <c r="M8" s="344"/>
      <c r="N8" s="732"/>
      <c r="O8" s="732"/>
      <c r="P8" s="732"/>
      <c r="Q8" s="732"/>
    </row>
    <row r="9" spans="1:17" ht="21" customHeight="1" x14ac:dyDescent="0.25">
      <c r="A9" s="275">
        <v>6</v>
      </c>
      <c r="B9" s="275">
        <v>4054333020</v>
      </c>
      <c r="C9" s="275" t="s">
        <v>23</v>
      </c>
      <c r="D9" s="275" t="s">
        <v>31</v>
      </c>
      <c r="E9" s="275" t="s">
        <v>1448</v>
      </c>
      <c r="F9" s="275" t="s">
        <v>1065</v>
      </c>
      <c r="G9" s="275" t="s">
        <v>1207</v>
      </c>
      <c r="H9" s="390" t="str">
        <f t="shared" si="0"/>
        <v>Rétirédanslesdélais</v>
      </c>
      <c r="I9" s="275" t="s">
        <v>293</v>
      </c>
      <c r="J9" s="301">
        <v>45615</v>
      </c>
      <c r="K9" s="344"/>
      <c r="L9" s="344"/>
      <c r="M9" s="344"/>
      <c r="N9" s="732"/>
      <c r="O9" s="732"/>
      <c r="P9" s="732"/>
      <c r="Q9" s="732"/>
    </row>
    <row r="10" spans="1:17" ht="24" customHeight="1" x14ac:dyDescent="0.25">
      <c r="A10" s="275">
        <v>7</v>
      </c>
      <c r="B10" s="275">
        <v>4054322881</v>
      </c>
      <c r="C10" s="275" t="s">
        <v>26</v>
      </c>
      <c r="D10" s="275" t="s">
        <v>233</v>
      </c>
      <c r="E10" s="275" t="s">
        <v>1370</v>
      </c>
      <c r="F10" s="275" t="s">
        <v>1446</v>
      </c>
      <c r="G10" s="275" t="s">
        <v>1207</v>
      </c>
      <c r="H10" s="390" t="str">
        <f t="shared" si="0"/>
        <v>Rétirédanslesdélais</v>
      </c>
      <c r="I10" s="275" t="s">
        <v>294</v>
      </c>
      <c r="J10" s="301">
        <v>45618</v>
      </c>
      <c r="K10" s="344"/>
      <c r="L10" s="344"/>
      <c r="M10" s="344"/>
      <c r="N10" s="732"/>
      <c r="O10" s="732"/>
      <c r="P10" s="732"/>
      <c r="Q10" s="732"/>
    </row>
    <row r="11" spans="1:17" ht="24" customHeight="1" x14ac:dyDescent="0.25">
      <c r="A11" s="275">
        <v>8</v>
      </c>
      <c r="B11" s="275">
        <v>4054326500</v>
      </c>
      <c r="C11" s="275" t="s">
        <v>26</v>
      </c>
      <c r="D11" s="275" t="s">
        <v>27</v>
      </c>
      <c r="E11" s="275" t="s">
        <v>1449</v>
      </c>
      <c r="F11" s="275" t="s">
        <v>1065</v>
      </c>
      <c r="G11" s="275" t="s">
        <v>1207</v>
      </c>
      <c r="H11" s="390" t="str">
        <f t="shared" si="0"/>
        <v>Rétirédanslesdélais</v>
      </c>
      <c r="I11" s="275" t="s">
        <v>292</v>
      </c>
      <c r="J11" s="301">
        <v>45615</v>
      </c>
      <c r="K11" s="344"/>
      <c r="L11" s="344"/>
      <c r="M11" s="344"/>
      <c r="N11" s="732"/>
      <c r="O11" s="732"/>
      <c r="P11" s="732"/>
      <c r="Q11" s="732"/>
    </row>
    <row r="12" spans="1:17" s="292" customFormat="1" ht="24" customHeight="1" x14ac:dyDescent="0.2">
      <c r="A12" s="275">
        <v>9</v>
      </c>
      <c r="B12" s="275">
        <v>4054342970</v>
      </c>
      <c r="C12" s="275" t="s">
        <v>26</v>
      </c>
      <c r="D12" s="275" t="s">
        <v>27</v>
      </c>
      <c r="E12" s="275" t="s">
        <v>1450</v>
      </c>
      <c r="F12" s="275" t="s">
        <v>1446</v>
      </c>
      <c r="G12" s="275" t="s">
        <v>1207</v>
      </c>
      <c r="H12" s="390" t="str">
        <f t="shared" si="0"/>
        <v>Rétirétardivement-30000FCFAamende</v>
      </c>
      <c r="I12" s="275" t="s">
        <v>295</v>
      </c>
      <c r="J12" s="301">
        <v>45623</v>
      </c>
      <c r="K12" s="344"/>
      <c r="L12" s="344"/>
      <c r="M12" s="344"/>
      <c r="N12" s="732"/>
      <c r="O12" s="732"/>
      <c r="P12" s="732"/>
      <c r="Q12" s="732"/>
    </row>
    <row r="13" spans="1:17" s="292" customFormat="1" ht="24" customHeight="1" x14ac:dyDescent="0.2">
      <c r="A13" s="275">
        <v>10</v>
      </c>
      <c r="B13" s="275">
        <v>4054340430</v>
      </c>
      <c r="C13" s="275" t="s">
        <v>26</v>
      </c>
      <c r="D13" s="275" t="s">
        <v>27</v>
      </c>
      <c r="E13" s="275" t="s">
        <v>1450</v>
      </c>
      <c r="F13" s="275" t="s">
        <v>1418</v>
      </c>
      <c r="G13" s="275" t="s">
        <v>1207</v>
      </c>
      <c r="H13" s="390" t="str">
        <f t="shared" si="0"/>
        <v>Rétirédanslesdélais</v>
      </c>
      <c r="I13" s="275" t="s">
        <v>286</v>
      </c>
      <c r="J13" s="301">
        <v>45615</v>
      </c>
      <c r="K13" s="344"/>
      <c r="L13" s="344"/>
      <c r="M13" s="344"/>
      <c r="N13" s="732"/>
      <c r="O13" s="732"/>
      <c r="P13" s="732"/>
      <c r="Q13" s="732"/>
    </row>
    <row r="14" spans="1:17" s="292" customFormat="1" ht="24" customHeight="1" x14ac:dyDescent="0.2">
      <c r="A14" s="275">
        <v>11</v>
      </c>
      <c r="B14" s="275">
        <v>4054254860</v>
      </c>
      <c r="C14" s="275" t="s">
        <v>26</v>
      </c>
      <c r="D14" s="275" t="s">
        <v>165</v>
      </c>
      <c r="E14" s="275" t="s">
        <v>1184</v>
      </c>
      <c r="F14" s="275" t="s">
        <v>1065</v>
      </c>
      <c r="G14" s="275" t="s">
        <v>1207</v>
      </c>
      <c r="H14" s="390" t="str">
        <f t="shared" si="0"/>
        <v>Rétirédanslesdélais</v>
      </c>
      <c r="I14" s="275" t="s">
        <v>287</v>
      </c>
      <c r="J14" s="301">
        <v>45615</v>
      </c>
      <c r="K14" s="344"/>
      <c r="L14" s="344"/>
      <c r="M14" s="344"/>
      <c r="N14" s="732"/>
      <c r="O14" s="732"/>
      <c r="P14" s="732"/>
      <c r="Q14" s="732"/>
    </row>
    <row r="15" spans="1:17" x14ac:dyDescent="0.25">
      <c r="B15" s="292"/>
    </row>
    <row r="16" spans="1:17" x14ac:dyDescent="0.25">
      <c r="B16" s="292"/>
    </row>
    <row r="17" spans="2:2" x14ac:dyDescent="0.25">
      <c r="B17" s="292"/>
    </row>
    <row r="18" spans="2:2" x14ac:dyDescent="0.25">
      <c r="B18" s="292"/>
    </row>
    <row r="19" spans="2:2" x14ac:dyDescent="0.25">
      <c r="B19" s="292"/>
    </row>
    <row r="20" spans="2:2" x14ac:dyDescent="0.25">
      <c r="B20" s="292"/>
    </row>
    <row r="21" spans="2:2" x14ac:dyDescent="0.25">
      <c r="B21" s="292"/>
    </row>
    <row r="22" spans="2:2" x14ac:dyDescent="0.25">
      <c r="B22" s="292"/>
    </row>
    <row r="23" spans="2:2" x14ac:dyDescent="0.25">
      <c r="B23" s="292"/>
    </row>
    <row r="24" spans="2:2" x14ac:dyDescent="0.25">
      <c r="B24" s="292"/>
    </row>
    <row r="25" spans="2:2" x14ac:dyDescent="0.25">
      <c r="B25" s="292"/>
    </row>
    <row r="26" spans="2:2" x14ac:dyDescent="0.25">
      <c r="B26" s="292"/>
    </row>
    <row r="27" spans="2:2" x14ac:dyDescent="0.25">
      <c r="B27" s="292"/>
    </row>
    <row r="28" spans="2:2" x14ac:dyDescent="0.25">
      <c r="B28" s="292"/>
    </row>
    <row r="29" spans="2:2" x14ac:dyDescent="0.25">
      <c r="B29" s="292"/>
    </row>
    <row r="30" spans="2:2" x14ac:dyDescent="0.25">
      <c r="B30" s="292"/>
    </row>
    <row r="31" spans="2:2" x14ac:dyDescent="0.25">
      <c r="B31" s="292"/>
    </row>
    <row r="32" spans="2:2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</sheetData>
  <autoFilter ref="A4:Q14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1">
      <sortCondition ref="E4"/>
    </sortState>
  </autoFilter>
  <mergeCells count="13">
    <mergeCell ref="N13:Q13"/>
    <mergeCell ref="N14:Q14"/>
    <mergeCell ref="N7:Q7"/>
    <mergeCell ref="N8:Q8"/>
    <mergeCell ref="N9:Q9"/>
    <mergeCell ref="N10:Q10"/>
    <mergeCell ref="N11:Q11"/>
    <mergeCell ref="N12:Q12"/>
    <mergeCell ref="H1:J1"/>
    <mergeCell ref="A2:B2"/>
    <mergeCell ref="N4:Q4"/>
    <mergeCell ref="N5:Q5"/>
    <mergeCell ref="N6:Q6"/>
  </mergeCells>
  <conditionalFormatting sqref="H5:H14">
    <cfRule type="containsText" dxfId="866" priority="1" operator="containsText" text="En Attente d'un Retrait Tardif">
      <formula>NOT(ISERROR(SEARCH("En Attente d'un Retrait Tardif",H5)))</formula>
    </cfRule>
    <cfRule type="containsText" dxfId="865" priority="2" operator="containsText" text="Rétiré dans les délais">
      <formula>NOT(ISERROR(SEARCH("Rétiré dans les délais",H5)))</formula>
    </cfRule>
  </conditionalFormatting>
  <conditionalFormatting sqref="I1:I1048576">
    <cfRule type="duplicateValues" dxfId="864" priority="3"/>
  </conditionalFormatting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BFD0-7BA1-4441-8685-7B00A11D1177}">
  <sheetPr codeName="Feuil51">
    <tabColor theme="5" tint="-0.249977111117893"/>
  </sheetPr>
  <dimension ref="A1:Q112"/>
  <sheetViews>
    <sheetView topLeftCell="B1" zoomScaleNormal="100" workbookViewId="0">
      <selection activeCell="E12" sqref="E12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50.5703125" style="292" customWidth="1"/>
    <col min="6" max="6" width="23.7109375" style="292" customWidth="1"/>
    <col min="7" max="7" width="23.140625" style="292" customWidth="1"/>
    <col min="8" max="8" width="38" customWidth="1"/>
    <col min="9" max="9" width="17.28515625" customWidth="1"/>
    <col min="10" max="10" width="17.140625" style="208" customWidth="1"/>
    <col min="11" max="11" width="47.5703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1451</v>
      </c>
      <c r="B1" s="98"/>
      <c r="C1" s="98"/>
      <c r="D1" s="98"/>
      <c r="E1" s="288"/>
      <c r="F1" s="288"/>
      <c r="G1" s="288"/>
      <c r="H1" s="729"/>
      <c r="I1" s="729"/>
      <c r="J1" s="729"/>
      <c r="M1" s="356"/>
    </row>
    <row r="2" spans="1:17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45587</v>
      </c>
      <c r="I2" s="365">
        <f ca="1">J2-H2</f>
        <v>509</v>
      </c>
      <c r="J2" s="315">
        <f ca="1">TODAY()</f>
        <v>46096</v>
      </c>
      <c r="K2" s="340"/>
      <c r="L2" s="340"/>
      <c r="M2" s="358">
        <f ca="1">J2-H2</f>
        <v>509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275">
        <v>4054251110</v>
      </c>
      <c r="C5" s="363" t="s">
        <v>26</v>
      </c>
      <c r="D5" s="367" t="s">
        <v>27</v>
      </c>
      <c r="E5" s="275" t="s">
        <v>1069</v>
      </c>
      <c r="F5" s="15" t="s">
        <v>1406</v>
      </c>
      <c r="G5" s="15" t="s">
        <v>1207</v>
      </c>
      <c r="H5" s="275" t="str">
        <f t="shared" ref="H5:H14" si="0">IF(J5="",IF($M$2&lt;=15,"EnattentedeRetrait","EnAttented'unRetraitTardif"),IF(J5-$H$2&lt;=15,"Rétirédanslesdélais",IF(J5-$H$2&gt;15,"Rétirétardivement-30000FCFAamende")))</f>
        <v>Rétirédanslesdélais</v>
      </c>
      <c r="I5" s="275" t="s">
        <v>242</v>
      </c>
      <c r="J5" s="354">
        <v>45595</v>
      </c>
      <c r="K5" s="355"/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275">
        <v>4054201270</v>
      </c>
      <c r="C6" s="363" t="s">
        <v>26</v>
      </c>
      <c r="D6" s="363" t="s">
        <v>27</v>
      </c>
      <c r="E6" s="275" t="s">
        <v>1445</v>
      </c>
      <c r="F6" s="15" t="s">
        <v>1412</v>
      </c>
      <c r="G6" s="15" t="s">
        <v>1207</v>
      </c>
      <c r="H6" s="275" t="str">
        <f t="shared" si="0"/>
        <v>Rétirétardivement-30000FCFAamende</v>
      </c>
      <c r="I6" s="275" t="s">
        <v>261</v>
      </c>
      <c r="J6" s="354">
        <v>45608</v>
      </c>
      <c r="K6" s="344" t="s">
        <v>1452</v>
      </c>
      <c r="L6" s="344"/>
      <c r="M6" s="344"/>
      <c r="N6" s="732"/>
      <c r="O6" s="732"/>
      <c r="P6" s="732"/>
      <c r="Q6" s="732"/>
    </row>
    <row r="7" spans="1:17" ht="19.5" customHeight="1" x14ac:dyDescent="0.25">
      <c r="A7" s="275">
        <v>3</v>
      </c>
      <c r="B7" s="275">
        <v>4054244640</v>
      </c>
      <c r="C7" s="363" t="s">
        <v>24</v>
      </c>
      <c r="D7" s="363" t="s">
        <v>24</v>
      </c>
      <c r="E7" s="275" t="s">
        <v>1141</v>
      </c>
      <c r="F7" s="15" t="s">
        <v>1406</v>
      </c>
      <c r="G7" s="15" t="s">
        <v>1207</v>
      </c>
      <c r="H7" s="275" t="str">
        <f t="shared" si="0"/>
        <v>Rétirédanslesdélais</v>
      </c>
      <c r="I7" s="275" t="s">
        <v>243</v>
      </c>
      <c r="J7" s="354">
        <v>45595</v>
      </c>
      <c r="K7" s="344"/>
      <c r="L7" s="344"/>
      <c r="M7" s="344"/>
      <c r="N7" s="732"/>
      <c r="O7" s="732"/>
      <c r="P7" s="732"/>
      <c r="Q7" s="732"/>
    </row>
    <row r="8" spans="1:17" ht="19.5" customHeight="1" x14ac:dyDescent="0.25">
      <c r="A8" s="275">
        <v>4</v>
      </c>
      <c r="B8" s="275">
        <v>4054302800</v>
      </c>
      <c r="C8" s="363" t="s">
        <v>23</v>
      </c>
      <c r="D8" s="363" t="s">
        <v>233</v>
      </c>
      <c r="E8" s="275" t="s">
        <v>1370</v>
      </c>
      <c r="F8" s="15" t="s">
        <v>1412</v>
      </c>
      <c r="G8" s="15" t="s">
        <v>1097</v>
      </c>
      <c r="H8" s="275" t="str">
        <f t="shared" si="0"/>
        <v>Rétirédanslesdélais</v>
      </c>
      <c r="I8" s="275" t="s">
        <v>236</v>
      </c>
      <c r="J8" s="354">
        <v>45590</v>
      </c>
      <c r="K8" s="344"/>
      <c r="L8" s="344"/>
      <c r="M8" s="344"/>
      <c r="N8" s="732"/>
      <c r="O8" s="732"/>
      <c r="P8" s="732"/>
      <c r="Q8" s="732"/>
    </row>
    <row r="9" spans="1:17" ht="19.5" customHeight="1" x14ac:dyDescent="0.25">
      <c r="A9" s="275">
        <v>5</v>
      </c>
      <c r="B9" s="275">
        <v>4054302810</v>
      </c>
      <c r="C9" s="363" t="s">
        <v>23</v>
      </c>
      <c r="D9" s="363" t="s">
        <v>233</v>
      </c>
      <c r="E9" s="275" t="s">
        <v>1370</v>
      </c>
      <c r="F9" s="15" t="s">
        <v>1412</v>
      </c>
      <c r="G9" s="15" t="s">
        <v>1097</v>
      </c>
      <c r="H9" s="275" t="str">
        <f t="shared" si="0"/>
        <v>Rétirédanslesdélais</v>
      </c>
      <c r="I9" s="275" t="s">
        <v>237</v>
      </c>
      <c r="J9" s="354">
        <v>45590</v>
      </c>
      <c r="K9" s="344"/>
      <c r="L9" s="344"/>
      <c r="M9" s="344"/>
      <c r="N9" s="732"/>
      <c r="O9" s="732"/>
      <c r="P9" s="732"/>
      <c r="Q9" s="732"/>
    </row>
    <row r="10" spans="1:17" ht="19.5" customHeight="1" x14ac:dyDescent="0.25">
      <c r="A10" s="275">
        <v>6</v>
      </c>
      <c r="B10" s="275">
        <v>4054302140</v>
      </c>
      <c r="C10" s="363" t="s">
        <v>23</v>
      </c>
      <c r="D10" s="363" t="s">
        <v>23</v>
      </c>
      <c r="E10" s="275" t="s">
        <v>1332</v>
      </c>
      <c r="F10" s="15" t="s">
        <v>1412</v>
      </c>
      <c r="G10" s="15" t="s">
        <v>1143</v>
      </c>
      <c r="H10" s="275" t="str">
        <f t="shared" si="0"/>
        <v>Rétirédanslesdélais</v>
      </c>
      <c r="I10" s="275" t="s">
        <v>235</v>
      </c>
      <c r="J10" s="354">
        <v>45590</v>
      </c>
      <c r="K10" s="344"/>
      <c r="L10" s="344"/>
      <c r="M10" s="344"/>
      <c r="N10" s="732"/>
      <c r="O10" s="732"/>
      <c r="P10" s="732"/>
      <c r="Q10" s="732"/>
    </row>
    <row r="11" spans="1:17" ht="19.5" customHeight="1" x14ac:dyDescent="0.25">
      <c r="A11" s="275">
        <v>7</v>
      </c>
      <c r="B11" s="275">
        <v>4054251131</v>
      </c>
      <c r="C11" s="363" t="s">
        <v>24</v>
      </c>
      <c r="D11" s="363" t="s">
        <v>24</v>
      </c>
      <c r="E11" s="275" t="s">
        <v>1370</v>
      </c>
      <c r="F11" s="15" t="s">
        <v>1412</v>
      </c>
      <c r="G11" s="15" t="s">
        <v>1097</v>
      </c>
      <c r="H11" s="275" t="str">
        <f t="shared" si="0"/>
        <v>Rétirédanslesdélais</v>
      </c>
      <c r="I11" s="275" t="s">
        <v>238</v>
      </c>
      <c r="J11" s="354">
        <v>45590</v>
      </c>
      <c r="K11" s="344"/>
      <c r="L11" s="344"/>
      <c r="M11" s="344"/>
      <c r="N11" s="732"/>
      <c r="O11" s="732"/>
      <c r="P11" s="732"/>
      <c r="Q11" s="732"/>
    </row>
    <row r="12" spans="1:17" ht="19.5" customHeight="1" x14ac:dyDescent="0.25">
      <c r="A12" s="275">
        <v>8</v>
      </c>
      <c r="B12" s="275">
        <v>4054286450</v>
      </c>
      <c r="C12" s="363" t="s">
        <v>23</v>
      </c>
      <c r="D12" s="359" t="s">
        <v>23</v>
      </c>
      <c r="E12" s="275" t="s">
        <v>1138</v>
      </c>
      <c r="F12" s="15" t="s">
        <v>1406</v>
      </c>
      <c r="G12" s="15" t="s">
        <v>1207</v>
      </c>
      <c r="H12" s="275" t="str">
        <f t="shared" si="0"/>
        <v>Rétirédanslesdélais</v>
      </c>
      <c r="I12" s="275" t="s">
        <v>241</v>
      </c>
      <c r="J12" s="354">
        <v>45594</v>
      </c>
      <c r="K12" s="344"/>
      <c r="L12" s="344"/>
      <c r="M12" s="344"/>
      <c r="N12" s="732"/>
      <c r="O12" s="732"/>
      <c r="P12" s="732"/>
      <c r="Q12" s="732"/>
    </row>
    <row r="13" spans="1:17" ht="19.5" customHeight="1" x14ac:dyDescent="0.25">
      <c r="A13" s="275">
        <v>9</v>
      </c>
      <c r="B13" s="275">
        <v>4054254850</v>
      </c>
      <c r="C13" s="363" t="s">
        <v>24</v>
      </c>
      <c r="D13" s="363" t="s">
        <v>24</v>
      </c>
      <c r="E13" s="275" t="s">
        <v>1075</v>
      </c>
      <c r="F13" s="15" t="s">
        <v>1065</v>
      </c>
      <c r="G13" s="15" t="s">
        <v>1207</v>
      </c>
      <c r="H13" s="275" t="str">
        <f t="shared" si="0"/>
        <v>Rétirédanslesdélais</v>
      </c>
      <c r="I13" s="275" t="s">
        <v>244</v>
      </c>
      <c r="J13" s="354">
        <v>45595</v>
      </c>
      <c r="K13" s="344"/>
      <c r="L13" s="344"/>
      <c r="M13" s="344"/>
      <c r="N13" s="732"/>
      <c r="O13" s="732"/>
      <c r="P13" s="732"/>
      <c r="Q13" s="732"/>
    </row>
    <row r="14" spans="1:17" ht="19.5" customHeight="1" x14ac:dyDescent="0.25">
      <c r="A14" s="275">
        <v>10</v>
      </c>
      <c r="B14" s="275">
        <v>4054284540</v>
      </c>
      <c r="C14" s="363" t="s">
        <v>26</v>
      </c>
      <c r="D14" s="363" t="s">
        <v>27</v>
      </c>
      <c r="E14" s="364" t="s">
        <v>1348</v>
      </c>
      <c r="F14" s="15" t="s">
        <v>1065</v>
      </c>
      <c r="G14" s="15" t="s">
        <v>1207</v>
      </c>
      <c r="H14" s="275" t="str">
        <f t="shared" si="0"/>
        <v>Rétirédanslesdélais</v>
      </c>
      <c r="I14" s="275" t="s">
        <v>254</v>
      </c>
      <c r="J14" s="354">
        <v>45602</v>
      </c>
      <c r="K14" s="344"/>
      <c r="L14" s="344"/>
      <c r="M14" s="344"/>
      <c r="N14" s="732"/>
      <c r="O14" s="732"/>
      <c r="P14" s="732"/>
      <c r="Q14" s="732"/>
    </row>
    <row r="15" spans="1:17" s="292" customFormat="1" x14ac:dyDescent="0.25">
      <c r="H15"/>
      <c r="I15"/>
      <c r="J15" s="208"/>
      <c r="K15" s="208"/>
      <c r="L15" s="208"/>
      <c r="M15" s="208"/>
      <c r="N15"/>
      <c r="O15"/>
      <c r="P15"/>
      <c r="Q15"/>
    </row>
    <row r="16" spans="1:17" s="292" customFormat="1" x14ac:dyDescent="0.25">
      <c r="H16"/>
      <c r="I16"/>
      <c r="J16" s="208"/>
      <c r="K16" s="208"/>
      <c r="L16" s="208"/>
      <c r="M16" s="208"/>
      <c r="N16"/>
      <c r="O16"/>
      <c r="P16"/>
      <c r="Q16"/>
    </row>
    <row r="17" spans="2:17" s="292" customFormat="1" x14ac:dyDescent="0.25">
      <c r="H17"/>
      <c r="I17"/>
      <c r="J17" s="208"/>
      <c r="K17" s="208"/>
      <c r="L17" s="208"/>
      <c r="M17" s="208"/>
      <c r="N17"/>
      <c r="O17"/>
      <c r="P17"/>
      <c r="Q17"/>
    </row>
    <row r="18" spans="2:17" s="292" customFormat="1" x14ac:dyDescent="0.25">
      <c r="H18"/>
      <c r="I18"/>
      <c r="J18" s="208"/>
      <c r="K18" s="208"/>
      <c r="L18" s="208"/>
      <c r="M18" s="208"/>
      <c r="N18"/>
      <c r="O18"/>
      <c r="P18"/>
      <c r="Q18"/>
    </row>
    <row r="19" spans="2:17" s="292" customFormat="1" x14ac:dyDescent="0.25">
      <c r="H19"/>
      <c r="I19"/>
      <c r="J19" s="208"/>
      <c r="K19" s="208"/>
      <c r="L19" s="208"/>
      <c r="M19" s="208"/>
      <c r="N19"/>
      <c r="O19"/>
      <c r="P19"/>
      <c r="Q19"/>
    </row>
    <row r="20" spans="2:17" x14ac:dyDescent="0.25">
      <c r="B20" s="292"/>
    </row>
    <row r="21" spans="2:17" ht="18.75" x14ac:dyDescent="0.3">
      <c r="B21" s="370"/>
    </row>
    <row r="22" spans="2:17" x14ac:dyDescent="0.25">
      <c r="B22" s="292"/>
    </row>
    <row r="23" spans="2:17" x14ac:dyDescent="0.25">
      <c r="B23" s="292"/>
    </row>
    <row r="24" spans="2:17" x14ac:dyDescent="0.25">
      <c r="B24" s="292"/>
    </row>
    <row r="25" spans="2:17" x14ac:dyDescent="0.25">
      <c r="B25" s="292"/>
    </row>
    <row r="26" spans="2:17" x14ac:dyDescent="0.25">
      <c r="B26" s="292"/>
    </row>
    <row r="27" spans="2:17" x14ac:dyDescent="0.25">
      <c r="B27" s="292"/>
    </row>
    <row r="28" spans="2:17" x14ac:dyDescent="0.25">
      <c r="B28" s="292"/>
    </row>
    <row r="29" spans="2:17" x14ac:dyDescent="0.25">
      <c r="B29" s="292"/>
    </row>
    <row r="30" spans="2:17" x14ac:dyDescent="0.25">
      <c r="B30" s="292"/>
    </row>
    <row r="31" spans="2:17" x14ac:dyDescent="0.25">
      <c r="B31" s="292"/>
    </row>
    <row r="32" spans="2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  <row r="102" spans="2:2" x14ac:dyDescent="0.25">
      <c r="B102" s="292"/>
    </row>
    <row r="103" spans="2:2" x14ac:dyDescent="0.25">
      <c r="B103" s="292"/>
    </row>
    <row r="104" spans="2:2" x14ac:dyDescent="0.25">
      <c r="B104" s="292"/>
    </row>
    <row r="105" spans="2:2" x14ac:dyDescent="0.25">
      <c r="B105" s="292"/>
    </row>
    <row r="106" spans="2:2" x14ac:dyDescent="0.25">
      <c r="B106" s="292"/>
    </row>
    <row r="107" spans="2:2" x14ac:dyDescent="0.25">
      <c r="B107" s="292"/>
    </row>
    <row r="108" spans="2:2" x14ac:dyDescent="0.25">
      <c r="B108" s="292"/>
    </row>
    <row r="109" spans="2:2" x14ac:dyDescent="0.25">
      <c r="B109" s="292"/>
    </row>
    <row r="110" spans="2:2" x14ac:dyDescent="0.25">
      <c r="B110" s="292"/>
    </row>
    <row r="111" spans="2:2" x14ac:dyDescent="0.25">
      <c r="B111" s="292"/>
    </row>
    <row r="112" spans="2:2" x14ac:dyDescent="0.25">
      <c r="B112" s="292"/>
    </row>
  </sheetData>
  <autoFilter ref="A4:Q14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4">
      <sortCondition ref="E4"/>
    </sortState>
  </autoFilter>
  <mergeCells count="13">
    <mergeCell ref="N7:Q7"/>
    <mergeCell ref="H1:J1"/>
    <mergeCell ref="A2:B2"/>
    <mergeCell ref="N4:Q4"/>
    <mergeCell ref="N5:Q5"/>
    <mergeCell ref="N6:Q6"/>
    <mergeCell ref="N14:Q14"/>
    <mergeCell ref="N8:Q8"/>
    <mergeCell ref="N9:Q9"/>
    <mergeCell ref="N10:Q10"/>
    <mergeCell ref="N11:Q11"/>
    <mergeCell ref="N12:Q12"/>
    <mergeCell ref="N13:Q13"/>
  </mergeCells>
  <conditionalFormatting sqref="A5:B14 E5:I14">
    <cfRule type="containsText" dxfId="863" priority="5" operator="containsText" text="Rétiré dans les délais">
      <formula>NOT(ISERROR(SEARCH("Rétiré dans les délais",A5)))</formula>
    </cfRule>
  </conditionalFormatting>
  <conditionalFormatting sqref="B36:B1048576 B1:B4 B15:B16">
    <cfRule type="duplicateValues" dxfId="862" priority="2"/>
    <cfRule type="duplicateValues" dxfId="861" priority="3"/>
  </conditionalFormatting>
  <conditionalFormatting sqref="B1:D3">
    <cfRule type="duplicateValues" dxfId="860" priority="6"/>
    <cfRule type="duplicateValues" dxfId="859" priority="7"/>
    <cfRule type="duplicateValues" dxfId="858" priority="8"/>
    <cfRule type="duplicateValues" dxfId="857" priority="9"/>
  </conditionalFormatting>
  <conditionalFormatting sqref="B36:D1048576 B1:D3 C18:D35">
    <cfRule type="duplicateValues" dxfId="856" priority="10"/>
    <cfRule type="duplicateValues" dxfId="855" priority="11"/>
    <cfRule type="duplicateValues" dxfId="854" priority="12"/>
  </conditionalFormatting>
  <conditionalFormatting sqref="B36:D1048576 B1:D4 C18:D35">
    <cfRule type="duplicateValues" dxfId="853" priority="13"/>
    <cfRule type="duplicateValues" dxfId="852" priority="14"/>
    <cfRule type="duplicateValues" dxfId="851" priority="15"/>
    <cfRule type="duplicateValues" dxfId="850" priority="16"/>
  </conditionalFormatting>
  <conditionalFormatting sqref="B36:D1048576 C18:D35">
    <cfRule type="duplicateValues" dxfId="849" priority="17"/>
  </conditionalFormatting>
  <conditionalFormatting sqref="E5:I14 A5:B14">
    <cfRule type="containsText" dxfId="848" priority="4" operator="containsText" text="En Attente d'un Retrait Tardif">
      <formula>NOT(ISERROR(SEARCH("En Attente d'un Retrait Tardif",A5)))</formula>
    </cfRule>
  </conditionalFormatting>
  <conditionalFormatting sqref="I1:I1048576">
    <cfRule type="duplicateValues" dxfId="847" priority="1"/>
  </conditionalFormatting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D9BF-6C10-4312-AB57-56C9ACFF8D7F}">
  <sheetPr codeName="Feuil52">
    <tabColor theme="5" tint="-0.249977111117893"/>
  </sheetPr>
  <dimension ref="A1:Q101"/>
  <sheetViews>
    <sheetView zoomScaleNormal="100" workbookViewId="0">
      <selection activeCell="F6" sqref="F6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3" width="16.7109375" customWidth="1"/>
    <col min="4" max="4" width="9.85546875" customWidth="1"/>
    <col min="5" max="5" width="43.5703125" style="292" customWidth="1"/>
    <col min="6" max="6" width="23.7109375" style="292" customWidth="1"/>
    <col min="7" max="7" width="23.140625" style="292" customWidth="1"/>
    <col min="8" max="8" width="37.28515625" customWidth="1"/>
    <col min="9" max="9" width="17.28515625" customWidth="1"/>
    <col min="10" max="10" width="16.42578125" style="208" customWidth="1"/>
    <col min="11" max="13" width="11.42578125" style="208" customWidth="1"/>
    <col min="14" max="17" width="3.42578125" customWidth="1"/>
  </cols>
  <sheetData>
    <row r="1" spans="1:17" ht="19.5" thickBot="1" x14ac:dyDescent="0.35">
      <c r="A1" s="348" t="s">
        <v>1453</v>
      </c>
      <c r="B1" s="98"/>
      <c r="C1" s="98"/>
      <c r="D1" s="98"/>
      <c r="E1" s="288"/>
      <c r="F1" s="288"/>
      <c r="G1" s="288"/>
      <c r="H1" s="729"/>
      <c r="I1" s="729"/>
      <c r="J1" s="729"/>
    </row>
    <row r="2" spans="1:17" ht="24" thickBot="1" x14ac:dyDescent="0.3">
      <c r="A2" s="730" t="s">
        <v>0</v>
      </c>
      <c r="B2" s="730"/>
      <c r="C2" s="24"/>
      <c r="D2" s="24"/>
      <c r="E2" s="25"/>
      <c r="F2" s="358">
        <f ca="1">J2-H2</f>
        <v>501</v>
      </c>
      <c r="G2" s="25"/>
      <c r="H2" s="314">
        <v>45595</v>
      </c>
      <c r="I2" s="365">
        <f ca="1">J2-H2</f>
        <v>501</v>
      </c>
      <c r="J2" s="315">
        <f ca="1">TODAY()</f>
        <v>46096</v>
      </c>
      <c r="K2" s="340"/>
      <c r="L2" s="340"/>
    </row>
    <row r="3" spans="1:17" x14ac:dyDescent="0.25">
      <c r="H3" s="105"/>
      <c r="I3" s="105"/>
      <c r="M3" s="369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275">
        <v>4054309420</v>
      </c>
      <c r="C5" s="275" t="s">
        <v>26</v>
      </c>
      <c r="D5" s="275" t="s">
        <v>27</v>
      </c>
      <c r="E5" s="368" t="s">
        <v>1450</v>
      </c>
      <c r="F5" s="15" t="s">
        <v>1412</v>
      </c>
      <c r="G5" s="15" t="s">
        <v>1207</v>
      </c>
      <c r="H5" s="275" t="str">
        <f t="shared" ref="H5:H15" si="0">IF(J5="",IF($F$2&lt;=15,"EnattentedeRetrait","EnAttented'unRetraitTardif"),IF(J5-$H$2&lt;=15,"Rétirédanslesdélais",IF(J5-$H$2&gt;15,"Rétirétardivement-30000FCFAamende")))</f>
        <v>Rétirédanslesdélais</v>
      </c>
      <c r="I5" s="275" t="s">
        <v>245</v>
      </c>
      <c r="J5" s="354">
        <v>45596</v>
      </c>
      <c r="K5" s="355"/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275">
        <v>4054290251</v>
      </c>
      <c r="C6" s="275" t="s">
        <v>26</v>
      </c>
      <c r="D6" s="275" t="s">
        <v>211</v>
      </c>
      <c r="E6" s="368" t="s">
        <v>46</v>
      </c>
      <c r="F6" s="275" t="s">
        <v>1454</v>
      </c>
      <c r="G6" s="15" t="s">
        <v>1207</v>
      </c>
      <c r="H6" s="275" t="str">
        <f t="shared" si="0"/>
        <v>Rétirédanslesdélais</v>
      </c>
      <c r="I6" s="275" t="s">
        <v>253</v>
      </c>
      <c r="J6" s="354">
        <v>45601</v>
      </c>
      <c r="K6" s="355"/>
      <c r="L6" s="344"/>
      <c r="M6" s="344"/>
      <c r="N6" s="732"/>
      <c r="O6" s="732"/>
      <c r="P6" s="732"/>
      <c r="Q6" s="732"/>
    </row>
    <row r="7" spans="1:17" ht="19.5" customHeight="1" x14ac:dyDescent="0.25">
      <c r="A7" s="275">
        <v>3</v>
      </c>
      <c r="B7" s="275">
        <v>4054290250</v>
      </c>
      <c r="C7" s="275" t="s">
        <v>26</v>
      </c>
      <c r="D7" s="275" t="s">
        <v>211</v>
      </c>
      <c r="E7" s="368" t="s">
        <v>46</v>
      </c>
      <c r="F7" s="275" t="s">
        <v>1454</v>
      </c>
      <c r="G7" s="15" t="s">
        <v>1207</v>
      </c>
      <c r="H7" s="275" t="str">
        <f t="shared" si="0"/>
        <v>Rétirédanslesdélais</v>
      </c>
      <c r="I7" s="275" t="s">
        <v>252</v>
      </c>
      <c r="J7" s="354">
        <v>45601</v>
      </c>
      <c r="K7" s="344"/>
      <c r="L7" s="344"/>
      <c r="M7" s="344"/>
      <c r="N7" s="732"/>
      <c r="O7" s="732"/>
      <c r="P7" s="732"/>
      <c r="Q7" s="732"/>
    </row>
    <row r="8" spans="1:17" ht="19.5" customHeight="1" x14ac:dyDescent="0.25">
      <c r="A8" s="275">
        <v>4</v>
      </c>
      <c r="B8" s="275">
        <v>4054289780</v>
      </c>
      <c r="C8" s="275" t="s">
        <v>26</v>
      </c>
      <c r="D8" s="275" t="s">
        <v>211</v>
      </c>
      <c r="E8" s="368" t="s">
        <v>46</v>
      </c>
      <c r="F8" s="275" t="s">
        <v>1454</v>
      </c>
      <c r="G8" s="275" t="s">
        <v>1207</v>
      </c>
      <c r="H8" s="275" t="str">
        <f t="shared" si="0"/>
        <v>Rétirédanslesdélais</v>
      </c>
      <c r="I8" s="275" t="s">
        <v>251</v>
      </c>
      <c r="J8" s="354">
        <v>45601</v>
      </c>
      <c r="K8" s="344"/>
      <c r="L8" s="344"/>
      <c r="M8" s="344"/>
      <c r="N8" s="732"/>
      <c r="O8" s="732"/>
      <c r="P8" s="732"/>
      <c r="Q8" s="732"/>
    </row>
    <row r="9" spans="1:17" ht="19.5" customHeight="1" x14ac:dyDescent="0.25">
      <c r="A9" s="275">
        <v>5</v>
      </c>
      <c r="B9" s="275">
        <v>4054320130</v>
      </c>
      <c r="C9" s="275" t="s">
        <v>26</v>
      </c>
      <c r="D9" s="275" t="s">
        <v>27</v>
      </c>
      <c r="E9" s="368" t="s">
        <v>1455</v>
      </c>
      <c r="F9" s="275" t="s">
        <v>1456</v>
      </c>
      <c r="G9" s="15" t="s">
        <v>1207</v>
      </c>
      <c r="H9" s="275" t="str">
        <f t="shared" si="0"/>
        <v>Rétirédanslesdélais</v>
      </c>
      <c r="I9" s="275" t="s">
        <v>246</v>
      </c>
      <c r="J9" s="354">
        <v>45596</v>
      </c>
      <c r="K9" s="344"/>
      <c r="L9" s="344"/>
      <c r="M9" s="344"/>
      <c r="N9" s="732"/>
      <c r="O9" s="732"/>
      <c r="P9" s="732"/>
      <c r="Q9" s="732"/>
    </row>
    <row r="10" spans="1:17" ht="19.5" customHeight="1" x14ac:dyDescent="0.25">
      <c r="A10" s="275">
        <v>6</v>
      </c>
      <c r="B10" s="275">
        <v>2748755920</v>
      </c>
      <c r="C10" s="275" t="s">
        <v>23</v>
      </c>
      <c r="D10" s="275" t="s">
        <v>31</v>
      </c>
      <c r="E10" s="368" t="s">
        <v>1118</v>
      </c>
      <c r="F10" s="275" t="s">
        <v>1457</v>
      </c>
      <c r="G10" s="15" t="s">
        <v>1207</v>
      </c>
      <c r="H10" s="275" t="str">
        <f t="shared" si="0"/>
        <v>Rétirédanslesdélais</v>
      </c>
      <c r="I10" s="275" t="s">
        <v>250</v>
      </c>
      <c r="J10" s="354">
        <v>45601</v>
      </c>
      <c r="K10" s="344"/>
      <c r="L10" s="344"/>
      <c r="M10" s="344"/>
      <c r="N10" s="732"/>
      <c r="O10" s="732"/>
      <c r="P10" s="732"/>
      <c r="Q10" s="732"/>
    </row>
    <row r="11" spans="1:17" ht="19.5" customHeight="1" x14ac:dyDescent="0.25">
      <c r="A11" s="275">
        <v>7</v>
      </c>
      <c r="B11" s="275">
        <v>4054326520</v>
      </c>
      <c r="C11" s="275" t="s">
        <v>23</v>
      </c>
      <c r="D11" s="275" t="s">
        <v>23</v>
      </c>
      <c r="E11" s="368" t="s">
        <v>1458</v>
      </c>
      <c r="F11" s="15" t="s">
        <v>1412</v>
      </c>
      <c r="G11" s="15" t="s">
        <v>1207</v>
      </c>
      <c r="H11" s="275" t="str">
        <f t="shared" si="0"/>
        <v>Rétirédanslesdélais</v>
      </c>
      <c r="I11" s="275" t="s">
        <v>247</v>
      </c>
      <c r="J11" s="354">
        <v>45596</v>
      </c>
      <c r="K11" s="344"/>
      <c r="L11" s="344"/>
      <c r="M11" s="344"/>
      <c r="N11" s="732"/>
      <c r="O11" s="732"/>
      <c r="P11" s="732"/>
      <c r="Q11" s="732"/>
    </row>
    <row r="12" spans="1:17" ht="19.5" customHeight="1" x14ac:dyDescent="0.25">
      <c r="A12" s="275">
        <v>8</v>
      </c>
      <c r="B12" s="275">
        <v>4054322880</v>
      </c>
      <c r="C12" s="275" t="s">
        <v>23</v>
      </c>
      <c r="D12" s="275" t="s">
        <v>233</v>
      </c>
      <c r="E12" s="368" t="s">
        <v>1119</v>
      </c>
      <c r="F12" s="15" t="s">
        <v>1412</v>
      </c>
      <c r="G12" s="15" t="s">
        <v>1207</v>
      </c>
      <c r="H12" s="275" t="str">
        <f t="shared" si="0"/>
        <v>Rétirédanslesdélais</v>
      </c>
      <c r="I12" s="275" t="s">
        <v>257</v>
      </c>
      <c r="J12" s="354">
        <v>45572</v>
      </c>
      <c r="K12" s="344"/>
      <c r="L12" s="344"/>
      <c r="M12" s="344"/>
      <c r="N12" s="732"/>
      <c r="O12" s="732"/>
      <c r="P12" s="732"/>
      <c r="Q12" s="732"/>
    </row>
    <row r="13" spans="1:17" ht="19.5" customHeight="1" x14ac:dyDescent="0.25">
      <c r="A13" s="275">
        <v>9</v>
      </c>
      <c r="B13" s="275">
        <v>4054322910</v>
      </c>
      <c r="C13" s="275" t="s">
        <v>23</v>
      </c>
      <c r="D13" s="275" t="s">
        <v>233</v>
      </c>
      <c r="E13" s="368" t="s">
        <v>1119</v>
      </c>
      <c r="F13" s="15" t="s">
        <v>1412</v>
      </c>
      <c r="G13" s="15" t="s">
        <v>1207</v>
      </c>
      <c r="H13" s="275" t="str">
        <f t="shared" si="0"/>
        <v>Rétirédanslesdélais</v>
      </c>
      <c r="I13" s="275" t="s">
        <v>258</v>
      </c>
      <c r="J13" s="354">
        <v>45572</v>
      </c>
      <c r="K13" s="344"/>
      <c r="L13" s="344"/>
      <c r="M13" s="344"/>
      <c r="N13" s="732"/>
      <c r="O13" s="732"/>
      <c r="P13" s="732"/>
      <c r="Q13" s="732"/>
    </row>
    <row r="14" spans="1:17" ht="19.5" customHeight="1" x14ac:dyDescent="0.25">
      <c r="A14" s="275">
        <v>10</v>
      </c>
      <c r="B14" s="275">
        <v>4054322890</v>
      </c>
      <c r="C14" s="275" t="s">
        <v>23</v>
      </c>
      <c r="D14" s="275" t="s">
        <v>23</v>
      </c>
      <c r="E14" s="368" t="s">
        <v>1119</v>
      </c>
      <c r="F14" s="15" t="s">
        <v>1412</v>
      </c>
      <c r="G14" s="15" t="s">
        <v>1207</v>
      </c>
      <c r="H14" s="275" t="str">
        <f t="shared" si="0"/>
        <v>Rétirédanslesdélais</v>
      </c>
      <c r="I14" s="275" t="s">
        <v>248</v>
      </c>
      <c r="J14" s="354">
        <v>45600</v>
      </c>
      <c r="K14" s="344"/>
      <c r="L14" s="344"/>
      <c r="M14" s="344"/>
      <c r="N14" s="732"/>
      <c r="O14" s="732"/>
      <c r="P14" s="732"/>
      <c r="Q14" s="732"/>
    </row>
    <row r="15" spans="1:17" s="292" customFormat="1" ht="17.25" x14ac:dyDescent="0.2">
      <c r="A15" s="275">
        <v>11</v>
      </c>
      <c r="B15" s="275">
        <v>2748755929</v>
      </c>
      <c r="C15" s="275" t="s">
        <v>23</v>
      </c>
      <c r="D15" s="275" t="s">
        <v>31</v>
      </c>
      <c r="E15" s="368" t="s">
        <v>1118</v>
      </c>
      <c r="F15" s="15" t="s">
        <v>1412</v>
      </c>
      <c r="G15" s="15" t="s">
        <v>1207</v>
      </c>
      <c r="H15" s="275" t="str">
        <f t="shared" si="0"/>
        <v>Rétirédanslesdélais</v>
      </c>
      <c r="I15" s="275" t="s">
        <v>249</v>
      </c>
      <c r="J15" s="354">
        <v>45601</v>
      </c>
      <c r="K15" s="355"/>
      <c r="L15" s="355"/>
      <c r="M15" s="355"/>
      <c r="N15" s="746"/>
      <c r="O15" s="746"/>
      <c r="P15" s="746"/>
      <c r="Q15" s="746"/>
    </row>
    <row r="16" spans="1:17" s="292" customFormat="1" x14ac:dyDescent="0.25">
      <c r="H16"/>
      <c r="I16"/>
      <c r="J16" s="208"/>
      <c r="K16" s="208"/>
      <c r="L16" s="208"/>
      <c r="M16" s="208"/>
      <c r="N16"/>
      <c r="O16"/>
      <c r="P16"/>
      <c r="Q16"/>
    </row>
    <row r="17" spans="2:17" s="292" customFormat="1" x14ac:dyDescent="0.25">
      <c r="H17"/>
      <c r="I17"/>
      <c r="J17" s="208"/>
      <c r="K17" s="208"/>
      <c r="L17" s="208"/>
      <c r="M17" s="208"/>
      <c r="N17"/>
      <c r="O17"/>
      <c r="P17"/>
      <c r="Q17"/>
    </row>
    <row r="18" spans="2:17" x14ac:dyDescent="0.25">
      <c r="B18" s="292"/>
    </row>
    <row r="19" spans="2:17" x14ac:dyDescent="0.25">
      <c r="B19" s="292"/>
    </row>
    <row r="20" spans="2:17" x14ac:dyDescent="0.25">
      <c r="B20" s="292"/>
    </row>
    <row r="21" spans="2:17" x14ac:dyDescent="0.25">
      <c r="B21" s="292"/>
      <c r="C21" s="373"/>
    </row>
    <row r="22" spans="2:17" ht="15.75" x14ac:dyDescent="0.25">
      <c r="B22" s="372"/>
      <c r="C22" s="374"/>
    </row>
    <row r="23" spans="2:17" ht="15.75" x14ac:dyDescent="0.25">
      <c r="B23" s="372"/>
      <c r="C23" s="374"/>
    </row>
    <row r="24" spans="2:17" ht="15.75" x14ac:dyDescent="0.25">
      <c r="B24" s="372"/>
      <c r="C24" s="374"/>
    </row>
    <row r="25" spans="2:17" ht="18.75" x14ac:dyDescent="0.3">
      <c r="B25" s="370"/>
    </row>
    <row r="26" spans="2:17" ht="18.75" x14ac:dyDescent="0.3">
      <c r="B26" s="370"/>
    </row>
    <row r="27" spans="2:17" x14ac:dyDescent="0.25">
      <c r="B27" s="292"/>
    </row>
    <row r="28" spans="2:17" x14ac:dyDescent="0.25">
      <c r="B28" s="292"/>
    </row>
    <row r="29" spans="2:17" x14ac:dyDescent="0.25">
      <c r="B29" s="292"/>
    </row>
    <row r="30" spans="2:17" x14ac:dyDescent="0.25">
      <c r="B30" s="292"/>
    </row>
    <row r="31" spans="2:17" x14ac:dyDescent="0.25">
      <c r="B31" s="292"/>
    </row>
    <row r="32" spans="2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</sheetData>
  <autoFilter ref="A4:Q15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4">
      <sortCondition ref="E4"/>
    </sortState>
  </autoFilter>
  <mergeCells count="14">
    <mergeCell ref="N7:Q7"/>
    <mergeCell ref="N15:Q15"/>
    <mergeCell ref="H1:J1"/>
    <mergeCell ref="A2:B2"/>
    <mergeCell ref="N4:Q4"/>
    <mergeCell ref="N5:Q5"/>
    <mergeCell ref="N6:Q6"/>
    <mergeCell ref="N14:Q14"/>
    <mergeCell ref="N8:Q8"/>
    <mergeCell ref="N9:Q9"/>
    <mergeCell ref="N10:Q10"/>
    <mergeCell ref="N11:Q11"/>
    <mergeCell ref="N12:Q12"/>
    <mergeCell ref="N13:Q13"/>
  </mergeCells>
  <conditionalFormatting sqref="B5:B15">
    <cfRule type="duplicateValues" dxfId="846" priority="5"/>
  </conditionalFormatting>
  <conditionalFormatting sqref="B5:B26">
    <cfRule type="duplicateValues" dxfId="845" priority="2"/>
  </conditionalFormatting>
  <conditionalFormatting sqref="B22:B24">
    <cfRule type="duplicateValues" dxfId="844" priority="1"/>
  </conditionalFormatting>
  <conditionalFormatting sqref="B24:B26">
    <cfRule type="duplicateValues" dxfId="843" priority="3"/>
  </conditionalFormatting>
  <conditionalFormatting sqref="B27:B1048576 B1:B4 B16">
    <cfRule type="duplicateValues" dxfId="842" priority="7"/>
    <cfRule type="duplicateValues" dxfId="841" priority="8"/>
  </conditionalFormatting>
  <conditionalFormatting sqref="B27:B1048576 B1:B24">
    <cfRule type="duplicateValues" dxfId="840" priority="4"/>
  </conditionalFormatting>
  <conditionalFormatting sqref="B1:D3">
    <cfRule type="duplicateValues" dxfId="839" priority="11"/>
    <cfRule type="duplicateValues" dxfId="838" priority="12"/>
    <cfRule type="duplicateValues" dxfId="837" priority="13"/>
    <cfRule type="duplicateValues" dxfId="836" priority="14"/>
  </conditionalFormatting>
  <conditionalFormatting sqref="B27:D1048576 B1:D3 C18:D26">
    <cfRule type="duplicateValues" dxfId="835" priority="15"/>
    <cfRule type="duplicateValues" dxfId="834" priority="16"/>
    <cfRule type="duplicateValues" dxfId="833" priority="17"/>
  </conditionalFormatting>
  <conditionalFormatting sqref="B27:D1048576 B1:D4 C18:D26">
    <cfRule type="duplicateValues" dxfId="832" priority="18"/>
    <cfRule type="duplicateValues" dxfId="831" priority="19"/>
    <cfRule type="duplicateValues" dxfId="830" priority="20"/>
    <cfRule type="duplicateValues" dxfId="829" priority="21"/>
  </conditionalFormatting>
  <conditionalFormatting sqref="B27:D1048576 C18:D26">
    <cfRule type="duplicateValues" dxfId="828" priority="22"/>
  </conditionalFormatting>
  <conditionalFormatting sqref="H5:H9 A5:A15 H10:I10 H11:H15">
    <cfRule type="containsText" dxfId="827" priority="10" operator="containsText" text="Rétiré dans les délais">
      <formula>NOT(ISERROR(SEARCH("Rétiré dans les délais",A5)))</formula>
    </cfRule>
  </conditionalFormatting>
  <conditionalFormatting sqref="H10:I10 H5:H9 A5:A15 H11:H15">
    <cfRule type="containsText" dxfId="826" priority="9" operator="containsText" text="En Attente d'un Retrait Tardif">
      <formula>NOT(ISERROR(SEARCH("En Attente d'un Retrait Tardif",A5)))</formula>
    </cfRule>
  </conditionalFormatting>
  <conditionalFormatting sqref="I1:I4 I10 I16:I1048576">
    <cfRule type="duplicateValues" dxfId="825" priority="6"/>
  </conditionalFormatting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333B-2752-4C00-8438-21B945DCBC24}">
  <sheetPr codeName="Feuil53">
    <tabColor theme="5" tint="-0.249977111117893"/>
  </sheetPr>
  <dimension ref="A1:Q103"/>
  <sheetViews>
    <sheetView zoomScaleNormal="100" workbookViewId="0">
      <selection activeCell="F26" sqref="F26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50.5703125" style="292" customWidth="1"/>
    <col min="6" max="6" width="23.7109375" style="292" customWidth="1"/>
    <col min="7" max="7" width="23.140625" style="292" customWidth="1"/>
    <col min="8" max="8" width="38" customWidth="1"/>
    <col min="9" max="9" width="17.28515625" customWidth="1"/>
    <col min="10" max="10" width="17.140625" style="208" customWidth="1"/>
    <col min="11" max="11" width="32.42578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1459</v>
      </c>
      <c r="B1" s="98"/>
      <c r="C1" s="98"/>
      <c r="D1" s="98"/>
      <c r="E1" s="288"/>
      <c r="F1" s="288"/>
      <c r="G1" s="288"/>
      <c r="H1" s="729"/>
      <c r="I1" s="729"/>
      <c r="J1" s="729"/>
      <c r="M1" s="356"/>
    </row>
    <row r="2" spans="1:17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45586</v>
      </c>
      <c r="I2" s="365">
        <f ca="1">J2-H2</f>
        <v>510</v>
      </c>
      <c r="J2" s="315">
        <f ca="1">TODAY()</f>
        <v>46096</v>
      </c>
      <c r="K2" s="340"/>
      <c r="L2" s="340"/>
      <c r="M2" s="358">
        <f ca="1">J2-H2</f>
        <v>510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275">
        <v>4054314070</v>
      </c>
      <c r="C5" s="363"/>
      <c r="D5" s="359"/>
      <c r="E5" s="275" t="s">
        <v>1460</v>
      </c>
      <c r="F5" s="15" t="s">
        <v>1406</v>
      </c>
      <c r="G5" s="15" t="s">
        <v>1207</v>
      </c>
      <c r="H5" s="275" t="str">
        <f>IF(J5="",IF($M$2&lt;=15,"EnattentedeRetrait","EnAttented'unRetraitTardif"),IF(J5-$H$2&lt;=15,"Rétirédanslesdélais",IF(J5-$H$2&gt;15,"Rétirétardivement-30000FCFAamende")))</f>
        <v>Rétirédanslesdélais</v>
      </c>
      <c r="I5" s="275" t="s">
        <v>240</v>
      </c>
      <c r="J5" s="354">
        <v>45594</v>
      </c>
      <c r="K5" s="355"/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275">
        <v>4054292060</v>
      </c>
      <c r="C6" s="363"/>
      <c r="D6" s="359"/>
      <c r="E6" s="275" t="s">
        <v>1075</v>
      </c>
      <c r="F6" s="15" t="s">
        <v>1406</v>
      </c>
      <c r="G6" s="15" t="s">
        <v>1207</v>
      </c>
      <c r="H6" s="275" t="str">
        <f>IF(J6="",IF($M$2&lt;=15,"EnattentedeRetrait","EnAttented'unRetraitTardif"),IF(J6-$H$2&lt;=15,"Rétirédanslesdélais",IF(J6-$H$2&gt;15,"Rétirétardivement-30000FCFAamende")))</f>
        <v>Rétirédanslesdélais</v>
      </c>
      <c r="I6" s="275" t="s">
        <v>234</v>
      </c>
      <c r="J6" s="354">
        <v>45590</v>
      </c>
      <c r="K6" s="344"/>
      <c r="L6" s="344"/>
      <c r="M6" s="344"/>
      <c r="N6" s="732"/>
      <c r="O6" s="732"/>
      <c r="P6" s="732"/>
      <c r="Q6" s="732"/>
    </row>
    <row r="7" spans="1:17" s="292" customFormat="1" x14ac:dyDescent="0.25">
      <c r="H7"/>
      <c r="I7"/>
      <c r="J7" s="208"/>
      <c r="K7" s="208"/>
      <c r="L7" s="208"/>
      <c r="M7" s="208"/>
      <c r="N7"/>
      <c r="O7"/>
      <c r="P7"/>
      <c r="Q7"/>
    </row>
    <row r="8" spans="1:17" s="292" customFormat="1" x14ac:dyDescent="0.25">
      <c r="H8"/>
      <c r="I8"/>
      <c r="J8" s="208"/>
      <c r="K8" s="208"/>
      <c r="L8" s="208"/>
      <c r="M8" s="208"/>
      <c r="N8"/>
      <c r="O8"/>
      <c r="P8"/>
      <c r="Q8"/>
    </row>
    <row r="9" spans="1:17" s="292" customFormat="1" x14ac:dyDescent="0.25">
      <c r="H9"/>
      <c r="I9"/>
      <c r="J9" s="208"/>
      <c r="K9" s="208"/>
      <c r="L9" s="208"/>
      <c r="M9" s="208"/>
      <c r="N9"/>
      <c r="O9"/>
      <c r="P9"/>
      <c r="Q9"/>
    </row>
    <row r="10" spans="1:17" s="292" customFormat="1" x14ac:dyDescent="0.25">
      <c r="H10"/>
      <c r="I10"/>
      <c r="J10" s="208"/>
      <c r="K10" s="208"/>
      <c r="L10" s="208"/>
      <c r="M10" s="208"/>
      <c r="N10"/>
      <c r="O10"/>
      <c r="P10"/>
      <c r="Q10"/>
    </row>
    <row r="11" spans="1:17" x14ac:dyDescent="0.25">
      <c r="B11" s="292"/>
    </row>
    <row r="12" spans="1:17" x14ac:dyDescent="0.25">
      <c r="B12" s="292"/>
    </row>
    <row r="13" spans="1:17" x14ac:dyDescent="0.25">
      <c r="B13" s="292"/>
    </row>
    <row r="14" spans="1:17" x14ac:dyDescent="0.25">
      <c r="B14" s="292"/>
    </row>
    <row r="15" spans="1:17" x14ac:dyDescent="0.25">
      <c r="B15" s="292"/>
    </row>
    <row r="16" spans="1:17" x14ac:dyDescent="0.25">
      <c r="B16" s="292"/>
    </row>
    <row r="17" spans="2:2" x14ac:dyDescent="0.25">
      <c r="B17" s="292"/>
    </row>
    <row r="18" spans="2:2" x14ac:dyDescent="0.25">
      <c r="B18" s="292"/>
    </row>
    <row r="19" spans="2:2" x14ac:dyDescent="0.25">
      <c r="B19" s="292"/>
    </row>
    <row r="20" spans="2:2" x14ac:dyDescent="0.25">
      <c r="B20" s="292"/>
    </row>
    <row r="21" spans="2:2" x14ac:dyDescent="0.25">
      <c r="B21" s="292"/>
    </row>
    <row r="22" spans="2:2" x14ac:dyDescent="0.25">
      <c r="B22" s="292"/>
    </row>
    <row r="23" spans="2:2" x14ac:dyDescent="0.25">
      <c r="B23" s="292"/>
    </row>
    <row r="24" spans="2:2" x14ac:dyDescent="0.25">
      <c r="B24" s="292"/>
    </row>
    <row r="25" spans="2:2" x14ac:dyDescent="0.25">
      <c r="B25" s="292"/>
    </row>
    <row r="26" spans="2:2" x14ac:dyDescent="0.25">
      <c r="B26" s="292"/>
    </row>
    <row r="27" spans="2:2" x14ac:dyDescent="0.25">
      <c r="B27" s="292"/>
    </row>
    <row r="28" spans="2:2" x14ac:dyDescent="0.25">
      <c r="B28" s="292"/>
    </row>
    <row r="29" spans="2:2" x14ac:dyDescent="0.25">
      <c r="B29" s="292"/>
    </row>
    <row r="30" spans="2:2" x14ac:dyDescent="0.25">
      <c r="B30" s="292"/>
    </row>
    <row r="31" spans="2:2" x14ac:dyDescent="0.25">
      <c r="B31" s="292"/>
    </row>
    <row r="32" spans="2:2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  <row r="102" spans="2:2" x14ac:dyDescent="0.25">
      <c r="B102" s="292"/>
    </row>
    <row r="103" spans="2:2" x14ac:dyDescent="0.25">
      <c r="B103" s="292"/>
    </row>
  </sheetData>
  <autoFilter ref="A4:Q6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6">
      <sortCondition ref="E4"/>
    </sortState>
  </autoFilter>
  <mergeCells count="5">
    <mergeCell ref="H1:J1"/>
    <mergeCell ref="A2:B2"/>
    <mergeCell ref="N4:Q4"/>
    <mergeCell ref="N5:Q5"/>
    <mergeCell ref="N6:Q6"/>
  </mergeCells>
  <conditionalFormatting sqref="A5:B6 E5:I6">
    <cfRule type="containsText" dxfId="824" priority="5" operator="containsText" text="Rétiré dans les délais">
      <formula>NOT(ISERROR(SEARCH("Rétiré dans les délais",A5)))</formula>
    </cfRule>
  </conditionalFormatting>
  <conditionalFormatting sqref="B27:B1048576 B1:B4 B7">
    <cfRule type="duplicateValues" dxfId="823" priority="2"/>
    <cfRule type="duplicateValues" dxfId="822" priority="3"/>
  </conditionalFormatting>
  <conditionalFormatting sqref="B1:D3">
    <cfRule type="duplicateValues" dxfId="821" priority="6"/>
    <cfRule type="duplicateValues" dxfId="820" priority="7"/>
    <cfRule type="duplicateValues" dxfId="819" priority="8"/>
    <cfRule type="duplicateValues" dxfId="818" priority="9"/>
  </conditionalFormatting>
  <conditionalFormatting sqref="B27:D1048576 B1:D3 C9:D26">
    <cfRule type="duplicateValues" dxfId="817" priority="10"/>
    <cfRule type="duplicateValues" dxfId="816" priority="11"/>
    <cfRule type="duplicateValues" dxfId="815" priority="12"/>
  </conditionalFormatting>
  <conditionalFormatting sqref="B27:D1048576 B1:D4 C9:D26">
    <cfRule type="duplicateValues" dxfId="814" priority="13"/>
    <cfRule type="duplicateValues" dxfId="813" priority="14"/>
    <cfRule type="duplicateValues" dxfId="812" priority="15"/>
    <cfRule type="duplicateValues" dxfId="811" priority="16"/>
  </conditionalFormatting>
  <conditionalFormatting sqref="B27:D1048576 C9:D26">
    <cfRule type="duplicateValues" dxfId="810" priority="17"/>
  </conditionalFormatting>
  <conditionalFormatting sqref="E5:I6 A5:B6">
    <cfRule type="containsText" dxfId="809" priority="4" operator="containsText" text="En Attente d'un Retrait Tardif">
      <formula>NOT(ISERROR(SEARCH("En Attente d'un Retrait Tardif",A5)))</formula>
    </cfRule>
  </conditionalFormatting>
  <conditionalFormatting sqref="I1:I1048576">
    <cfRule type="duplicateValues" dxfId="808" priority="1"/>
  </conditionalFormatting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6E49-EF8C-4E58-A9CC-4159C40384DC}">
  <sheetPr codeName="Feuil54">
    <tabColor theme="5" tint="-0.249977111117893"/>
  </sheetPr>
  <dimension ref="A1:Q172"/>
  <sheetViews>
    <sheetView zoomScaleNormal="100" workbookViewId="0">
      <selection activeCell="E9" sqref="E9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35.85546875" style="292" customWidth="1"/>
    <col min="6" max="6" width="23.7109375" style="292" customWidth="1"/>
    <col min="7" max="7" width="23.140625" style="292" customWidth="1"/>
    <col min="8" max="8" width="32.140625" customWidth="1"/>
    <col min="9" max="9" width="17.28515625" customWidth="1"/>
    <col min="10" max="10" width="17.140625" style="208" customWidth="1"/>
    <col min="11" max="11" width="47.5703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/>
      <c r="B1" s="98" t="s">
        <v>1461</v>
      </c>
      <c r="C1" s="98"/>
      <c r="D1" s="98"/>
      <c r="E1" s="288"/>
      <c r="F1" s="288"/>
      <c r="G1" s="288"/>
      <c r="H1" s="729"/>
      <c r="I1" s="729"/>
      <c r="J1" s="729"/>
      <c r="M1" s="356"/>
    </row>
    <row r="2" spans="1:17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45565</v>
      </c>
      <c r="I2" s="365">
        <f ca="1">J2-H2</f>
        <v>531</v>
      </c>
      <c r="J2" s="315">
        <f ca="1">TODAY()</f>
        <v>46096</v>
      </c>
      <c r="K2" s="340"/>
      <c r="L2" s="340"/>
      <c r="M2" s="358">
        <f ca="1">J2-H2</f>
        <v>531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362">
        <v>4054278120</v>
      </c>
      <c r="C5" s="323" t="s">
        <v>23</v>
      </c>
      <c r="D5" s="323" t="s">
        <v>28</v>
      </c>
      <c r="E5" s="323" t="s">
        <v>53</v>
      </c>
      <c r="F5" s="275" t="s">
        <v>17</v>
      </c>
      <c r="G5" s="275" t="s">
        <v>1207</v>
      </c>
      <c r="H5" s="275" t="str">
        <f t="shared" ref="H5:H11" si="0">IF(J5="",IF($M$2&lt;=15,"EnattentedeRetrait","EnAttented'unRetraitTardif"),IF(J5-$H$2&lt;=15,"Rétirédanslesdélais",IF(J5-$H$2&gt;15,"Rétirétardivement-30000FCFAamende")))</f>
        <v>Rétirédanslesdélais</v>
      </c>
      <c r="I5" s="275" t="s">
        <v>214</v>
      </c>
      <c r="J5" s="361">
        <v>45573</v>
      </c>
      <c r="K5" s="355"/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362">
        <v>4054285820</v>
      </c>
      <c r="C6" s="323" t="s">
        <v>23</v>
      </c>
      <c r="D6" s="323" t="s">
        <v>23</v>
      </c>
      <c r="E6" s="323" t="s">
        <v>1332</v>
      </c>
      <c r="F6" s="275" t="s">
        <v>17</v>
      </c>
      <c r="G6" s="275" t="s">
        <v>1207</v>
      </c>
      <c r="H6" s="275" t="str">
        <f t="shared" si="0"/>
        <v>Rétirédanslesdélais</v>
      </c>
      <c r="I6" s="275" t="s">
        <v>213</v>
      </c>
      <c r="J6" s="361">
        <v>45572</v>
      </c>
      <c r="K6" s="344"/>
      <c r="L6" s="344"/>
      <c r="M6" s="344"/>
      <c r="N6" s="732"/>
      <c r="O6" s="732"/>
      <c r="P6" s="732"/>
      <c r="Q6" s="732"/>
    </row>
    <row r="7" spans="1:17" ht="19.5" customHeight="1" x14ac:dyDescent="0.25">
      <c r="A7" s="275">
        <v>3</v>
      </c>
      <c r="B7" s="362">
        <v>4054251130</v>
      </c>
      <c r="C7" s="323" t="s">
        <v>24</v>
      </c>
      <c r="D7" s="323" t="s">
        <v>24</v>
      </c>
      <c r="E7" s="323" t="s">
        <v>1370</v>
      </c>
      <c r="F7" s="275" t="s">
        <v>17</v>
      </c>
      <c r="G7" s="275" t="s">
        <v>1207</v>
      </c>
      <c r="H7" s="275" t="str">
        <f t="shared" si="0"/>
        <v>Rétirétardivement-30000FCFAamende</v>
      </c>
      <c r="I7" s="275" t="s">
        <v>239</v>
      </c>
      <c r="J7" s="361">
        <v>45590</v>
      </c>
      <c r="K7" s="344"/>
      <c r="L7" s="344"/>
      <c r="M7" s="344"/>
      <c r="N7" s="732"/>
      <c r="O7" s="732"/>
      <c r="P7" s="732"/>
      <c r="Q7" s="732"/>
    </row>
    <row r="8" spans="1:17" ht="19.5" customHeight="1" x14ac:dyDescent="0.25">
      <c r="A8" s="275">
        <v>4</v>
      </c>
      <c r="B8" s="362">
        <v>4054264960</v>
      </c>
      <c r="C8" s="323" t="s">
        <v>26</v>
      </c>
      <c r="D8" s="323" t="s">
        <v>27</v>
      </c>
      <c r="E8" s="323" t="s">
        <v>1450</v>
      </c>
      <c r="F8" s="275" t="s">
        <v>17</v>
      </c>
      <c r="G8" s="275" t="s">
        <v>1207</v>
      </c>
      <c r="H8" s="275" t="str">
        <f t="shared" si="0"/>
        <v>Rétirédanslesdélais</v>
      </c>
      <c r="I8" s="275" t="s">
        <v>224</v>
      </c>
      <c r="J8" s="361">
        <v>45575</v>
      </c>
      <c r="K8" s="344"/>
      <c r="L8" s="344"/>
      <c r="M8" s="344"/>
      <c r="N8" s="732"/>
      <c r="O8" s="732"/>
      <c r="P8" s="732"/>
      <c r="Q8" s="732"/>
    </row>
    <row r="9" spans="1:17" ht="19.5" customHeight="1" x14ac:dyDescent="0.25">
      <c r="A9" s="275">
        <v>5</v>
      </c>
      <c r="B9" s="362">
        <v>4054285860</v>
      </c>
      <c r="C9" s="323" t="s">
        <v>24</v>
      </c>
      <c r="D9" s="323" t="s">
        <v>24</v>
      </c>
      <c r="E9" s="323" t="s">
        <v>1138</v>
      </c>
      <c r="F9" s="275" t="s">
        <v>17</v>
      </c>
      <c r="G9" s="275" t="s">
        <v>1207</v>
      </c>
      <c r="H9" s="275" t="str">
        <f t="shared" si="0"/>
        <v>Rétirédanslesdélais</v>
      </c>
      <c r="I9" s="275" t="s">
        <v>218</v>
      </c>
      <c r="J9" s="361">
        <v>45574</v>
      </c>
      <c r="K9" s="344"/>
      <c r="L9" s="344"/>
      <c r="M9" s="344"/>
      <c r="N9" s="732"/>
      <c r="O9" s="732"/>
      <c r="P9" s="732"/>
      <c r="Q9" s="732"/>
    </row>
    <row r="10" spans="1:17" ht="19.5" customHeight="1" x14ac:dyDescent="0.25">
      <c r="A10" s="275">
        <v>6</v>
      </c>
      <c r="B10" s="362">
        <v>4054287720</v>
      </c>
      <c r="C10" s="323" t="s">
        <v>26</v>
      </c>
      <c r="D10" s="323" t="s">
        <v>211</v>
      </c>
      <c r="E10" s="323" t="s">
        <v>1146</v>
      </c>
      <c r="F10" s="275" t="s">
        <v>17</v>
      </c>
      <c r="G10" s="275" t="s">
        <v>1207</v>
      </c>
      <c r="H10" s="275" t="str">
        <f t="shared" si="0"/>
        <v>Rétirédanslesdélais</v>
      </c>
      <c r="I10" s="275" t="s">
        <v>220</v>
      </c>
      <c r="J10" s="361">
        <v>45575</v>
      </c>
      <c r="K10" s="344"/>
      <c r="L10" s="344"/>
      <c r="M10" s="344"/>
      <c r="N10" s="732"/>
      <c r="O10" s="732"/>
      <c r="P10" s="732"/>
      <c r="Q10" s="732"/>
    </row>
    <row r="11" spans="1:17" ht="19.5" customHeight="1" x14ac:dyDescent="0.25">
      <c r="A11" s="275">
        <v>7</v>
      </c>
      <c r="B11" s="362">
        <v>4054290580</v>
      </c>
      <c r="C11" s="323" t="s">
        <v>24</v>
      </c>
      <c r="D11" s="323" t="s">
        <v>24</v>
      </c>
      <c r="E11" s="323" t="s">
        <v>1462</v>
      </c>
      <c r="F11" s="275" t="s">
        <v>17</v>
      </c>
      <c r="G11" s="275" t="s">
        <v>1207</v>
      </c>
      <c r="H11" s="275" t="str">
        <f t="shared" si="0"/>
        <v>Rétirédanslesdélais</v>
      </c>
      <c r="I11" s="275" t="s">
        <v>212</v>
      </c>
      <c r="J11" s="361">
        <v>45568</v>
      </c>
      <c r="K11" s="344"/>
      <c r="L11" s="344"/>
      <c r="M11" s="344"/>
      <c r="N11" s="732"/>
      <c r="O11" s="732"/>
      <c r="P11" s="732"/>
      <c r="Q11" s="732"/>
    </row>
    <row r="12" spans="1:17" s="292" customFormat="1" x14ac:dyDescent="0.25">
      <c r="H12"/>
      <c r="I12"/>
      <c r="J12" s="208"/>
      <c r="K12" s="208"/>
      <c r="L12" s="208"/>
      <c r="M12" s="208"/>
      <c r="N12"/>
      <c r="O12"/>
      <c r="P12"/>
      <c r="Q12"/>
    </row>
    <row r="13" spans="1:17" s="292" customFormat="1" x14ac:dyDescent="0.25">
      <c r="H13"/>
      <c r="I13"/>
      <c r="J13" s="208"/>
      <c r="K13" s="208"/>
      <c r="L13" s="208"/>
      <c r="M13" s="208"/>
      <c r="N13"/>
      <c r="O13"/>
      <c r="P13"/>
      <c r="Q13"/>
    </row>
    <row r="14" spans="1:17" s="292" customFormat="1" x14ac:dyDescent="0.25">
      <c r="H14"/>
      <c r="I14"/>
      <c r="J14" s="208"/>
      <c r="K14" s="208"/>
      <c r="L14" s="208"/>
      <c r="M14" s="208"/>
      <c r="N14"/>
      <c r="O14"/>
      <c r="P14"/>
      <c r="Q14"/>
    </row>
    <row r="15" spans="1:17" s="292" customFormat="1" x14ac:dyDescent="0.25">
      <c r="H15"/>
      <c r="I15"/>
      <c r="J15" s="208"/>
      <c r="K15" s="208"/>
      <c r="L15" s="208"/>
      <c r="M15" s="208"/>
      <c r="N15"/>
      <c r="O15"/>
      <c r="P15"/>
      <c r="Q15"/>
    </row>
    <row r="16" spans="1:17" s="292" customFormat="1" x14ac:dyDescent="0.25">
      <c r="H16"/>
      <c r="I16"/>
      <c r="J16" s="208"/>
      <c r="K16" s="208"/>
      <c r="L16" s="208"/>
      <c r="M16" s="208"/>
      <c r="N16"/>
      <c r="O16"/>
      <c r="P16"/>
      <c r="Q16"/>
    </row>
    <row r="17" spans="2:17" s="292" customFormat="1" x14ac:dyDescent="0.25">
      <c r="H17"/>
      <c r="I17"/>
      <c r="J17" s="208"/>
      <c r="K17" s="208"/>
      <c r="L17" s="208"/>
      <c r="M17" s="208"/>
      <c r="N17"/>
      <c r="O17"/>
      <c r="P17"/>
      <c r="Q17"/>
    </row>
    <row r="18" spans="2:17" s="292" customFormat="1" x14ac:dyDescent="0.25">
      <c r="H18"/>
      <c r="I18"/>
      <c r="J18" s="208"/>
      <c r="K18" s="208"/>
      <c r="L18" s="208"/>
      <c r="M18" s="208"/>
      <c r="N18"/>
      <c r="O18"/>
      <c r="P18"/>
      <c r="Q18"/>
    </row>
    <row r="19" spans="2:17" s="292" customFormat="1" x14ac:dyDescent="0.25">
      <c r="H19"/>
      <c r="I19"/>
      <c r="J19" s="208"/>
      <c r="K19" s="208"/>
      <c r="L19" s="208"/>
      <c r="M19" s="208"/>
      <c r="N19"/>
      <c r="O19"/>
      <c r="P19"/>
      <c r="Q19"/>
    </row>
    <row r="20" spans="2:17" s="292" customFormat="1" x14ac:dyDescent="0.25">
      <c r="H20"/>
      <c r="I20"/>
      <c r="J20" s="208"/>
      <c r="K20" s="208"/>
      <c r="L20" s="208"/>
      <c r="M20" s="208"/>
      <c r="N20"/>
      <c r="O20"/>
      <c r="P20"/>
      <c r="Q20"/>
    </row>
    <row r="21" spans="2:17" s="292" customFormat="1" x14ac:dyDescent="0.25">
      <c r="H21"/>
      <c r="I21"/>
      <c r="J21" s="208"/>
      <c r="K21" s="208"/>
      <c r="L21" s="208"/>
      <c r="M21" s="208"/>
      <c r="N21"/>
      <c r="O21"/>
      <c r="P21"/>
      <c r="Q21"/>
    </row>
    <row r="22" spans="2:17" x14ac:dyDescent="0.25">
      <c r="B22" s="292"/>
    </row>
    <row r="23" spans="2:17" x14ac:dyDescent="0.25">
      <c r="B23" s="292"/>
    </row>
    <row r="24" spans="2:17" x14ac:dyDescent="0.25">
      <c r="B24" s="292"/>
    </row>
    <row r="25" spans="2:17" x14ac:dyDescent="0.25">
      <c r="B25" s="292"/>
    </row>
    <row r="26" spans="2:17" x14ac:dyDescent="0.25">
      <c r="B26" s="292"/>
    </row>
    <row r="27" spans="2:17" x14ac:dyDescent="0.25">
      <c r="B27" s="292"/>
    </row>
    <row r="28" spans="2:17" x14ac:dyDescent="0.25">
      <c r="B28" s="292"/>
    </row>
    <row r="29" spans="2:17" x14ac:dyDescent="0.25">
      <c r="B29" s="292"/>
    </row>
    <row r="30" spans="2:17" x14ac:dyDescent="0.25">
      <c r="B30" s="292"/>
    </row>
    <row r="31" spans="2:17" x14ac:dyDescent="0.25">
      <c r="B31" s="292"/>
    </row>
    <row r="32" spans="2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  <row r="102" spans="2:2" x14ac:dyDescent="0.25">
      <c r="B102" s="292"/>
    </row>
    <row r="103" spans="2:2" x14ac:dyDescent="0.25">
      <c r="B103" s="292"/>
    </row>
    <row r="104" spans="2:2" x14ac:dyDescent="0.25">
      <c r="B104" s="292"/>
    </row>
    <row r="105" spans="2:2" x14ac:dyDescent="0.25">
      <c r="B105" s="292"/>
    </row>
    <row r="106" spans="2:2" x14ac:dyDescent="0.25">
      <c r="B106" s="292"/>
    </row>
    <row r="107" spans="2:2" x14ac:dyDescent="0.25">
      <c r="B107" s="292"/>
    </row>
    <row r="108" spans="2:2" x14ac:dyDescent="0.25">
      <c r="B108" s="292"/>
    </row>
    <row r="109" spans="2:2" x14ac:dyDescent="0.25">
      <c r="B109" s="292"/>
    </row>
    <row r="110" spans="2:2" x14ac:dyDescent="0.25">
      <c r="B110" s="292"/>
    </row>
    <row r="111" spans="2:2" x14ac:dyDescent="0.25">
      <c r="B111" s="292"/>
    </row>
    <row r="112" spans="2:2" x14ac:dyDescent="0.25">
      <c r="B112" s="292"/>
    </row>
    <row r="113" spans="2:2" x14ac:dyDescent="0.25">
      <c r="B113" s="292"/>
    </row>
    <row r="114" spans="2:2" x14ac:dyDescent="0.25">
      <c r="B114" s="292"/>
    </row>
    <row r="115" spans="2:2" x14ac:dyDescent="0.25">
      <c r="B115" s="292"/>
    </row>
    <row r="116" spans="2:2" x14ac:dyDescent="0.25">
      <c r="B116" s="292"/>
    </row>
    <row r="117" spans="2:2" x14ac:dyDescent="0.25">
      <c r="B117" s="292"/>
    </row>
    <row r="118" spans="2:2" x14ac:dyDescent="0.25">
      <c r="B118" s="292"/>
    </row>
    <row r="119" spans="2:2" x14ac:dyDescent="0.25">
      <c r="B119" s="292"/>
    </row>
    <row r="120" spans="2:2" x14ac:dyDescent="0.25">
      <c r="B120" s="292"/>
    </row>
    <row r="121" spans="2:2" x14ac:dyDescent="0.25">
      <c r="B121" s="292"/>
    </row>
    <row r="122" spans="2:2" x14ac:dyDescent="0.25">
      <c r="B122" s="292"/>
    </row>
    <row r="123" spans="2:2" x14ac:dyDescent="0.25">
      <c r="B123" s="292"/>
    </row>
    <row r="124" spans="2:2" x14ac:dyDescent="0.25">
      <c r="B124" s="292"/>
    </row>
    <row r="125" spans="2:2" x14ac:dyDescent="0.25">
      <c r="B125" s="292"/>
    </row>
    <row r="126" spans="2:2" x14ac:dyDescent="0.25">
      <c r="B126" s="292"/>
    </row>
    <row r="127" spans="2:2" x14ac:dyDescent="0.25">
      <c r="B127" s="292"/>
    </row>
    <row r="128" spans="2:2" x14ac:dyDescent="0.25">
      <c r="B128" s="292"/>
    </row>
    <row r="129" spans="2:2" x14ac:dyDescent="0.25">
      <c r="B129" s="292"/>
    </row>
    <row r="130" spans="2:2" x14ac:dyDescent="0.25">
      <c r="B130" s="292"/>
    </row>
    <row r="131" spans="2:2" x14ac:dyDescent="0.25">
      <c r="B131" s="292"/>
    </row>
    <row r="132" spans="2:2" x14ac:dyDescent="0.25">
      <c r="B132" s="292"/>
    </row>
    <row r="133" spans="2:2" x14ac:dyDescent="0.25">
      <c r="B133" s="292"/>
    </row>
    <row r="134" spans="2:2" x14ac:dyDescent="0.25">
      <c r="B134" s="292"/>
    </row>
    <row r="135" spans="2:2" x14ac:dyDescent="0.25">
      <c r="B135" s="292"/>
    </row>
    <row r="136" spans="2:2" x14ac:dyDescent="0.25">
      <c r="B136" s="292"/>
    </row>
    <row r="137" spans="2:2" x14ac:dyDescent="0.25">
      <c r="B137" s="292"/>
    </row>
    <row r="138" spans="2:2" x14ac:dyDescent="0.25">
      <c r="B138" s="292"/>
    </row>
    <row r="139" spans="2:2" x14ac:dyDescent="0.25">
      <c r="B139" s="292"/>
    </row>
    <row r="140" spans="2:2" x14ac:dyDescent="0.25">
      <c r="B140" s="292"/>
    </row>
    <row r="141" spans="2:2" x14ac:dyDescent="0.25">
      <c r="B141" s="292"/>
    </row>
    <row r="142" spans="2:2" x14ac:dyDescent="0.25">
      <c r="B142" s="292"/>
    </row>
    <row r="143" spans="2:2" x14ac:dyDescent="0.25">
      <c r="B143" s="292"/>
    </row>
    <row r="144" spans="2:2" x14ac:dyDescent="0.25">
      <c r="B144" s="292"/>
    </row>
    <row r="145" spans="2:2" x14ac:dyDescent="0.25">
      <c r="B145" s="292"/>
    </row>
    <row r="146" spans="2:2" x14ac:dyDescent="0.25">
      <c r="B146" s="292"/>
    </row>
    <row r="147" spans="2:2" x14ac:dyDescent="0.25">
      <c r="B147" s="292"/>
    </row>
    <row r="148" spans="2:2" x14ac:dyDescent="0.25">
      <c r="B148" s="292"/>
    </row>
    <row r="149" spans="2:2" x14ac:dyDescent="0.25">
      <c r="B149" s="292"/>
    </row>
    <row r="150" spans="2:2" x14ac:dyDescent="0.25">
      <c r="B150" s="292"/>
    </row>
    <row r="151" spans="2:2" x14ac:dyDescent="0.25">
      <c r="B151" s="292"/>
    </row>
    <row r="152" spans="2:2" x14ac:dyDescent="0.25">
      <c r="B152" s="292"/>
    </row>
    <row r="153" spans="2:2" x14ac:dyDescent="0.25">
      <c r="B153" s="292"/>
    </row>
    <row r="154" spans="2:2" x14ac:dyDescent="0.25">
      <c r="B154" s="292"/>
    </row>
    <row r="155" spans="2:2" x14ac:dyDescent="0.25">
      <c r="B155" s="292"/>
    </row>
    <row r="156" spans="2:2" x14ac:dyDescent="0.25">
      <c r="B156" s="292"/>
    </row>
    <row r="157" spans="2:2" x14ac:dyDescent="0.25">
      <c r="B157" s="292"/>
    </row>
    <row r="158" spans="2:2" x14ac:dyDescent="0.25">
      <c r="B158" s="292"/>
    </row>
    <row r="159" spans="2:2" x14ac:dyDescent="0.25">
      <c r="B159" s="292"/>
    </row>
    <row r="160" spans="2:2" x14ac:dyDescent="0.25">
      <c r="B160" s="292"/>
    </row>
    <row r="161" spans="2:2" x14ac:dyDescent="0.25">
      <c r="B161" s="292"/>
    </row>
    <row r="162" spans="2:2" x14ac:dyDescent="0.25">
      <c r="B162" s="292"/>
    </row>
    <row r="163" spans="2:2" x14ac:dyDescent="0.25">
      <c r="B163" s="292"/>
    </row>
    <row r="164" spans="2:2" x14ac:dyDescent="0.25">
      <c r="B164" s="292"/>
    </row>
    <row r="165" spans="2:2" x14ac:dyDescent="0.25">
      <c r="B165" s="292"/>
    </row>
    <row r="166" spans="2:2" x14ac:dyDescent="0.25">
      <c r="B166" s="292"/>
    </row>
    <row r="167" spans="2:2" x14ac:dyDescent="0.25">
      <c r="B167" s="292"/>
    </row>
    <row r="168" spans="2:2" x14ac:dyDescent="0.25">
      <c r="B168" s="292"/>
    </row>
    <row r="169" spans="2:2" x14ac:dyDescent="0.25">
      <c r="B169" s="292"/>
    </row>
    <row r="170" spans="2:2" x14ac:dyDescent="0.25">
      <c r="B170" s="292"/>
    </row>
    <row r="171" spans="2:2" x14ac:dyDescent="0.25">
      <c r="B171" s="292"/>
    </row>
    <row r="172" spans="2:2" x14ac:dyDescent="0.25">
      <c r="B172" s="292"/>
    </row>
  </sheetData>
  <autoFilter ref="A4:Q11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1">
      <sortCondition ref="E4"/>
    </sortState>
  </autoFilter>
  <mergeCells count="10">
    <mergeCell ref="H1:J1"/>
    <mergeCell ref="A2:B2"/>
    <mergeCell ref="N4:Q4"/>
    <mergeCell ref="N5:Q5"/>
    <mergeCell ref="N6:Q6"/>
    <mergeCell ref="N7:Q7"/>
    <mergeCell ref="N8:Q8"/>
    <mergeCell ref="N9:Q9"/>
    <mergeCell ref="N10:Q10"/>
    <mergeCell ref="N11:Q11"/>
  </mergeCells>
  <conditionalFormatting sqref="A5:J11">
    <cfRule type="containsText" dxfId="807" priority="1" operator="containsText" text="En Attente d'un Retrait Tardif">
      <formula>NOT(ISERROR(SEARCH("En Attente d'un Retrait Tardif",A5)))</formula>
    </cfRule>
    <cfRule type="containsText" dxfId="806" priority="2" operator="containsText" text="Rétiré dans les délais">
      <formula>NOT(ISERROR(SEARCH("Rétiré dans les délais",A5)))</formula>
    </cfRule>
  </conditionalFormatting>
  <conditionalFormatting sqref="B1:D3">
    <cfRule type="duplicateValues" dxfId="805" priority="9"/>
    <cfRule type="duplicateValues" dxfId="804" priority="10"/>
    <cfRule type="duplicateValues" dxfId="803" priority="11"/>
    <cfRule type="duplicateValues" dxfId="802" priority="12"/>
  </conditionalFormatting>
  <conditionalFormatting sqref="B18:D1048576 B1:D3">
    <cfRule type="duplicateValues" dxfId="801" priority="15"/>
    <cfRule type="duplicateValues" dxfId="800" priority="16"/>
    <cfRule type="duplicateValues" dxfId="799" priority="17"/>
  </conditionalFormatting>
  <conditionalFormatting sqref="B18:D1048576 B1:D4">
    <cfRule type="duplicateValues" dxfId="798" priority="14"/>
    <cfRule type="duplicateValues" dxfId="797" priority="18"/>
    <cfRule type="duplicateValues" dxfId="796" priority="19"/>
    <cfRule type="duplicateValues" dxfId="795" priority="20"/>
  </conditionalFormatting>
  <conditionalFormatting sqref="B18:D1048576">
    <cfRule type="duplicateValues" dxfId="794" priority="13"/>
  </conditionalFormatting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F97-CD21-41E8-8CA7-232751B76671}">
  <sheetPr codeName="Feuil55">
    <tabColor theme="5" tint="-0.249977111117893"/>
  </sheetPr>
  <dimension ref="A1:Q117"/>
  <sheetViews>
    <sheetView zoomScaleNormal="100" workbookViewId="0">
      <selection activeCell="E15" sqref="E15"/>
    </sheetView>
  </sheetViews>
  <sheetFormatPr baseColWidth="10" defaultColWidth="11.42578125" defaultRowHeight="15" x14ac:dyDescent="0.25"/>
  <cols>
    <col min="1" max="1" width="4.85546875" customWidth="1"/>
    <col min="2" max="2" width="21.5703125" customWidth="1"/>
    <col min="3" max="4" width="9.85546875" customWidth="1"/>
    <col min="5" max="5" width="50.5703125" style="292" customWidth="1"/>
    <col min="6" max="6" width="23.7109375" style="292" customWidth="1"/>
    <col min="7" max="7" width="23.140625" style="292" customWidth="1"/>
    <col min="8" max="8" width="38" customWidth="1"/>
    <col min="9" max="9" width="31.85546875" customWidth="1"/>
    <col min="10" max="10" width="17.140625" style="208" customWidth="1"/>
    <col min="11" max="11" width="47.5703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1463</v>
      </c>
      <c r="B1" s="98"/>
      <c r="C1" s="98"/>
      <c r="D1" s="98"/>
      <c r="E1" s="288"/>
      <c r="F1" s="288"/>
      <c r="G1" s="288"/>
      <c r="H1" s="729"/>
      <c r="I1" s="729"/>
      <c r="J1" s="729"/>
      <c r="M1" s="356"/>
    </row>
    <row r="2" spans="1:17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45569</v>
      </c>
      <c r="I2" s="365">
        <f ca="1">J2-H2</f>
        <v>527</v>
      </c>
      <c r="J2" s="315">
        <f ca="1">TODAY()</f>
        <v>46096</v>
      </c>
      <c r="K2" s="340"/>
      <c r="L2" s="340"/>
      <c r="M2" s="358">
        <f ca="1">J2-H2</f>
        <v>527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275">
        <v>4054128811</v>
      </c>
      <c r="C5" s="363"/>
      <c r="D5" s="359"/>
      <c r="E5" s="323" t="s">
        <v>202</v>
      </c>
      <c r="F5" s="15" t="s">
        <v>1412</v>
      </c>
      <c r="G5" s="15"/>
      <c r="H5" s="366" t="str">
        <f t="shared" ref="H5:H18" si="0">IF(J5="",IF($M$2&lt;=15,"EnattentedeRetrait","EnAttented'unRetraitTardif"),IF(J5-$H$2&lt;=15,"Rétirédanslesdélais",IF(J5-$H$2&gt;15,"Rétirétardivement-30000FCFAamende")))</f>
        <v>Rétirétardivement-30000FCFAamende</v>
      </c>
      <c r="I5" s="275" t="s">
        <v>229</v>
      </c>
      <c r="J5" s="354">
        <v>45587</v>
      </c>
      <c r="K5" s="355"/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275">
        <v>4054128812</v>
      </c>
      <c r="C6" s="363"/>
      <c r="D6" s="359"/>
      <c r="E6" s="323" t="s">
        <v>202</v>
      </c>
      <c r="F6" s="15" t="s">
        <v>1412</v>
      </c>
      <c r="G6" s="15"/>
      <c r="H6" s="366" t="str">
        <f t="shared" si="0"/>
        <v>Rétirétardivement-30000FCFAamende</v>
      </c>
      <c r="I6" s="275" t="s">
        <v>232</v>
      </c>
      <c r="J6" s="354">
        <v>45588</v>
      </c>
      <c r="K6" s="344" t="s">
        <v>1464</v>
      </c>
      <c r="L6" s="344"/>
      <c r="M6" s="344"/>
      <c r="N6" s="732"/>
      <c r="O6" s="732"/>
      <c r="P6" s="732"/>
      <c r="Q6" s="732"/>
    </row>
    <row r="7" spans="1:17" ht="19.5" customHeight="1" x14ac:dyDescent="0.25">
      <c r="A7" s="275">
        <v>3</v>
      </c>
      <c r="B7" s="275">
        <v>4054128813</v>
      </c>
      <c r="C7" s="363"/>
      <c r="D7" s="359"/>
      <c r="E7" s="323" t="s">
        <v>202</v>
      </c>
      <c r="F7" s="15" t="s">
        <v>1412</v>
      </c>
      <c r="G7" s="15"/>
      <c r="H7" s="366" t="str">
        <f t="shared" si="0"/>
        <v>Rétirétardivement-30000FCFAamende</v>
      </c>
      <c r="I7" s="275" t="s">
        <v>230</v>
      </c>
      <c r="J7" s="354">
        <v>45587</v>
      </c>
      <c r="K7" s="344"/>
      <c r="L7" s="344"/>
      <c r="M7" s="344"/>
      <c r="N7" s="732"/>
      <c r="O7" s="732"/>
      <c r="P7" s="732"/>
      <c r="Q7" s="732"/>
    </row>
    <row r="8" spans="1:17" ht="19.5" customHeight="1" x14ac:dyDescent="0.25">
      <c r="A8" s="275">
        <v>4</v>
      </c>
      <c r="B8" s="275">
        <v>4054263800</v>
      </c>
      <c r="C8" s="363"/>
      <c r="D8" s="359"/>
      <c r="E8" s="323" t="s">
        <v>202</v>
      </c>
      <c r="F8" s="15" t="s">
        <v>1412</v>
      </c>
      <c r="G8" s="15"/>
      <c r="H8" s="366" t="str">
        <f t="shared" si="0"/>
        <v>Rétirétardivement-30000FCFAamende</v>
      </c>
      <c r="I8" s="275" t="s">
        <v>231</v>
      </c>
      <c r="J8" s="354">
        <v>45587</v>
      </c>
      <c r="K8" s="344"/>
      <c r="L8" s="344"/>
      <c r="M8" s="344"/>
      <c r="N8" s="732"/>
      <c r="O8" s="732"/>
      <c r="P8" s="732"/>
      <c r="Q8" s="732"/>
    </row>
    <row r="9" spans="1:17" ht="19.5" customHeight="1" x14ac:dyDescent="0.25">
      <c r="A9" s="275">
        <v>5</v>
      </c>
      <c r="B9" s="275">
        <v>4054210630</v>
      </c>
      <c r="C9" s="363"/>
      <c r="D9" s="359"/>
      <c r="E9" s="323" t="s">
        <v>203</v>
      </c>
      <c r="F9" s="15" t="s">
        <v>1143</v>
      </c>
      <c r="G9" s="275"/>
      <c r="H9" s="366" t="str">
        <f t="shared" si="0"/>
        <v>Rétirédanslesdélais</v>
      </c>
      <c r="I9" s="275" t="s">
        <v>221</v>
      </c>
      <c r="J9" s="354">
        <v>45575</v>
      </c>
      <c r="K9" s="344"/>
      <c r="L9" s="344"/>
      <c r="M9" s="344"/>
      <c r="N9" s="732"/>
      <c r="O9" s="732"/>
      <c r="P9" s="732"/>
      <c r="Q9" s="732"/>
    </row>
    <row r="10" spans="1:17" ht="19.5" customHeight="1" x14ac:dyDescent="0.25">
      <c r="A10" s="275">
        <v>6</v>
      </c>
      <c r="B10" s="275">
        <v>4054190250</v>
      </c>
      <c r="C10" s="363"/>
      <c r="D10" s="359"/>
      <c r="E10" s="323" t="s">
        <v>203</v>
      </c>
      <c r="F10" s="15" t="s">
        <v>1143</v>
      </c>
      <c r="G10" s="15"/>
      <c r="H10" s="366" t="str">
        <f t="shared" si="0"/>
        <v>Rétirédanslesdélais</v>
      </c>
      <c r="I10" s="275" t="s">
        <v>222</v>
      </c>
      <c r="J10" s="354">
        <v>45575</v>
      </c>
      <c r="K10" s="344"/>
      <c r="L10" s="344"/>
      <c r="M10" s="344"/>
      <c r="N10" s="732"/>
      <c r="O10" s="732"/>
      <c r="P10" s="732"/>
      <c r="Q10" s="732"/>
    </row>
    <row r="11" spans="1:17" ht="19.5" customHeight="1" x14ac:dyDescent="0.25">
      <c r="A11" s="275">
        <v>7</v>
      </c>
      <c r="B11" s="275">
        <v>4054248260</v>
      </c>
      <c r="C11" s="363"/>
      <c r="D11" s="359"/>
      <c r="E11" s="323" t="s">
        <v>203</v>
      </c>
      <c r="F11" s="15" t="s">
        <v>1143</v>
      </c>
      <c r="G11" s="15"/>
      <c r="H11" s="366" t="str">
        <f t="shared" si="0"/>
        <v>Rétirédanslesdélais</v>
      </c>
      <c r="I11" s="275" t="s">
        <v>223</v>
      </c>
      <c r="J11" s="354">
        <v>45575</v>
      </c>
      <c r="K11" s="344"/>
      <c r="L11" s="344"/>
      <c r="M11" s="344"/>
      <c r="N11" s="732"/>
      <c r="O11" s="732"/>
      <c r="P11" s="732"/>
      <c r="Q11" s="732"/>
    </row>
    <row r="12" spans="1:17" ht="19.5" customHeight="1" x14ac:dyDescent="0.25">
      <c r="A12" s="275">
        <v>8</v>
      </c>
      <c r="B12" s="275">
        <v>4054270760</v>
      </c>
      <c r="C12" s="363"/>
      <c r="D12" s="359"/>
      <c r="E12" s="323" t="s">
        <v>1450</v>
      </c>
      <c r="F12" s="15" t="s">
        <v>1412</v>
      </c>
      <c r="G12" s="15"/>
      <c r="H12" s="366" t="str">
        <f t="shared" si="0"/>
        <v>Rétirédanslesdélais</v>
      </c>
      <c r="I12" s="275" t="s">
        <v>226</v>
      </c>
      <c r="J12" s="354">
        <v>45579</v>
      </c>
      <c r="K12" s="344"/>
      <c r="L12" s="344"/>
      <c r="M12" s="344"/>
      <c r="N12" s="732"/>
      <c r="O12" s="732"/>
      <c r="P12" s="732"/>
      <c r="Q12" s="732"/>
    </row>
    <row r="13" spans="1:17" ht="19.5" customHeight="1" x14ac:dyDescent="0.25">
      <c r="A13" s="275">
        <v>9</v>
      </c>
      <c r="B13" s="275">
        <v>4054254420</v>
      </c>
      <c r="C13" s="363"/>
      <c r="D13" s="359"/>
      <c r="E13" s="323" t="s">
        <v>1369</v>
      </c>
      <c r="F13" s="15" t="s">
        <v>1207</v>
      </c>
      <c r="G13" s="15"/>
      <c r="H13" s="366" t="str">
        <f t="shared" si="0"/>
        <v>Rétirédanslesdélais</v>
      </c>
      <c r="I13" s="275" t="s">
        <v>228</v>
      </c>
      <c r="J13" s="354">
        <v>45580</v>
      </c>
      <c r="K13" s="344" t="s">
        <v>1465</v>
      </c>
      <c r="L13" s="344"/>
      <c r="M13" s="344"/>
      <c r="N13" s="732"/>
      <c r="O13" s="732"/>
      <c r="P13" s="732"/>
      <c r="Q13" s="732"/>
    </row>
    <row r="14" spans="1:17" ht="19.5" customHeight="1" x14ac:dyDescent="0.25">
      <c r="A14" s="275">
        <v>10</v>
      </c>
      <c r="B14" s="275">
        <v>4054262030</v>
      </c>
      <c r="C14" s="363"/>
      <c r="D14" s="359"/>
      <c r="E14" s="323" t="s">
        <v>1466</v>
      </c>
      <c r="F14" s="15" t="s">
        <v>44</v>
      </c>
      <c r="G14" s="275"/>
      <c r="H14" s="366" t="str">
        <f t="shared" si="0"/>
        <v>Rétirédanslesdélais</v>
      </c>
      <c r="I14" s="275" t="s">
        <v>219</v>
      </c>
      <c r="J14" s="354">
        <v>45574</v>
      </c>
      <c r="K14" s="344"/>
      <c r="L14" s="344"/>
      <c r="M14" s="344"/>
      <c r="N14" s="732"/>
      <c r="O14" s="732"/>
      <c r="P14" s="732"/>
      <c r="Q14" s="732"/>
    </row>
    <row r="15" spans="1:17" ht="19.5" customHeight="1" x14ac:dyDescent="0.25">
      <c r="A15" s="275">
        <v>11</v>
      </c>
      <c r="B15" s="275">
        <v>4054277140</v>
      </c>
      <c r="C15" s="363"/>
      <c r="D15" s="359"/>
      <c r="E15" s="323" t="s">
        <v>204</v>
      </c>
      <c r="F15" s="15" t="s">
        <v>1207</v>
      </c>
      <c r="G15" s="15"/>
      <c r="H15" s="366" t="str">
        <f t="shared" si="0"/>
        <v>Rétirédanslesdélais</v>
      </c>
      <c r="I15" s="275" t="s">
        <v>225</v>
      </c>
      <c r="J15" s="354">
        <v>45576</v>
      </c>
      <c r="K15" s="344"/>
      <c r="L15" s="344"/>
      <c r="M15" s="344"/>
      <c r="N15" s="732"/>
      <c r="O15" s="732"/>
      <c r="P15" s="732"/>
      <c r="Q15" s="732"/>
    </row>
    <row r="16" spans="1:17" ht="19.5" customHeight="1" x14ac:dyDescent="0.25">
      <c r="A16" s="275">
        <v>12</v>
      </c>
      <c r="B16" s="275">
        <v>4054287580</v>
      </c>
      <c r="C16" s="363"/>
      <c r="D16" s="359"/>
      <c r="E16" s="323" t="s">
        <v>1370</v>
      </c>
      <c r="F16" s="15" t="s">
        <v>1406</v>
      </c>
      <c r="G16" s="15"/>
      <c r="H16" s="366" t="str">
        <f t="shared" si="0"/>
        <v>Rétirédanslesdélais</v>
      </c>
      <c r="I16" s="275" t="s">
        <v>216</v>
      </c>
      <c r="J16" s="354">
        <v>45574</v>
      </c>
      <c r="K16" s="344"/>
      <c r="L16" s="344"/>
      <c r="M16" s="344"/>
      <c r="N16" s="732"/>
      <c r="O16" s="732"/>
      <c r="P16" s="732"/>
      <c r="Q16" s="732"/>
    </row>
    <row r="17" spans="1:17" s="292" customFormat="1" ht="17.25" x14ac:dyDescent="0.2">
      <c r="A17" s="275">
        <v>13</v>
      </c>
      <c r="B17" s="275">
        <v>4054292030</v>
      </c>
      <c r="C17" s="363"/>
      <c r="D17" s="359"/>
      <c r="E17" s="323" t="s">
        <v>1075</v>
      </c>
      <c r="F17" s="15" t="s">
        <v>1207</v>
      </c>
      <c r="G17" s="15"/>
      <c r="H17" s="366" t="str">
        <f t="shared" si="0"/>
        <v>Rétirédanslesdélais</v>
      </c>
      <c r="I17" s="275" t="s">
        <v>217</v>
      </c>
      <c r="J17" s="354">
        <v>45574</v>
      </c>
      <c r="K17" s="344"/>
      <c r="L17" s="344"/>
      <c r="M17" s="344"/>
      <c r="N17" s="732"/>
      <c r="O17" s="732"/>
      <c r="P17" s="732"/>
      <c r="Q17" s="732"/>
    </row>
    <row r="18" spans="1:17" s="292" customFormat="1" ht="17.25" x14ac:dyDescent="0.2">
      <c r="A18" s="275">
        <v>14</v>
      </c>
      <c r="B18" s="275">
        <v>4054294970</v>
      </c>
      <c r="C18" s="363"/>
      <c r="D18" s="359"/>
      <c r="E18" s="323" t="s">
        <v>1467</v>
      </c>
      <c r="F18" s="15" t="s">
        <v>1207</v>
      </c>
      <c r="G18" s="15"/>
      <c r="H18" s="366" t="str">
        <f t="shared" si="0"/>
        <v>Rétirédanslesdélais</v>
      </c>
      <c r="I18" s="275" t="s">
        <v>227</v>
      </c>
      <c r="J18" s="354">
        <v>45579</v>
      </c>
      <c r="K18" s="344"/>
      <c r="L18" s="344"/>
      <c r="M18" s="344"/>
      <c r="N18" s="732"/>
      <c r="O18" s="732"/>
      <c r="P18" s="732"/>
      <c r="Q18" s="732"/>
    </row>
    <row r="19" spans="1:17" s="292" customFormat="1" x14ac:dyDescent="0.25">
      <c r="H19"/>
      <c r="I19"/>
      <c r="J19" s="208"/>
      <c r="K19" s="208"/>
      <c r="L19" s="208"/>
      <c r="M19" s="208"/>
      <c r="N19"/>
      <c r="O19"/>
      <c r="P19"/>
      <c r="Q19"/>
    </row>
    <row r="20" spans="1:17" s="292" customFormat="1" x14ac:dyDescent="0.25">
      <c r="H20"/>
      <c r="I20"/>
      <c r="J20" s="208"/>
      <c r="K20" s="208"/>
      <c r="L20" s="208"/>
      <c r="M20" s="208"/>
      <c r="N20"/>
      <c r="O20"/>
      <c r="P20"/>
      <c r="Q20"/>
    </row>
    <row r="21" spans="1:17" s="292" customFormat="1" x14ac:dyDescent="0.25">
      <c r="H21"/>
      <c r="I21"/>
      <c r="J21" s="208"/>
      <c r="K21" s="208"/>
      <c r="L21" s="208"/>
      <c r="M21" s="208"/>
      <c r="N21"/>
      <c r="O21"/>
      <c r="P21"/>
      <c r="Q21"/>
    </row>
    <row r="22" spans="1:17" s="292" customFormat="1" x14ac:dyDescent="0.25">
      <c r="H22"/>
      <c r="I22"/>
      <c r="J22" s="208"/>
      <c r="K22" s="208"/>
      <c r="L22" s="208"/>
      <c r="M22" s="208"/>
      <c r="N22"/>
      <c r="O22"/>
      <c r="P22"/>
      <c r="Q22"/>
    </row>
    <row r="23" spans="1:17" s="292" customFormat="1" x14ac:dyDescent="0.25">
      <c r="H23"/>
      <c r="I23"/>
      <c r="J23" s="208"/>
      <c r="K23" s="208"/>
      <c r="L23" s="208"/>
      <c r="M23" s="208"/>
      <c r="N23"/>
      <c r="O23"/>
      <c r="P23"/>
      <c r="Q23"/>
    </row>
    <row r="24" spans="1:17" s="292" customFormat="1" x14ac:dyDescent="0.25">
      <c r="H24"/>
      <c r="I24"/>
      <c r="J24" s="208"/>
      <c r="K24" s="208"/>
      <c r="L24" s="208"/>
      <c r="M24" s="208"/>
      <c r="N24"/>
      <c r="O24"/>
      <c r="P24"/>
      <c r="Q24"/>
    </row>
    <row r="25" spans="1:17" x14ac:dyDescent="0.25">
      <c r="B25" s="292"/>
    </row>
    <row r="26" spans="1:17" x14ac:dyDescent="0.25">
      <c r="B26" s="292"/>
    </row>
    <row r="27" spans="1:17" x14ac:dyDescent="0.25">
      <c r="B27" s="292"/>
    </row>
    <row r="28" spans="1:17" x14ac:dyDescent="0.25">
      <c r="B28" s="292"/>
    </row>
    <row r="29" spans="1:17" x14ac:dyDescent="0.25">
      <c r="B29" s="292"/>
    </row>
    <row r="30" spans="1:17" x14ac:dyDescent="0.25">
      <c r="B30" s="292"/>
    </row>
    <row r="31" spans="1:17" x14ac:dyDescent="0.25">
      <c r="B31" s="292"/>
    </row>
    <row r="32" spans="1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  <row r="48" spans="2:2" x14ac:dyDescent="0.25">
      <c r="B48" s="292"/>
    </row>
    <row r="49" spans="2:2" x14ac:dyDescent="0.25">
      <c r="B49" s="292"/>
    </row>
    <row r="50" spans="2:2" x14ac:dyDescent="0.25">
      <c r="B50" s="292"/>
    </row>
    <row r="51" spans="2:2" x14ac:dyDescent="0.25">
      <c r="B51" s="292"/>
    </row>
    <row r="52" spans="2:2" x14ac:dyDescent="0.25">
      <c r="B52" s="292"/>
    </row>
    <row r="53" spans="2:2" x14ac:dyDescent="0.25">
      <c r="B53" s="292"/>
    </row>
    <row r="54" spans="2:2" x14ac:dyDescent="0.25">
      <c r="B54" s="292"/>
    </row>
    <row r="55" spans="2:2" x14ac:dyDescent="0.25">
      <c r="B55" s="292"/>
    </row>
    <row r="56" spans="2:2" x14ac:dyDescent="0.25">
      <c r="B56" s="292"/>
    </row>
    <row r="57" spans="2:2" x14ac:dyDescent="0.25">
      <c r="B57" s="292"/>
    </row>
    <row r="58" spans="2:2" x14ac:dyDescent="0.25">
      <c r="B58" s="292"/>
    </row>
    <row r="59" spans="2:2" x14ac:dyDescent="0.25">
      <c r="B59" s="292"/>
    </row>
    <row r="60" spans="2:2" x14ac:dyDescent="0.25">
      <c r="B60" s="292"/>
    </row>
    <row r="61" spans="2:2" x14ac:dyDescent="0.25">
      <c r="B61" s="292"/>
    </row>
    <row r="62" spans="2:2" x14ac:dyDescent="0.25">
      <c r="B62" s="292"/>
    </row>
    <row r="63" spans="2:2" x14ac:dyDescent="0.25">
      <c r="B63" s="292"/>
    </row>
    <row r="64" spans="2:2" x14ac:dyDescent="0.25">
      <c r="B64" s="292"/>
    </row>
    <row r="65" spans="2:2" x14ac:dyDescent="0.25">
      <c r="B65" s="292"/>
    </row>
    <row r="66" spans="2:2" x14ac:dyDescent="0.25">
      <c r="B66" s="292"/>
    </row>
    <row r="67" spans="2:2" x14ac:dyDescent="0.25">
      <c r="B67" s="292"/>
    </row>
    <row r="68" spans="2:2" x14ac:dyDescent="0.25">
      <c r="B68" s="292"/>
    </row>
    <row r="69" spans="2:2" x14ac:dyDescent="0.25">
      <c r="B69" s="292"/>
    </row>
    <row r="70" spans="2:2" x14ac:dyDescent="0.25">
      <c r="B70" s="292"/>
    </row>
    <row r="71" spans="2:2" x14ac:dyDescent="0.25">
      <c r="B71" s="292"/>
    </row>
    <row r="72" spans="2:2" x14ac:dyDescent="0.25">
      <c r="B72" s="292"/>
    </row>
    <row r="73" spans="2:2" x14ac:dyDescent="0.25">
      <c r="B73" s="292"/>
    </row>
    <row r="74" spans="2:2" x14ac:dyDescent="0.25">
      <c r="B74" s="292"/>
    </row>
    <row r="75" spans="2:2" x14ac:dyDescent="0.25">
      <c r="B75" s="292"/>
    </row>
    <row r="76" spans="2:2" x14ac:dyDescent="0.25">
      <c r="B76" s="292"/>
    </row>
    <row r="77" spans="2:2" x14ac:dyDescent="0.25">
      <c r="B77" s="292"/>
    </row>
    <row r="78" spans="2:2" x14ac:dyDescent="0.25">
      <c r="B78" s="292"/>
    </row>
    <row r="79" spans="2:2" x14ac:dyDescent="0.25">
      <c r="B79" s="292"/>
    </row>
    <row r="80" spans="2:2" x14ac:dyDescent="0.25">
      <c r="B80" s="292"/>
    </row>
    <row r="81" spans="2:2" x14ac:dyDescent="0.25">
      <c r="B81" s="292"/>
    </row>
    <row r="82" spans="2:2" x14ac:dyDescent="0.25">
      <c r="B82" s="292"/>
    </row>
    <row r="83" spans="2:2" x14ac:dyDescent="0.25">
      <c r="B83" s="292"/>
    </row>
    <row r="84" spans="2:2" x14ac:dyDescent="0.25">
      <c r="B84" s="292"/>
    </row>
    <row r="85" spans="2:2" x14ac:dyDescent="0.25">
      <c r="B85" s="292"/>
    </row>
    <row r="86" spans="2:2" x14ac:dyDescent="0.25">
      <c r="B86" s="292"/>
    </row>
    <row r="87" spans="2:2" x14ac:dyDescent="0.25">
      <c r="B87" s="292"/>
    </row>
    <row r="88" spans="2:2" x14ac:dyDescent="0.25">
      <c r="B88" s="292"/>
    </row>
    <row r="89" spans="2:2" x14ac:dyDescent="0.25">
      <c r="B89" s="292"/>
    </row>
    <row r="90" spans="2:2" x14ac:dyDescent="0.25">
      <c r="B90" s="292"/>
    </row>
    <row r="91" spans="2:2" x14ac:dyDescent="0.25">
      <c r="B91" s="292"/>
    </row>
    <row r="92" spans="2:2" x14ac:dyDescent="0.25">
      <c r="B92" s="292"/>
    </row>
    <row r="93" spans="2:2" x14ac:dyDescent="0.25">
      <c r="B93" s="292"/>
    </row>
    <row r="94" spans="2:2" x14ac:dyDescent="0.25">
      <c r="B94" s="292"/>
    </row>
    <row r="95" spans="2:2" x14ac:dyDescent="0.25">
      <c r="B95" s="292"/>
    </row>
    <row r="96" spans="2:2" x14ac:dyDescent="0.25">
      <c r="B96" s="292"/>
    </row>
    <row r="97" spans="2:2" x14ac:dyDescent="0.25">
      <c r="B97" s="292"/>
    </row>
    <row r="98" spans="2:2" x14ac:dyDescent="0.25">
      <c r="B98" s="292"/>
    </row>
    <row r="99" spans="2:2" x14ac:dyDescent="0.25">
      <c r="B99" s="292"/>
    </row>
    <row r="100" spans="2:2" x14ac:dyDescent="0.25">
      <c r="B100" s="292"/>
    </row>
    <row r="101" spans="2:2" x14ac:dyDescent="0.25">
      <c r="B101" s="292"/>
    </row>
    <row r="102" spans="2:2" x14ac:dyDescent="0.25">
      <c r="B102" s="292"/>
    </row>
    <row r="103" spans="2:2" x14ac:dyDescent="0.25">
      <c r="B103" s="292"/>
    </row>
    <row r="104" spans="2:2" x14ac:dyDescent="0.25">
      <c r="B104" s="292"/>
    </row>
    <row r="105" spans="2:2" x14ac:dyDescent="0.25">
      <c r="B105" s="292"/>
    </row>
    <row r="106" spans="2:2" x14ac:dyDescent="0.25">
      <c r="B106" s="292"/>
    </row>
    <row r="107" spans="2:2" x14ac:dyDescent="0.25">
      <c r="B107" s="292"/>
    </row>
    <row r="108" spans="2:2" x14ac:dyDescent="0.25">
      <c r="B108" s="292"/>
    </row>
    <row r="109" spans="2:2" x14ac:dyDescent="0.25">
      <c r="B109" s="292"/>
    </row>
    <row r="110" spans="2:2" x14ac:dyDescent="0.25">
      <c r="B110" s="292"/>
    </row>
    <row r="111" spans="2:2" x14ac:dyDescent="0.25">
      <c r="B111" s="292"/>
    </row>
    <row r="112" spans="2:2" x14ac:dyDescent="0.25">
      <c r="B112" s="292"/>
    </row>
    <row r="113" spans="2:2" x14ac:dyDescent="0.25">
      <c r="B113" s="292"/>
    </row>
    <row r="114" spans="2:2" x14ac:dyDescent="0.25">
      <c r="B114" s="292"/>
    </row>
    <row r="115" spans="2:2" x14ac:dyDescent="0.25">
      <c r="B115" s="292"/>
    </row>
    <row r="116" spans="2:2" x14ac:dyDescent="0.25">
      <c r="B116" s="292"/>
    </row>
    <row r="117" spans="2:2" x14ac:dyDescent="0.25">
      <c r="B117" s="292"/>
    </row>
  </sheetData>
  <autoFilter ref="A4:Q18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16">
      <sortCondition ref="E4"/>
    </sortState>
  </autoFilter>
  <mergeCells count="17">
    <mergeCell ref="N14:Q14"/>
    <mergeCell ref="N15:Q15"/>
    <mergeCell ref="N16:Q16"/>
    <mergeCell ref="N17:Q17"/>
    <mergeCell ref="N18:Q18"/>
    <mergeCell ref="N13:Q13"/>
    <mergeCell ref="H1:J1"/>
    <mergeCell ref="A2:B2"/>
    <mergeCell ref="N4:Q4"/>
    <mergeCell ref="N5:Q5"/>
    <mergeCell ref="N6:Q6"/>
    <mergeCell ref="N7:Q7"/>
    <mergeCell ref="N8:Q8"/>
    <mergeCell ref="N9:Q9"/>
    <mergeCell ref="N10:Q10"/>
    <mergeCell ref="N11:Q11"/>
    <mergeCell ref="N12:Q12"/>
  </mergeCells>
  <conditionalFormatting sqref="A5:B18 E5:I18">
    <cfRule type="containsText" dxfId="793" priority="6" operator="containsText" text="En Attente d'un Retrait Tardif">
      <formula>NOT(ISERROR(SEARCH("En Attente d'un Retrait Tardif",A5)))</formula>
    </cfRule>
    <cfRule type="containsText" dxfId="792" priority="7" operator="containsText" text="Rétiré dans les délais">
      <formula>NOT(ISERROR(SEARCH("Rétiré dans les délais",A5)))</formula>
    </cfRule>
  </conditionalFormatting>
  <conditionalFormatting sqref="B1:B21 B41:B1048576">
    <cfRule type="duplicateValues" dxfId="791" priority="3"/>
    <cfRule type="duplicateValues" dxfId="790" priority="4"/>
  </conditionalFormatting>
  <conditionalFormatting sqref="B1:D3 B41:D1048576 C23:D40">
    <cfRule type="duplicateValues" dxfId="789" priority="632"/>
    <cfRule type="duplicateValues" dxfId="788" priority="633"/>
    <cfRule type="duplicateValues" dxfId="787" priority="634"/>
  </conditionalFormatting>
  <conditionalFormatting sqref="B1:D3">
    <cfRule type="duplicateValues" dxfId="786" priority="10"/>
    <cfRule type="duplicateValues" dxfId="785" priority="11"/>
    <cfRule type="duplicateValues" dxfId="784" priority="12"/>
    <cfRule type="duplicateValues" dxfId="783" priority="13"/>
  </conditionalFormatting>
  <conditionalFormatting sqref="B1:D4 B41:D1048576 C23:D40">
    <cfRule type="duplicateValues" dxfId="782" priority="644"/>
    <cfRule type="duplicateValues" dxfId="781" priority="645"/>
    <cfRule type="duplicateValues" dxfId="780" priority="646"/>
    <cfRule type="duplicateValues" dxfId="779" priority="647"/>
  </conditionalFormatting>
  <conditionalFormatting sqref="B41:D1048576 C23:D40">
    <cfRule type="duplicateValues" dxfId="778" priority="660"/>
  </conditionalFormatting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F545-77B2-49F7-8625-7225E213E9B9}">
  <sheetPr codeName="Feuil56">
    <tabColor theme="5" tint="-0.249977111117893"/>
  </sheetPr>
  <dimension ref="A1:Q47"/>
  <sheetViews>
    <sheetView zoomScaleNormal="100" workbookViewId="0">
      <selection activeCell="J25" sqref="J25"/>
    </sheetView>
  </sheetViews>
  <sheetFormatPr baseColWidth="10" defaultColWidth="11.42578125" defaultRowHeight="15" x14ac:dyDescent="0.25"/>
  <cols>
    <col min="1" max="1" width="4.85546875" customWidth="1"/>
    <col min="2" max="2" width="23.140625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17.28515625" customWidth="1"/>
    <col min="10" max="10" width="17.140625" style="208" customWidth="1"/>
    <col min="11" max="11" width="47.57031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1468</v>
      </c>
      <c r="B1" s="98"/>
      <c r="C1" s="98"/>
      <c r="D1" s="98"/>
      <c r="E1" s="288"/>
      <c r="F1" s="288"/>
      <c r="G1" s="288"/>
      <c r="H1" s="729"/>
      <c r="I1" s="729"/>
      <c r="J1" s="729"/>
      <c r="M1" s="356"/>
    </row>
    <row r="2" spans="1:17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45548</v>
      </c>
      <c r="I2" s="314"/>
      <c r="J2" s="315">
        <f ca="1">TODAY()</f>
        <v>46096</v>
      </c>
      <c r="K2" s="340"/>
      <c r="L2" s="340"/>
      <c r="M2" s="358">
        <f ca="1">J2-H2</f>
        <v>548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275">
        <v>4054246180</v>
      </c>
      <c r="C5" s="359" t="s">
        <v>24</v>
      </c>
      <c r="D5" s="359" t="s">
        <v>24</v>
      </c>
      <c r="E5" s="323" t="s">
        <v>1075</v>
      </c>
      <c r="F5" s="15" t="s">
        <v>17</v>
      </c>
      <c r="G5" s="15" t="s">
        <v>1207</v>
      </c>
      <c r="H5" s="275" t="str">
        <f t="shared" ref="H5:H20" si="0">IF(J5="",IF($M$2&lt;=15,"EnattentedeRetrait","EnAttented'unRetraitTardif"),IF(J5-$H$2&lt;=15,"Rétirédanslesdélais",IF(J5-$H$2&gt;15,"Rétirétardivement-30000FCFAamende")))</f>
        <v>Rétirédanslesdélais</v>
      </c>
      <c r="I5" s="275" t="s">
        <v>193</v>
      </c>
      <c r="J5" s="354">
        <v>45553</v>
      </c>
      <c r="K5" s="355">
        <v>0</v>
      </c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275">
        <v>4054220570</v>
      </c>
      <c r="C6" s="359" t="s">
        <v>23</v>
      </c>
      <c r="D6" s="359" t="s">
        <v>28</v>
      </c>
      <c r="E6" s="323" t="s">
        <v>1414</v>
      </c>
      <c r="F6" s="15" t="s">
        <v>17</v>
      </c>
      <c r="G6" s="15" t="s">
        <v>1207</v>
      </c>
      <c r="H6" s="275" t="str">
        <f t="shared" si="0"/>
        <v>Rétirédanslesdélais</v>
      </c>
      <c r="I6" s="275" t="s">
        <v>190</v>
      </c>
      <c r="J6" s="354">
        <v>45553</v>
      </c>
      <c r="K6" s="344">
        <v>0</v>
      </c>
      <c r="L6" s="344"/>
      <c r="M6" s="344"/>
      <c r="N6" s="732"/>
      <c r="O6" s="732"/>
      <c r="P6" s="732"/>
      <c r="Q6" s="732"/>
    </row>
    <row r="7" spans="1:17" ht="19.5" customHeight="1" x14ac:dyDescent="0.25">
      <c r="A7" s="275">
        <v>3</v>
      </c>
      <c r="B7" s="275">
        <v>4054220571</v>
      </c>
      <c r="C7" s="359" t="s">
        <v>23</v>
      </c>
      <c r="D7" s="359" t="s">
        <v>28</v>
      </c>
      <c r="E7" s="323" t="s">
        <v>1414</v>
      </c>
      <c r="F7" s="15" t="s">
        <v>17</v>
      </c>
      <c r="G7" s="15" t="s">
        <v>1207</v>
      </c>
      <c r="H7" s="275" t="str">
        <f t="shared" si="0"/>
        <v>Rétirédanslesdélais</v>
      </c>
      <c r="I7" s="275" t="s">
        <v>191</v>
      </c>
      <c r="J7" s="354">
        <v>45553</v>
      </c>
      <c r="K7" s="344">
        <v>0</v>
      </c>
      <c r="L7" s="344"/>
      <c r="M7" s="344"/>
      <c r="N7" s="732"/>
      <c r="O7" s="732"/>
      <c r="P7" s="732"/>
      <c r="Q7" s="732"/>
    </row>
    <row r="8" spans="1:17" ht="19.5" customHeight="1" x14ac:dyDescent="0.25">
      <c r="A8" s="275">
        <v>4</v>
      </c>
      <c r="B8" s="275">
        <v>4054204421</v>
      </c>
      <c r="C8" s="359" t="s">
        <v>164</v>
      </c>
      <c r="D8" s="359" t="s">
        <v>165</v>
      </c>
      <c r="E8" s="323" t="s">
        <v>1125</v>
      </c>
      <c r="F8" s="15" t="s">
        <v>17</v>
      </c>
      <c r="G8" s="15" t="s">
        <v>1097</v>
      </c>
      <c r="H8" s="275" t="str">
        <f t="shared" si="0"/>
        <v>Rétirédanslesdélais</v>
      </c>
      <c r="I8" s="275" t="s">
        <v>198</v>
      </c>
      <c r="J8" s="354">
        <v>45554</v>
      </c>
      <c r="K8" s="344">
        <v>0</v>
      </c>
      <c r="L8" s="344"/>
      <c r="M8" s="344"/>
      <c r="N8" s="732"/>
      <c r="O8" s="732"/>
      <c r="P8" s="732"/>
      <c r="Q8" s="732"/>
    </row>
    <row r="9" spans="1:17" ht="19.5" customHeight="1" x14ac:dyDescent="0.25">
      <c r="A9" s="275">
        <v>5</v>
      </c>
      <c r="B9" s="275">
        <v>4054251120</v>
      </c>
      <c r="C9" s="359" t="s">
        <v>26</v>
      </c>
      <c r="D9" s="359" t="s">
        <v>27</v>
      </c>
      <c r="E9" s="323" t="s">
        <v>1069</v>
      </c>
      <c r="F9" s="15" t="s">
        <v>17</v>
      </c>
      <c r="G9" s="275" t="s">
        <v>1207</v>
      </c>
      <c r="H9" s="275" t="str">
        <f t="shared" si="0"/>
        <v>Rétirédanslesdélais</v>
      </c>
      <c r="I9" s="275" t="s">
        <v>196</v>
      </c>
      <c r="J9" s="354">
        <v>45554</v>
      </c>
      <c r="K9" s="344">
        <v>0</v>
      </c>
      <c r="L9" s="344"/>
      <c r="M9" s="344"/>
      <c r="N9" s="732"/>
      <c r="O9" s="732"/>
      <c r="P9" s="732"/>
      <c r="Q9" s="732"/>
    </row>
    <row r="10" spans="1:17" ht="19.5" customHeight="1" x14ac:dyDescent="0.25">
      <c r="A10" s="275">
        <v>6</v>
      </c>
      <c r="B10" s="275">
        <v>4054226030</v>
      </c>
      <c r="C10" s="359" t="s">
        <v>23</v>
      </c>
      <c r="D10" s="359" t="s">
        <v>28</v>
      </c>
      <c r="E10" s="323" t="s">
        <v>53</v>
      </c>
      <c r="F10" s="15" t="s">
        <v>17</v>
      </c>
      <c r="G10" s="15" t="s">
        <v>1097</v>
      </c>
      <c r="H10" s="275" t="str">
        <f t="shared" si="0"/>
        <v>Rétirédanslesdélais</v>
      </c>
      <c r="I10" s="275" t="s">
        <v>197</v>
      </c>
      <c r="J10" s="354">
        <v>45554</v>
      </c>
      <c r="K10" s="344" t="s">
        <v>1469</v>
      </c>
      <c r="L10" s="344"/>
      <c r="M10" s="344"/>
      <c r="N10" s="732"/>
      <c r="O10" s="732"/>
      <c r="P10" s="732"/>
      <c r="Q10" s="732"/>
    </row>
    <row r="11" spans="1:17" ht="19.5" customHeight="1" x14ac:dyDescent="0.25">
      <c r="A11" s="275">
        <v>7</v>
      </c>
      <c r="B11" s="275">
        <v>4054247940</v>
      </c>
      <c r="C11" s="359" t="s">
        <v>23</v>
      </c>
      <c r="D11" s="359" t="s">
        <v>28</v>
      </c>
      <c r="E11" s="323" t="s">
        <v>1157</v>
      </c>
      <c r="F11" s="15" t="s">
        <v>17</v>
      </c>
      <c r="G11" s="15" t="s">
        <v>1097</v>
      </c>
      <c r="H11" s="275" t="str">
        <f t="shared" si="0"/>
        <v>Rétirédanslesdélais</v>
      </c>
      <c r="I11" s="275" t="s">
        <v>199</v>
      </c>
      <c r="J11" s="354">
        <v>45554</v>
      </c>
      <c r="K11" s="344">
        <v>0</v>
      </c>
      <c r="L11" s="344"/>
      <c r="M11" s="344"/>
      <c r="N11" s="732"/>
      <c r="O11" s="732"/>
      <c r="P11" s="732"/>
      <c r="Q11" s="732"/>
    </row>
    <row r="12" spans="1:17" ht="19.5" customHeight="1" x14ac:dyDescent="0.25">
      <c r="A12" s="275">
        <v>8</v>
      </c>
      <c r="B12" s="275">
        <v>4054226250</v>
      </c>
      <c r="C12" s="359" t="s">
        <v>26</v>
      </c>
      <c r="D12" s="359" t="s">
        <v>27</v>
      </c>
      <c r="E12" s="323" t="s">
        <v>1450</v>
      </c>
      <c r="F12" s="15" t="s">
        <v>17</v>
      </c>
      <c r="G12" s="15" t="s">
        <v>1097</v>
      </c>
      <c r="H12" s="275" t="str">
        <f t="shared" si="0"/>
        <v>Rétirédanslesdélais</v>
      </c>
      <c r="I12" s="275" t="s">
        <v>200</v>
      </c>
      <c r="J12" s="354">
        <v>45555</v>
      </c>
      <c r="K12" s="344">
        <v>0</v>
      </c>
      <c r="L12" s="344"/>
      <c r="M12" s="344"/>
      <c r="N12" s="732"/>
      <c r="O12" s="732"/>
      <c r="P12" s="732"/>
      <c r="Q12" s="732"/>
    </row>
    <row r="13" spans="1:17" ht="19.5" customHeight="1" x14ac:dyDescent="0.25">
      <c r="A13" s="275">
        <v>9</v>
      </c>
      <c r="B13" s="275">
        <v>4054246690</v>
      </c>
      <c r="C13" s="359" t="s">
        <v>23</v>
      </c>
      <c r="D13" s="359" t="s">
        <v>23</v>
      </c>
      <c r="E13" s="323" t="s">
        <v>1370</v>
      </c>
      <c r="F13" s="15" t="s">
        <v>17</v>
      </c>
      <c r="G13" s="15" t="s">
        <v>1097</v>
      </c>
      <c r="H13" s="275" t="str">
        <f t="shared" si="0"/>
        <v>Rétirédanslesdélais</v>
      </c>
      <c r="I13" s="275" t="s">
        <v>175</v>
      </c>
      <c r="J13" s="354">
        <v>45553</v>
      </c>
      <c r="K13" s="344">
        <v>0</v>
      </c>
      <c r="L13" s="344"/>
      <c r="M13" s="344"/>
      <c r="N13" s="732"/>
      <c r="O13" s="732"/>
      <c r="P13" s="732"/>
      <c r="Q13" s="732"/>
    </row>
    <row r="14" spans="1:17" ht="19.5" customHeight="1" x14ac:dyDescent="0.25">
      <c r="A14" s="275">
        <v>10</v>
      </c>
      <c r="B14" s="275">
        <v>4054256360</v>
      </c>
      <c r="C14" s="359" t="s">
        <v>24</v>
      </c>
      <c r="D14" s="359" t="s">
        <v>24</v>
      </c>
      <c r="E14" s="323" t="s">
        <v>1075</v>
      </c>
      <c r="F14" s="15" t="s">
        <v>17</v>
      </c>
      <c r="G14" s="275" t="s">
        <v>1207</v>
      </c>
      <c r="H14" s="275" t="str">
        <f t="shared" si="0"/>
        <v>Rétirédanslesdélais</v>
      </c>
      <c r="I14" s="275" t="s">
        <v>192</v>
      </c>
      <c r="J14" s="354">
        <v>45553</v>
      </c>
      <c r="K14" s="344">
        <v>0</v>
      </c>
      <c r="L14" s="344"/>
      <c r="M14" s="344"/>
      <c r="N14" s="732"/>
      <c r="O14" s="732"/>
      <c r="P14" s="732"/>
      <c r="Q14" s="732"/>
    </row>
    <row r="15" spans="1:17" ht="19.5" customHeight="1" x14ac:dyDescent="0.25">
      <c r="A15" s="275">
        <v>11</v>
      </c>
      <c r="B15" s="275">
        <v>4054236100</v>
      </c>
      <c r="C15" s="359" t="s">
        <v>26</v>
      </c>
      <c r="D15" s="359" t="s">
        <v>166</v>
      </c>
      <c r="E15" s="323" t="s">
        <v>1414</v>
      </c>
      <c r="F15" s="15" t="s">
        <v>17</v>
      </c>
      <c r="G15" s="15" t="s">
        <v>1097</v>
      </c>
      <c r="H15" s="275" t="str">
        <f t="shared" si="0"/>
        <v>Rétirédanslesdélais</v>
      </c>
      <c r="I15" s="275" t="s">
        <v>205</v>
      </c>
      <c r="J15" s="354">
        <v>45558</v>
      </c>
      <c r="K15" s="344">
        <v>0</v>
      </c>
      <c r="L15" s="344"/>
      <c r="M15" s="344"/>
      <c r="N15" s="732"/>
      <c r="O15" s="732"/>
      <c r="P15" s="732"/>
      <c r="Q15" s="732"/>
    </row>
    <row r="16" spans="1:17" ht="19.5" customHeight="1" x14ac:dyDescent="0.25">
      <c r="A16" s="275">
        <v>12</v>
      </c>
      <c r="B16" s="275">
        <v>4054231920</v>
      </c>
      <c r="C16" s="359" t="s">
        <v>23</v>
      </c>
      <c r="D16" s="359" t="s">
        <v>23</v>
      </c>
      <c r="E16" s="323" t="s">
        <v>1138</v>
      </c>
      <c r="F16" s="15" t="s">
        <v>17</v>
      </c>
      <c r="G16" s="15" t="s">
        <v>1097</v>
      </c>
      <c r="H16" s="275" t="str">
        <f t="shared" si="0"/>
        <v>Rétirédanslesdélais</v>
      </c>
      <c r="I16" s="275" t="s">
        <v>195</v>
      </c>
      <c r="J16" s="354">
        <v>45553</v>
      </c>
      <c r="K16" s="344">
        <v>0</v>
      </c>
      <c r="L16" s="344"/>
      <c r="M16" s="344"/>
      <c r="N16" s="732"/>
      <c r="O16" s="732"/>
      <c r="P16" s="732"/>
      <c r="Q16" s="732"/>
    </row>
    <row r="17" spans="1:17" ht="19.5" customHeight="1" x14ac:dyDescent="0.25">
      <c r="A17" s="275">
        <v>13</v>
      </c>
      <c r="B17" s="275">
        <v>4054231900</v>
      </c>
      <c r="C17" s="359" t="s">
        <v>23</v>
      </c>
      <c r="D17" s="359" t="s">
        <v>23</v>
      </c>
      <c r="E17" s="323" t="s">
        <v>1138</v>
      </c>
      <c r="F17" s="15" t="s">
        <v>17</v>
      </c>
      <c r="G17" s="15" t="s">
        <v>1097</v>
      </c>
      <c r="H17" s="275" t="str">
        <f t="shared" si="0"/>
        <v>Rétirédanslesdélais</v>
      </c>
      <c r="I17" s="275" t="s">
        <v>194</v>
      </c>
      <c r="J17" s="354">
        <v>45553</v>
      </c>
      <c r="K17" s="344">
        <v>0</v>
      </c>
      <c r="L17" s="344"/>
      <c r="M17" s="344"/>
      <c r="N17" s="732"/>
      <c r="O17" s="732"/>
      <c r="P17" s="732"/>
      <c r="Q17" s="732"/>
    </row>
    <row r="18" spans="1:17" ht="19.5" customHeight="1" x14ac:dyDescent="0.25">
      <c r="A18" s="275">
        <v>14</v>
      </c>
      <c r="B18" s="275">
        <v>4054266850</v>
      </c>
      <c r="C18" s="359" t="s">
        <v>24</v>
      </c>
      <c r="D18" s="359" t="s">
        <v>24</v>
      </c>
      <c r="E18" s="323" t="s">
        <v>1138</v>
      </c>
      <c r="F18" s="15" t="s">
        <v>17</v>
      </c>
      <c r="G18" s="15" t="s">
        <v>1097</v>
      </c>
      <c r="H18" s="275" t="str">
        <f t="shared" si="0"/>
        <v>Rétirédanslesdélais</v>
      </c>
      <c r="I18" s="275" t="s">
        <v>173</v>
      </c>
      <c r="J18" s="354">
        <v>45552</v>
      </c>
      <c r="K18" s="344">
        <v>0</v>
      </c>
      <c r="L18" s="344"/>
      <c r="M18" s="344"/>
      <c r="N18" s="732"/>
      <c r="O18" s="732"/>
      <c r="P18" s="732"/>
      <c r="Q18" s="732"/>
    </row>
    <row r="19" spans="1:17" ht="19.5" customHeight="1" x14ac:dyDescent="0.25">
      <c r="A19" s="275">
        <v>15</v>
      </c>
      <c r="B19" s="275">
        <v>4054266870</v>
      </c>
      <c r="C19" s="359" t="s">
        <v>24</v>
      </c>
      <c r="D19" s="359" t="s">
        <v>24</v>
      </c>
      <c r="E19" s="323" t="s">
        <v>1138</v>
      </c>
      <c r="F19" s="15" t="s">
        <v>17</v>
      </c>
      <c r="G19" s="15" t="s">
        <v>1097</v>
      </c>
      <c r="H19" s="275" t="str">
        <f t="shared" si="0"/>
        <v>Rétirédanslesdélais</v>
      </c>
      <c r="I19" s="275" t="s">
        <v>174</v>
      </c>
      <c r="J19" s="354">
        <v>45552</v>
      </c>
      <c r="K19" s="344">
        <v>0</v>
      </c>
      <c r="L19" s="344"/>
      <c r="M19" s="344"/>
      <c r="N19" s="732"/>
      <c r="O19" s="732"/>
      <c r="P19" s="732"/>
      <c r="Q19" s="732"/>
    </row>
    <row r="20" spans="1:17" s="292" customFormat="1" ht="17.25" x14ac:dyDescent="0.2">
      <c r="A20" s="275">
        <v>16</v>
      </c>
      <c r="B20" s="275">
        <v>4054266970</v>
      </c>
      <c r="C20" s="359" t="s">
        <v>23</v>
      </c>
      <c r="D20" s="359" t="s">
        <v>23</v>
      </c>
      <c r="E20" s="323" t="s">
        <v>1332</v>
      </c>
      <c r="F20" s="15" t="s">
        <v>17</v>
      </c>
      <c r="G20" s="15" t="s">
        <v>1097</v>
      </c>
      <c r="H20" s="275" t="str">
        <f t="shared" si="0"/>
        <v>Rétirédanslesdélais</v>
      </c>
      <c r="I20" s="275" t="s">
        <v>189</v>
      </c>
      <c r="J20" s="354">
        <v>45553</v>
      </c>
      <c r="K20" s="344">
        <v>0</v>
      </c>
      <c r="L20" s="344"/>
      <c r="M20" s="344"/>
      <c r="N20" s="732"/>
      <c r="O20" s="732"/>
      <c r="P20" s="732"/>
      <c r="Q20" s="732"/>
    </row>
    <row r="21" spans="1:17" s="292" customFormat="1" x14ac:dyDescent="0.25">
      <c r="H21"/>
      <c r="I21"/>
      <c r="J21" s="208"/>
      <c r="K21" s="208"/>
      <c r="L21" s="208"/>
      <c r="M21" s="208"/>
      <c r="N21"/>
      <c r="O21"/>
      <c r="P21"/>
      <c r="Q21"/>
    </row>
    <row r="22" spans="1:17" s="292" customFormat="1" x14ac:dyDescent="0.25">
      <c r="H22"/>
      <c r="I22"/>
      <c r="J22" s="208"/>
      <c r="K22" s="208"/>
      <c r="L22" s="208"/>
      <c r="M22" s="208"/>
      <c r="N22"/>
      <c r="O22"/>
      <c r="P22"/>
      <c r="Q22"/>
    </row>
    <row r="23" spans="1:17" s="292" customFormat="1" x14ac:dyDescent="0.25">
      <c r="H23"/>
      <c r="I23"/>
      <c r="J23" s="208"/>
      <c r="K23" s="208"/>
      <c r="L23" s="208"/>
      <c r="M23" s="208"/>
      <c r="N23"/>
      <c r="O23"/>
      <c r="P23"/>
      <c r="Q23"/>
    </row>
    <row r="24" spans="1:17" s="292" customFormat="1" x14ac:dyDescent="0.25">
      <c r="H24"/>
      <c r="I24"/>
      <c r="J24" s="208"/>
      <c r="K24" s="208"/>
      <c r="L24" s="208"/>
      <c r="M24" s="208"/>
      <c r="N24"/>
      <c r="O24"/>
      <c r="P24"/>
      <c r="Q24"/>
    </row>
    <row r="25" spans="1:17" s="292" customFormat="1" x14ac:dyDescent="0.25">
      <c r="H25"/>
      <c r="I25"/>
      <c r="J25" s="208"/>
      <c r="K25" s="208"/>
      <c r="L25" s="208"/>
      <c r="M25" s="208"/>
      <c r="N25"/>
      <c r="O25"/>
      <c r="P25"/>
      <c r="Q25"/>
    </row>
    <row r="26" spans="1:17" s="292" customFormat="1" x14ac:dyDescent="0.25">
      <c r="H26"/>
      <c r="I26"/>
      <c r="J26" s="208"/>
      <c r="K26" s="208"/>
      <c r="L26" s="208"/>
      <c r="M26" s="208"/>
      <c r="N26"/>
      <c r="O26"/>
      <c r="P26"/>
      <c r="Q26"/>
    </row>
    <row r="27" spans="1:17" s="292" customFormat="1" x14ac:dyDescent="0.25">
      <c r="H27"/>
      <c r="I27"/>
      <c r="J27" s="208"/>
      <c r="K27" s="208"/>
      <c r="L27" s="208"/>
      <c r="M27" s="208"/>
      <c r="N27"/>
      <c r="O27"/>
      <c r="P27"/>
      <c r="Q27"/>
    </row>
    <row r="28" spans="1:17" s="292" customFormat="1" x14ac:dyDescent="0.25">
      <c r="H28"/>
      <c r="I28"/>
      <c r="J28" s="208"/>
      <c r="K28" s="208"/>
      <c r="L28" s="208"/>
      <c r="M28" s="208"/>
      <c r="N28"/>
      <c r="O28"/>
      <c r="P28"/>
      <c r="Q28"/>
    </row>
    <row r="29" spans="1:17" s="292" customFormat="1" x14ac:dyDescent="0.25">
      <c r="H29"/>
      <c r="I29"/>
      <c r="J29" s="208"/>
      <c r="K29" s="208"/>
      <c r="L29" s="208"/>
      <c r="M29" s="208"/>
      <c r="N29"/>
      <c r="O29"/>
      <c r="P29"/>
      <c r="Q29"/>
    </row>
    <row r="30" spans="1:17" s="292" customFormat="1" x14ac:dyDescent="0.25">
      <c r="H30"/>
      <c r="I30"/>
      <c r="J30" s="208"/>
      <c r="K30" s="208"/>
      <c r="L30" s="208"/>
      <c r="M30" s="208"/>
      <c r="N30"/>
      <c r="O30"/>
      <c r="P30"/>
      <c r="Q30"/>
    </row>
    <row r="31" spans="1:17" s="292" customFormat="1" x14ac:dyDescent="0.25">
      <c r="H31"/>
      <c r="I31"/>
      <c r="J31" s="208"/>
      <c r="K31" s="208"/>
      <c r="L31" s="208"/>
      <c r="M31" s="208"/>
      <c r="N31"/>
      <c r="O31"/>
      <c r="P31"/>
      <c r="Q31"/>
    </row>
    <row r="32" spans="1:17" x14ac:dyDescent="0.25">
      <c r="B32" s="292"/>
    </row>
    <row r="33" spans="2:2" x14ac:dyDescent="0.25">
      <c r="B33" s="292"/>
    </row>
    <row r="34" spans="2:2" x14ac:dyDescent="0.25">
      <c r="B34" s="292"/>
    </row>
    <row r="35" spans="2:2" x14ac:dyDescent="0.25">
      <c r="B35" s="292"/>
    </row>
    <row r="36" spans="2:2" x14ac:dyDescent="0.25">
      <c r="B36" s="292"/>
    </row>
    <row r="37" spans="2:2" x14ac:dyDescent="0.25">
      <c r="B37" s="292"/>
    </row>
    <row r="38" spans="2:2" x14ac:dyDescent="0.25">
      <c r="B38" s="292"/>
    </row>
    <row r="39" spans="2:2" x14ac:dyDescent="0.25">
      <c r="B39" s="292"/>
    </row>
    <row r="40" spans="2:2" x14ac:dyDescent="0.25">
      <c r="B40" s="292"/>
    </row>
    <row r="41" spans="2:2" x14ac:dyDescent="0.25">
      <c r="B41" s="292"/>
    </row>
    <row r="42" spans="2:2" x14ac:dyDescent="0.25">
      <c r="B42" s="292"/>
    </row>
    <row r="43" spans="2:2" x14ac:dyDescent="0.25">
      <c r="B43" s="292"/>
    </row>
    <row r="44" spans="2:2" x14ac:dyDescent="0.25">
      <c r="B44" s="292"/>
    </row>
    <row r="45" spans="2:2" x14ac:dyDescent="0.25">
      <c r="B45" s="292"/>
    </row>
    <row r="46" spans="2:2" x14ac:dyDescent="0.25">
      <c r="B46" s="292"/>
    </row>
    <row r="47" spans="2:2" x14ac:dyDescent="0.25">
      <c r="B47" s="292"/>
    </row>
  </sheetData>
  <autoFilter ref="A4:Q20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5:Q20">
      <sortCondition ref="E4"/>
    </sortState>
  </autoFilter>
  <mergeCells count="19">
    <mergeCell ref="N12:Q12"/>
    <mergeCell ref="H1:J1"/>
    <mergeCell ref="A2:B2"/>
    <mergeCell ref="N4:Q4"/>
    <mergeCell ref="N5:Q5"/>
    <mergeCell ref="N6:Q6"/>
    <mergeCell ref="N7:Q7"/>
    <mergeCell ref="N8:Q8"/>
    <mergeCell ref="N9:Q9"/>
    <mergeCell ref="N10:Q10"/>
    <mergeCell ref="N11:Q11"/>
    <mergeCell ref="N19:Q19"/>
    <mergeCell ref="N20:Q20"/>
    <mergeCell ref="N13:Q13"/>
    <mergeCell ref="N14:Q14"/>
    <mergeCell ref="N15:Q15"/>
    <mergeCell ref="N16:Q16"/>
    <mergeCell ref="N17:Q17"/>
    <mergeCell ref="N18:Q18"/>
  </mergeCells>
  <conditionalFormatting sqref="A5:B20 E5:I20">
    <cfRule type="containsText" dxfId="777" priority="7" operator="containsText" text="Rétiré dans les délais">
      <formula>NOT(ISERROR(SEARCH("Rétiré dans les délais",A5)))</formula>
    </cfRule>
  </conditionalFormatting>
  <conditionalFormatting sqref="B1:D3 B28:D1048576">
    <cfRule type="duplicateValues" dxfId="776" priority="27"/>
    <cfRule type="duplicateValues" dxfId="775" priority="28"/>
    <cfRule type="duplicateValues" dxfId="774" priority="29"/>
  </conditionalFormatting>
  <conditionalFormatting sqref="B1:D3">
    <cfRule type="duplicateValues" dxfId="773" priority="21"/>
    <cfRule type="duplicateValues" dxfId="772" priority="22"/>
    <cfRule type="duplicateValues" dxfId="771" priority="23"/>
    <cfRule type="duplicateValues" dxfId="770" priority="24"/>
  </conditionalFormatting>
  <conditionalFormatting sqref="B1:D4 B28:D1048576">
    <cfRule type="duplicateValues" dxfId="769" priority="26"/>
    <cfRule type="duplicateValues" dxfId="768" priority="30"/>
    <cfRule type="duplicateValues" dxfId="767" priority="31"/>
    <cfRule type="duplicateValues" dxfId="766" priority="32"/>
  </conditionalFormatting>
  <conditionalFormatting sqref="B28:D1048576">
    <cfRule type="duplicateValues" dxfId="765" priority="25"/>
  </conditionalFormatting>
  <conditionalFormatting sqref="E5:I20 A5:B20">
    <cfRule type="containsText" dxfId="764" priority="6" operator="containsText" text="En Attente d'un Retrait Tardif">
      <formula>NOT(ISERROR(SEARCH("En Attente d'un Retrait Tardif",A5)))</formula>
    </cfRule>
  </conditionalFormatting>
  <conditionalFormatting sqref="I1:I1048576">
    <cfRule type="duplicateValues" dxfId="763" priority="1"/>
  </conditionalFormatting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1E92-A2D7-424C-B486-780988FDE8B1}">
  <sheetPr codeName="Feuil57">
    <tabColor theme="5" tint="-0.249977111117893"/>
  </sheetPr>
  <dimension ref="A1:Q27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4.85546875" customWidth="1"/>
    <col min="2" max="2" width="22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27.140625" customWidth="1"/>
    <col min="10" max="10" width="17.14062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1470</v>
      </c>
      <c r="B1" s="98"/>
      <c r="C1" s="98"/>
      <c r="D1" s="98"/>
      <c r="E1" s="288"/>
      <c r="F1" s="288"/>
      <c r="G1" s="288"/>
      <c r="H1" s="729"/>
      <c r="I1" s="729"/>
      <c r="J1" s="729"/>
      <c r="M1" s="356"/>
    </row>
    <row r="2" spans="1:17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45537</v>
      </c>
      <c r="I2" s="314"/>
      <c r="J2" s="315">
        <f ca="1">TODAY()</f>
        <v>46096</v>
      </c>
      <c r="K2" s="340"/>
      <c r="L2" s="340"/>
      <c r="M2" s="358">
        <f ca="1">J2-H2</f>
        <v>559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275">
        <v>4054226960</v>
      </c>
      <c r="C5" s="352"/>
      <c r="D5" s="352"/>
      <c r="E5" s="323" t="s">
        <v>1471</v>
      </c>
      <c r="F5" s="15"/>
      <c r="G5" s="15"/>
      <c r="H5" s="275" t="str">
        <f>IF(J5="",IF($M$2&lt;=15,"EnattentedeRetrait","EnAttented'unRetraitTardif"),IF(J5-$H$2&lt;=15,"Rétirédanslesdélais",IF(J5-$H$2&gt;15,"Rétirétardivement-30000FCFAamende")))</f>
        <v>Rétirédanslesdélais</v>
      </c>
      <c r="I5" s="275" t="s">
        <v>206</v>
      </c>
      <c r="J5" s="354">
        <v>45548</v>
      </c>
      <c r="K5" s="355">
        <v>0</v>
      </c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275">
        <v>4054226990</v>
      </c>
      <c r="C6" s="350"/>
      <c r="D6" s="350"/>
      <c r="E6" s="323" t="s">
        <v>1471</v>
      </c>
      <c r="F6" s="15"/>
      <c r="G6" s="275"/>
      <c r="H6" s="275" t="str">
        <f>IF(J6="",IF($M$2&lt;=15,"EnattentedeRetrait","EnAttented'unRetraitTardif"),IF(J6-$H$2&lt;=15,"Rétirédanslesdélais",IF(J6-$H$2&gt;15,"Rétirétardivement-30000FCFAamende")))</f>
        <v>Rétirédanslesdélais</v>
      </c>
      <c r="I6" s="275" t="s">
        <v>207</v>
      </c>
      <c r="J6" s="354">
        <v>45548</v>
      </c>
      <c r="K6" s="344">
        <v>0</v>
      </c>
      <c r="L6" s="344"/>
      <c r="M6" s="344"/>
      <c r="N6" s="732"/>
      <c r="O6" s="732"/>
      <c r="P6" s="732"/>
      <c r="Q6" s="732"/>
    </row>
    <row r="7" spans="1:17" ht="19.5" customHeight="1" x14ac:dyDescent="0.25">
      <c r="A7" s="275">
        <v>3</v>
      </c>
      <c r="B7" s="275">
        <v>4054226991</v>
      </c>
      <c r="C7" s="350"/>
      <c r="D7" s="350"/>
      <c r="E7" s="323" t="s">
        <v>1471</v>
      </c>
      <c r="F7" s="15"/>
      <c r="G7" s="275"/>
      <c r="H7" s="275" t="str">
        <f>IF(J7="",IF($M$2&lt;=15,"EnattentedeRetrait","EnAttented'unRetraitTardif"),IF(J7-$H$2&lt;=15,"Rétirédanslesdélais",IF(J7-$H$2&gt;15,"Rétirétardivement-30000FCFAamende")))</f>
        <v>Rétirédanslesdélais</v>
      </c>
      <c r="I7" s="275" t="s">
        <v>208</v>
      </c>
      <c r="J7" s="354">
        <v>45548</v>
      </c>
      <c r="K7" s="344">
        <v>0</v>
      </c>
      <c r="L7" s="344"/>
      <c r="M7" s="344"/>
      <c r="N7" s="732"/>
      <c r="O7" s="732"/>
      <c r="P7" s="732"/>
      <c r="Q7" s="732"/>
    </row>
    <row r="8" spans="1:17" ht="19.5" customHeight="1" x14ac:dyDescent="0.25">
      <c r="A8" s="275">
        <v>4</v>
      </c>
      <c r="B8" s="275">
        <v>4054090881</v>
      </c>
      <c r="C8" s="350"/>
      <c r="D8" s="350"/>
      <c r="E8" s="323" t="s">
        <v>1472</v>
      </c>
      <c r="F8" s="15"/>
      <c r="G8" s="275"/>
      <c r="H8" s="275" t="str">
        <f>IF(J8="",IF($M$2&lt;=15,"EnattentedeRetrait","EnAttented'unRetraitTardif"),IF(J8-$H$2&lt;=15,"Rétirédanslesdélais",IF(J8-$H$2&gt;15,"Rétirétardivement-30000FCFAamende")))</f>
        <v>Rétirédanslesdélais</v>
      </c>
      <c r="I8" s="275" t="s">
        <v>209</v>
      </c>
      <c r="J8" s="354">
        <v>45541</v>
      </c>
      <c r="K8" s="344">
        <v>0</v>
      </c>
      <c r="L8" s="344"/>
      <c r="M8" s="344"/>
      <c r="N8" s="732"/>
      <c r="O8" s="732"/>
      <c r="P8" s="732"/>
      <c r="Q8" s="732"/>
    </row>
    <row r="9" spans="1:17" ht="19.5" customHeight="1" x14ac:dyDescent="0.25">
      <c r="A9" s="275">
        <v>5</v>
      </c>
      <c r="B9" s="275">
        <v>4054090950</v>
      </c>
      <c r="C9" s="350"/>
      <c r="D9" s="350"/>
      <c r="E9" s="323" t="s">
        <v>1472</v>
      </c>
      <c r="F9" s="15"/>
      <c r="G9" s="275"/>
      <c r="H9" s="275" t="str">
        <f>IF(J9="",IF($M$2&lt;=15,"EnattentedeRetrait","EnAttented'unRetraitTardif"),IF(J9-$H$2&lt;=15,"Rétirédanslesdélais",IF(J9-$H$2&gt;15,"Rétirétardivement-30000FCFAamende")))</f>
        <v>Rétirédanslesdélais</v>
      </c>
      <c r="I9" s="275" t="s">
        <v>210</v>
      </c>
      <c r="J9" s="354">
        <v>45548</v>
      </c>
      <c r="K9" s="344" t="s">
        <v>1473</v>
      </c>
      <c r="L9" s="344"/>
      <c r="M9" s="344"/>
      <c r="N9" s="732"/>
      <c r="O9" s="732"/>
      <c r="P9" s="732"/>
      <c r="Q9" s="732"/>
    </row>
    <row r="10" spans="1:17" s="292" customFormat="1" x14ac:dyDescent="0.25">
      <c r="H10"/>
      <c r="I10"/>
      <c r="J10" s="208"/>
      <c r="K10" s="208"/>
      <c r="L10" s="208"/>
      <c r="M10" s="208"/>
      <c r="N10"/>
      <c r="O10"/>
      <c r="P10"/>
      <c r="Q10"/>
    </row>
    <row r="11" spans="1:17" s="292" customFormat="1" x14ac:dyDescent="0.25">
      <c r="K11" s="208"/>
      <c r="L11" s="208"/>
      <c r="M11" s="208"/>
      <c r="N11"/>
      <c r="O11"/>
      <c r="P11"/>
      <c r="Q11"/>
    </row>
    <row r="12" spans="1:17" s="292" customFormat="1" x14ac:dyDescent="0.25">
      <c r="K12" s="208"/>
      <c r="L12" s="208"/>
      <c r="M12" s="208"/>
      <c r="N12"/>
      <c r="O12"/>
      <c r="P12"/>
      <c r="Q12"/>
    </row>
    <row r="13" spans="1:17" s="292" customFormat="1" x14ac:dyDescent="0.25">
      <c r="K13" s="208"/>
      <c r="L13" s="208"/>
      <c r="M13" s="208"/>
      <c r="N13"/>
      <c r="O13"/>
      <c r="P13"/>
      <c r="Q13"/>
    </row>
    <row r="14" spans="1:17" s="292" customFormat="1" x14ac:dyDescent="0.25">
      <c r="K14" s="208"/>
      <c r="L14" s="208"/>
      <c r="M14" s="208"/>
      <c r="N14"/>
      <c r="O14"/>
      <c r="P14"/>
      <c r="Q14"/>
    </row>
    <row r="15" spans="1:17" s="292" customFormat="1" x14ac:dyDescent="0.25">
      <c r="K15" s="208"/>
      <c r="L15" s="208"/>
      <c r="M15" s="208"/>
      <c r="N15"/>
      <c r="O15"/>
      <c r="P15"/>
      <c r="Q15"/>
    </row>
    <row r="16" spans="1:17" x14ac:dyDescent="0.25">
      <c r="H16" s="292"/>
      <c r="I16" s="292"/>
      <c r="J16" s="292"/>
    </row>
    <row r="17" spans="8:10" x14ac:dyDescent="0.25">
      <c r="H17" s="292"/>
      <c r="I17" s="292"/>
      <c r="J17" s="292"/>
    </row>
    <row r="18" spans="8:10" x14ac:dyDescent="0.25">
      <c r="H18" s="292"/>
      <c r="I18" s="292"/>
      <c r="J18" s="292"/>
    </row>
    <row r="19" spans="8:10" x14ac:dyDescent="0.25">
      <c r="H19" s="292"/>
      <c r="I19" s="292"/>
      <c r="J19" s="292"/>
    </row>
    <row r="20" spans="8:10" x14ac:dyDescent="0.25">
      <c r="H20" s="292"/>
      <c r="I20" s="292"/>
      <c r="J20" s="292"/>
    </row>
    <row r="21" spans="8:10" x14ac:dyDescent="0.25">
      <c r="H21" s="292"/>
      <c r="I21" s="292"/>
      <c r="J21" s="292"/>
    </row>
    <row r="22" spans="8:10" x14ac:dyDescent="0.25">
      <c r="H22" s="292"/>
      <c r="I22" s="292"/>
      <c r="J22" s="292"/>
    </row>
    <row r="23" spans="8:10" x14ac:dyDescent="0.25">
      <c r="H23" s="292"/>
      <c r="I23" s="292"/>
      <c r="J23" s="292"/>
    </row>
    <row r="24" spans="8:10" x14ac:dyDescent="0.25">
      <c r="H24" s="292"/>
      <c r="I24" s="292"/>
      <c r="J24" s="292"/>
    </row>
    <row r="25" spans="8:10" x14ac:dyDescent="0.25">
      <c r="H25" s="292"/>
      <c r="I25" s="292"/>
      <c r="J25" s="292"/>
    </row>
    <row r="26" spans="8:10" x14ac:dyDescent="0.25">
      <c r="H26" s="292"/>
      <c r="I26" s="292"/>
      <c r="J26" s="292"/>
    </row>
    <row r="27" spans="8:10" x14ac:dyDescent="0.25">
      <c r="H27" s="292"/>
      <c r="I27" s="292"/>
      <c r="J27" s="292"/>
    </row>
  </sheetData>
  <autoFilter ref="A4:Q9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E4"/>
    </sortState>
  </autoFilter>
  <mergeCells count="8">
    <mergeCell ref="N8:Q8"/>
    <mergeCell ref="N9:Q9"/>
    <mergeCell ref="H1:J1"/>
    <mergeCell ref="A2:B2"/>
    <mergeCell ref="N4:Q4"/>
    <mergeCell ref="N5:Q5"/>
    <mergeCell ref="N6:Q6"/>
    <mergeCell ref="N7:Q7"/>
  </mergeCells>
  <conditionalFormatting sqref="A5:B9">
    <cfRule type="containsText" dxfId="762" priority="3" operator="containsText" text="En Attente d'un Retrait Tardif">
      <formula>NOT(ISERROR(SEARCH("En Attente d'un Retrait Tardif",A5)))</formula>
    </cfRule>
    <cfRule type="containsText" dxfId="761" priority="4" operator="containsText" text="Rétiré dans les délais">
      <formula>NOT(ISERROR(SEARCH("Rétiré dans les délais",A5)))</formula>
    </cfRule>
  </conditionalFormatting>
  <conditionalFormatting sqref="B1:D3">
    <cfRule type="duplicateValues" dxfId="760" priority="9"/>
    <cfRule type="duplicateValues" dxfId="759" priority="10"/>
    <cfRule type="duplicateValues" dxfId="758" priority="11"/>
    <cfRule type="duplicateValues" dxfId="757" priority="12"/>
  </conditionalFormatting>
  <conditionalFormatting sqref="B12:D1048576 B1:D3">
    <cfRule type="duplicateValues" dxfId="756" priority="15"/>
    <cfRule type="duplicateValues" dxfId="755" priority="16"/>
    <cfRule type="duplicateValues" dxfId="754" priority="17"/>
  </conditionalFormatting>
  <conditionalFormatting sqref="B12:D1048576 B1:D4">
    <cfRule type="duplicateValues" dxfId="753" priority="14"/>
    <cfRule type="duplicateValues" dxfId="752" priority="18"/>
    <cfRule type="duplicateValues" dxfId="751" priority="19"/>
    <cfRule type="duplicateValues" dxfId="750" priority="20"/>
  </conditionalFormatting>
  <conditionalFormatting sqref="B12:D1048576">
    <cfRule type="duplicateValues" dxfId="749" priority="13"/>
  </conditionalFormatting>
  <conditionalFormatting sqref="E5:I9">
    <cfRule type="containsText" dxfId="748" priority="1" operator="containsText" text="En Attente d'un Retrait Tardif">
      <formula>NOT(ISERROR(SEARCH("En Attente d'un Retrait Tardif",E5)))</formula>
    </cfRule>
    <cfRule type="containsText" dxfId="747" priority="2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A133-3B94-4541-90D2-D43A52E195DF}">
  <sheetPr codeName="Feuil58">
    <tabColor theme="5" tint="-0.249977111117893"/>
  </sheetPr>
  <dimension ref="A1:Q23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4.85546875" customWidth="1"/>
    <col min="2" max="2" width="22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9" width="38" customWidth="1"/>
    <col min="10" max="10" width="17.14062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1474</v>
      </c>
      <c r="B1" s="98"/>
      <c r="C1" s="98"/>
      <c r="D1" s="98"/>
      <c r="E1" s="288"/>
      <c r="F1" s="288"/>
      <c r="G1" s="288"/>
      <c r="H1" s="729"/>
      <c r="I1" s="729"/>
      <c r="J1" s="729"/>
      <c r="M1" s="356"/>
    </row>
    <row r="2" spans="1:17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45528</v>
      </c>
      <c r="I2" s="314"/>
      <c r="J2" s="315">
        <f ca="1">TODAY()</f>
        <v>46096</v>
      </c>
      <c r="K2" s="340"/>
      <c r="L2" s="340"/>
      <c r="M2" s="358">
        <f ca="1">J2-H2</f>
        <v>568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/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275">
        <v>4054211160</v>
      </c>
      <c r="C5" s="352"/>
      <c r="D5" s="352"/>
      <c r="E5" s="323" t="s">
        <v>1276</v>
      </c>
      <c r="F5" s="15"/>
      <c r="G5" s="15"/>
      <c r="H5" s="275" t="str">
        <f>IF(J5="",IF($M$2&lt;=15,"EnattentedeRetrait","EnAttented'unRetraitTardif"),IF(J5-$H$2&lt;=15,"Rétirédanslesdélais",IF(J5-$H$2&gt;15,"Rétirétardivement-30000FCFAamende")))</f>
        <v>Rétirédanslesdélais</v>
      </c>
      <c r="I5" s="275"/>
      <c r="J5" s="354">
        <v>45531</v>
      </c>
      <c r="K5" s="355"/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275">
        <v>4054081020</v>
      </c>
      <c r="C6" s="350"/>
      <c r="D6" s="350"/>
      <c r="E6" s="323" t="s">
        <v>1119</v>
      </c>
      <c r="F6" s="15"/>
      <c r="G6" s="275"/>
      <c r="H6" s="275" t="str">
        <f>IF(J6="",IF($M$2&lt;=15,"EnattentedeRetrait","EnAttented'unRetraitTardif"),IF(J6-$H$2&lt;=15,"Rétirédanslesdélais",IF(J6-$H$2&gt;15,"Rétirétardivement-30000FCFAamende")))</f>
        <v>Rétirédanslesdélais</v>
      </c>
      <c r="I6" s="275"/>
      <c r="J6" s="354">
        <v>45532</v>
      </c>
      <c r="K6" s="344"/>
      <c r="L6" s="344"/>
      <c r="M6" s="344"/>
      <c r="N6" s="732"/>
      <c r="O6" s="732"/>
      <c r="P6" s="732"/>
      <c r="Q6" s="732"/>
    </row>
    <row r="7" spans="1:17" ht="19.5" customHeight="1" x14ac:dyDescent="0.25">
      <c r="A7" s="275">
        <v>3</v>
      </c>
      <c r="B7" s="275">
        <v>4054090880</v>
      </c>
      <c r="C7" s="350"/>
      <c r="D7" s="350"/>
      <c r="E7" s="323" t="s">
        <v>1472</v>
      </c>
      <c r="F7" s="15"/>
      <c r="G7" s="275"/>
      <c r="H7" s="275" t="str">
        <f>IF(J7="",IF($M$2&lt;=15,"EnattentedeRetrait","EnAttented'unRetraitTardif"),IF(J7-$H$2&lt;=15,"Rétirédanslesdélais",IF(J7-$H$2&gt;15,"Rétirétardivement-30000FCFAamende")))</f>
        <v>Rétirédanslesdélais</v>
      </c>
      <c r="I7" s="275"/>
      <c r="J7" s="354">
        <v>45532</v>
      </c>
      <c r="K7" s="344"/>
      <c r="L7" s="344"/>
      <c r="M7" s="344"/>
      <c r="N7" s="732"/>
      <c r="O7" s="732"/>
      <c r="P7" s="732"/>
      <c r="Q7" s="732"/>
    </row>
    <row r="8" spans="1:17" ht="19.5" customHeight="1" x14ac:dyDescent="0.25">
      <c r="A8" s="275">
        <v>4</v>
      </c>
      <c r="B8" s="275">
        <v>4054128810</v>
      </c>
      <c r="C8" s="350"/>
      <c r="D8" s="350"/>
      <c r="E8" s="323" t="s">
        <v>1475</v>
      </c>
      <c r="F8" s="15"/>
      <c r="G8" s="275"/>
      <c r="H8" s="275" t="str">
        <f>IF(J8="",IF($M$2&lt;=15,"EnattentedeRetrait","EnAttented'unRetraitTardif"),IF(J8-$H$2&lt;=15,"Rétirédanslesdélais",IF(J8-$H$2&gt;15,"Rétirétardivement-30000FCFAamende")))</f>
        <v>Rétirétardivement-30000FCFAamende</v>
      </c>
      <c r="I8" s="275" t="s">
        <v>1476</v>
      </c>
      <c r="J8" s="354">
        <v>45544</v>
      </c>
      <c r="K8" s="344" t="s">
        <v>1194</v>
      </c>
      <c r="L8" s="344"/>
      <c r="M8" s="344"/>
      <c r="N8" s="732"/>
      <c r="O8" s="732"/>
      <c r="P8" s="732"/>
      <c r="Q8" s="732"/>
    </row>
    <row r="9" spans="1:17" ht="19.5" customHeight="1" x14ac:dyDescent="0.25">
      <c r="A9" s="275">
        <v>5</v>
      </c>
      <c r="B9" s="275">
        <v>4054188300</v>
      </c>
      <c r="C9" s="350"/>
      <c r="D9" s="350"/>
      <c r="E9" s="323" t="s">
        <v>1475</v>
      </c>
      <c r="F9" s="15"/>
      <c r="G9" s="275"/>
      <c r="H9" s="275" t="str">
        <f>IF(J9="",IF($M$2&lt;=15,"EnattentedeRetrait","EnAttented'unRetraitTardif"),IF(J9-$H$2&lt;=15,"Rétirédanslesdélais",IF(J9-$H$2&gt;15,"Rétirétardivement-30000FCFAamende")))</f>
        <v>Rétirétardivement-30000FCFAamende</v>
      </c>
      <c r="I9" s="275" t="s">
        <v>1476</v>
      </c>
      <c r="J9" s="354">
        <v>45544</v>
      </c>
      <c r="K9" s="344" t="s">
        <v>1194</v>
      </c>
      <c r="L9" s="344"/>
      <c r="M9" s="344"/>
      <c r="N9" s="732"/>
      <c r="O9" s="732"/>
      <c r="P9" s="732"/>
      <c r="Q9" s="732"/>
    </row>
    <row r="10" spans="1:17" s="292" customFormat="1" x14ac:dyDescent="0.25">
      <c r="H10"/>
      <c r="I10"/>
      <c r="J10" s="208"/>
      <c r="K10" s="208"/>
      <c r="L10" s="208"/>
      <c r="M10" s="208"/>
      <c r="N10"/>
      <c r="O10"/>
      <c r="P10"/>
      <c r="Q10"/>
    </row>
    <row r="11" spans="1:17" s="292" customFormat="1" x14ac:dyDescent="0.25">
      <c r="H11"/>
      <c r="I11"/>
      <c r="J11" s="208"/>
      <c r="K11" s="208"/>
      <c r="L11" s="208"/>
      <c r="M11" s="208"/>
      <c r="N11"/>
      <c r="O11"/>
      <c r="P11"/>
      <c r="Q11"/>
    </row>
    <row r="12" spans="1:17" s="292" customFormat="1" x14ac:dyDescent="0.25">
      <c r="H12"/>
      <c r="I12"/>
      <c r="J12" s="208"/>
      <c r="K12" s="208"/>
      <c r="L12" s="208"/>
      <c r="M12" s="208"/>
      <c r="N12"/>
      <c r="O12"/>
      <c r="P12"/>
      <c r="Q12"/>
    </row>
    <row r="13" spans="1:17" s="292" customFormat="1" x14ac:dyDescent="0.25">
      <c r="H13"/>
      <c r="I13"/>
      <c r="J13" s="208"/>
      <c r="K13" s="208"/>
      <c r="L13" s="208"/>
      <c r="M13" s="208"/>
      <c r="N13"/>
      <c r="O13"/>
      <c r="P13"/>
      <c r="Q13"/>
    </row>
    <row r="14" spans="1:17" s="292" customFormat="1" x14ac:dyDescent="0.25">
      <c r="H14"/>
      <c r="I14"/>
      <c r="J14" s="208"/>
      <c r="K14" s="208"/>
      <c r="L14" s="208"/>
      <c r="M14" s="208"/>
      <c r="N14"/>
      <c r="O14"/>
      <c r="P14"/>
      <c r="Q14"/>
    </row>
    <row r="15" spans="1:17" s="292" customFormat="1" x14ac:dyDescent="0.25">
      <c r="L15" s="208"/>
      <c r="M15" s="208"/>
      <c r="N15"/>
      <c r="O15"/>
      <c r="P15"/>
      <c r="Q15"/>
    </row>
    <row r="16" spans="1:17" x14ac:dyDescent="0.25">
      <c r="H16" s="292"/>
      <c r="I16" s="292"/>
      <c r="J16" s="292"/>
      <c r="K16" s="292"/>
    </row>
    <row r="17" spans="8:11" x14ac:dyDescent="0.25">
      <c r="H17" s="292"/>
      <c r="I17" s="292"/>
      <c r="J17" s="292"/>
      <c r="K17" s="292"/>
    </row>
    <row r="18" spans="8:11" x14ac:dyDescent="0.25">
      <c r="H18" s="292"/>
      <c r="I18" s="292"/>
      <c r="J18" s="292"/>
      <c r="K18" s="292"/>
    </row>
    <row r="19" spans="8:11" x14ac:dyDescent="0.25">
      <c r="H19" s="292"/>
      <c r="I19" s="292"/>
      <c r="J19" s="292"/>
      <c r="K19" s="292"/>
    </row>
    <row r="20" spans="8:11" x14ac:dyDescent="0.25">
      <c r="H20" s="292"/>
      <c r="I20" s="292"/>
      <c r="J20" s="292"/>
      <c r="K20" s="292"/>
    </row>
    <row r="21" spans="8:11" x14ac:dyDescent="0.25">
      <c r="H21" s="292"/>
      <c r="I21" s="292"/>
      <c r="J21" s="292"/>
      <c r="K21" s="292"/>
    </row>
    <row r="22" spans="8:11" x14ac:dyDescent="0.25">
      <c r="H22" s="292"/>
      <c r="I22" s="292"/>
      <c r="J22" s="292"/>
      <c r="K22" s="292"/>
    </row>
    <row r="23" spans="8:11" x14ac:dyDescent="0.25">
      <c r="H23" s="292"/>
      <c r="I23" s="292"/>
      <c r="J23" s="292"/>
      <c r="K23" s="292"/>
    </row>
  </sheetData>
  <autoFilter ref="A4:Q9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E4"/>
    </sortState>
  </autoFilter>
  <mergeCells count="8">
    <mergeCell ref="N8:Q8"/>
    <mergeCell ref="N9:Q9"/>
    <mergeCell ref="H1:J1"/>
    <mergeCell ref="A2:B2"/>
    <mergeCell ref="N4:Q4"/>
    <mergeCell ref="N5:Q5"/>
    <mergeCell ref="N6:Q6"/>
    <mergeCell ref="N7:Q7"/>
  </mergeCells>
  <conditionalFormatting sqref="A5:B9">
    <cfRule type="containsText" dxfId="746" priority="5" operator="containsText" text="En Attente d'un Retrait Tardif">
      <formula>NOT(ISERROR(SEARCH("En Attente d'un Retrait Tardif",A5)))</formula>
    </cfRule>
    <cfRule type="containsText" dxfId="745" priority="6" operator="containsText" text="Rétiré dans les délais">
      <formula>NOT(ISERROR(SEARCH("Rétiré dans les délais",A5)))</formula>
    </cfRule>
  </conditionalFormatting>
  <conditionalFormatting sqref="B1:D3">
    <cfRule type="duplicateValues" dxfId="744" priority="11"/>
    <cfRule type="duplicateValues" dxfId="743" priority="12"/>
    <cfRule type="duplicateValues" dxfId="742" priority="13"/>
    <cfRule type="duplicateValues" dxfId="741" priority="14"/>
  </conditionalFormatting>
  <conditionalFormatting sqref="B12:D1048576 B1:D3">
    <cfRule type="duplicateValues" dxfId="740" priority="17"/>
    <cfRule type="duplicateValues" dxfId="739" priority="18"/>
    <cfRule type="duplicateValues" dxfId="738" priority="19"/>
  </conditionalFormatting>
  <conditionalFormatting sqref="B12:D1048576 B1:D4">
    <cfRule type="duplicateValues" dxfId="737" priority="16"/>
    <cfRule type="duplicateValues" dxfId="736" priority="20"/>
    <cfRule type="duplicateValues" dxfId="735" priority="21"/>
    <cfRule type="duplicateValues" dxfId="734" priority="22"/>
  </conditionalFormatting>
  <conditionalFormatting sqref="B12:D1048576">
    <cfRule type="duplicateValues" dxfId="733" priority="15"/>
  </conditionalFormatting>
  <conditionalFormatting sqref="E5:I9">
    <cfRule type="containsText" dxfId="732" priority="3" operator="containsText" text="En Attente d'un Retrait Tardif">
      <formula>NOT(ISERROR(SEARCH("En Attente d'un Retrait Tardif",E5)))</formula>
    </cfRule>
    <cfRule type="containsText" dxfId="731" priority="4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DA58-2E19-4FC5-A9FE-12A07A8C6F40}">
  <sheetPr codeName="Feuil59">
    <tabColor theme="5" tint="-0.249977111117893"/>
  </sheetPr>
  <dimension ref="A1:Q24"/>
  <sheetViews>
    <sheetView topLeftCell="A3" zoomScaleNormal="100" workbookViewId="0">
      <selection activeCell="E14" sqref="E14"/>
    </sheetView>
  </sheetViews>
  <sheetFormatPr baseColWidth="10" defaultColWidth="11.42578125" defaultRowHeight="15" x14ac:dyDescent="0.25"/>
  <cols>
    <col min="1" max="1" width="4.85546875" customWidth="1"/>
    <col min="2" max="2" width="22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23.5703125" customWidth="1"/>
    <col min="10" max="10" width="17.14062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1477</v>
      </c>
      <c r="B1" s="98"/>
      <c r="C1" s="98"/>
      <c r="D1" s="98"/>
      <c r="E1" s="288"/>
      <c r="F1" s="288"/>
      <c r="G1" s="288"/>
      <c r="H1" s="729"/>
      <c r="I1" s="729"/>
      <c r="J1" s="729"/>
      <c r="M1" s="356"/>
    </row>
    <row r="2" spans="1:17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45534</v>
      </c>
      <c r="I2" s="360">
        <f ca="1">J2-H2</f>
        <v>562</v>
      </c>
      <c r="J2" s="315">
        <f ca="1">TODAY()</f>
        <v>46096</v>
      </c>
      <c r="K2" s="340"/>
      <c r="L2" s="340"/>
      <c r="M2" s="358">
        <f ca="1">J2-H2</f>
        <v>562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275">
        <v>4054192731</v>
      </c>
      <c r="C5" s="352"/>
      <c r="D5" s="352"/>
      <c r="E5" s="323" t="s">
        <v>1197</v>
      </c>
      <c r="F5" s="15"/>
      <c r="G5" s="15"/>
      <c r="H5" s="275" t="str">
        <f t="shared" ref="H5:H17" si="0">IF(J5="",IF($M$2&lt;=15,"EnattentedeRetrait","EnAttented'unRetraitTardif"),IF(J5-$H$2&lt;=15,"Rétirédanslesdélais",IF(J5-$H$2&gt;15,"Rétirétardivement-30000FCFAamende")))</f>
        <v>Rétirédanslesdélais</v>
      </c>
      <c r="I5" s="275" t="s">
        <v>177</v>
      </c>
      <c r="J5" s="354">
        <v>45539</v>
      </c>
      <c r="K5" s="355"/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275">
        <v>4054204420</v>
      </c>
      <c r="C6" s="350"/>
      <c r="D6" s="350"/>
      <c r="E6" s="323" t="s">
        <v>1299</v>
      </c>
      <c r="F6" s="15"/>
      <c r="G6" s="275"/>
      <c r="H6" s="275" t="str">
        <f t="shared" si="0"/>
        <v>Rétirédanslesdélais</v>
      </c>
      <c r="I6" s="275" t="s">
        <v>178</v>
      </c>
      <c r="J6" s="354">
        <v>45537</v>
      </c>
      <c r="K6" s="344"/>
      <c r="L6" s="344"/>
      <c r="M6" s="344"/>
      <c r="N6" s="732"/>
      <c r="O6" s="732"/>
      <c r="P6" s="732"/>
      <c r="Q6" s="732"/>
    </row>
    <row r="7" spans="1:17" ht="19.5" customHeight="1" x14ac:dyDescent="0.25">
      <c r="A7" s="275">
        <v>3</v>
      </c>
      <c r="B7" s="275">
        <v>4054146660</v>
      </c>
      <c r="C7" s="350"/>
      <c r="D7" s="350"/>
      <c r="E7" s="323" t="s">
        <v>1478</v>
      </c>
      <c r="F7" s="15"/>
      <c r="G7" s="275"/>
      <c r="H7" s="275" t="str">
        <f t="shared" si="0"/>
        <v>Rétirédanslesdélais</v>
      </c>
      <c r="I7" s="275" t="s">
        <v>179</v>
      </c>
      <c r="J7" s="354">
        <v>45544</v>
      </c>
      <c r="K7" s="344"/>
      <c r="L7" s="344"/>
      <c r="M7" s="344"/>
      <c r="N7" s="732"/>
      <c r="O7" s="732"/>
      <c r="P7" s="732"/>
      <c r="Q7" s="732"/>
    </row>
    <row r="8" spans="1:17" ht="19.5" customHeight="1" x14ac:dyDescent="0.25">
      <c r="A8" s="275">
        <v>4</v>
      </c>
      <c r="B8" s="275">
        <v>4054201210</v>
      </c>
      <c r="C8" s="350"/>
      <c r="D8" s="350"/>
      <c r="E8" s="323" t="s">
        <v>1123</v>
      </c>
      <c r="F8" s="15"/>
      <c r="G8" s="275"/>
      <c r="H8" s="275" t="str">
        <f t="shared" si="0"/>
        <v>Rétirédanslesdélais</v>
      </c>
      <c r="I8" s="275" t="s">
        <v>180</v>
      </c>
      <c r="J8" s="354">
        <v>45544</v>
      </c>
      <c r="K8" s="344"/>
      <c r="L8" s="344"/>
      <c r="M8" s="344"/>
      <c r="N8" s="732"/>
      <c r="O8" s="732"/>
      <c r="P8" s="732"/>
      <c r="Q8" s="732"/>
    </row>
    <row r="9" spans="1:17" ht="19.5" customHeight="1" x14ac:dyDescent="0.25">
      <c r="A9" s="275">
        <v>5</v>
      </c>
      <c r="B9" s="275">
        <v>4054201240</v>
      </c>
      <c r="C9" s="350"/>
      <c r="D9" s="350"/>
      <c r="E9" s="323" t="s">
        <v>1075</v>
      </c>
      <c r="F9" s="15"/>
      <c r="G9" s="275"/>
      <c r="H9" s="275" t="str">
        <f t="shared" si="0"/>
        <v>Rétirédanslesdélais</v>
      </c>
      <c r="I9" s="275" t="s">
        <v>181</v>
      </c>
      <c r="J9" s="354">
        <v>45540</v>
      </c>
      <c r="K9" s="344"/>
      <c r="L9" s="344"/>
      <c r="M9" s="344"/>
      <c r="N9" s="732"/>
      <c r="O9" s="732"/>
      <c r="P9" s="732"/>
      <c r="Q9" s="732"/>
    </row>
    <row r="10" spans="1:17" ht="19.5" customHeight="1" x14ac:dyDescent="0.25">
      <c r="A10" s="275">
        <v>6</v>
      </c>
      <c r="B10" s="275">
        <v>4054201260</v>
      </c>
      <c r="C10" s="350"/>
      <c r="D10" s="350"/>
      <c r="E10" s="323" t="s">
        <v>1075</v>
      </c>
      <c r="F10" s="15"/>
      <c r="G10" s="275"/>
      <c r="H10" s="275" t="str">
        <f t="shared" si="0"/>
        <v>Rétirédanslesdélais</v>
      </c>
      <c r="I10" s="275" t="s">
        <v>182</v>
      </c>
      <c r="J10" s="354">
        <v>45540</v>
      </c>
      <c r="K10" s="344"/>
      <c r="L10" s="344"/>
      <c r="M10" s="344"/>
      <c r="N10" s="732"/>
      <c r="O10" s="732"/>
      <c r="P10" s="732"/>
      <c r="Q10" s="732"/>
    </row>
    <row r="11" spans="1:17" ht="19.5" customHeight="1" x14ac:dyDescent="0.25">
      <c r="A11" s="275">
        <v>7</v>
      </c>
      <c r="B11" s="275">
        <v>4054220440</v>
      </c>
      <c r="C11" s="350"/>
      <c r="D11" s="350"/>
      <c r="E11" s="323" t="s">
        <v>1075</v>
      </c>
      <c r="F11" s="15"/>
      <c r="G11" s="275"/>
      <c r="H11" s="275" t="str">
        <f t="shared" si="0"/>
        <v>Rétirédanslesdélais</v>
      </c>
      <c r="I11" s="275" t="s">
        <v>183</v>
      </c>
      <c r="J11" s="354">
        <v>45540</v>
      </c>
      <c r="K11" s="344"/>
      <c r="L11" s="344"/>
      <c r="M11" s="344"/>
      <c r="N11" s="732"/>
      <c r="O11" s="732"/>
      <c r="P11" s="732"/>
      <c r="Q11" s="732"/>
    </row>
    <row r="12" spans="1:17" ht="19.5" customHeight="1" x14ac:dyDescent="0.25">
      <c r="A12" s="275">
        <v>8</v>
      </c>
      <c r="B12" s="275">
        <v>4054220461</v>
      </c>
      <c r="C12" s="350"/>
      <c r="D12" s="350"/>
      <c r="E12" s="323" t="s">
        <v>1075</v>
      </c>
      <c r="F12" s="15"/>
      <c r="G12" s="275"/>
      <c r="H12" s="275" t="str">
        <f t="shared" si="0"/>
        <v>Rétirédanslesdélais</v>
      </c>
      <c r="I12" s="275" t="s">
        <v>184</v>
      </c>
      <c r="J12" s="354">
        <v>45540</v>
      </c>
      <c r="K12" s="344"/>
      <c r="L12" s="344"/>
      <c r="M12" s="344"/>
      <c r="N12" s="732"/>
      <c r="O12" s="732"/>
      <c r="P12" s="732"/>
      <c r="Q12" s="732"/>
    </row>
    <row r="13" spans="1:17" ht="19.5" customHeight="1" x14ac:dyDescent="0.25">
      <c r="A13" s="275">
        <v>9</v>
      </c>
      <c r="B13" s="275">
        <v>4054230440</v>
      </c>
      <c r="C13" s="350"/>
      <c r="D13" s="350"/>
      <c r="E13" s="323" t="s">
        <v>1276</v>
      </c>
      <c r="F13" s="15"/>
      <c r="G13" s="275"/>
      <c r="H13" s="275" t="str">
        <f t="shared" si="0"/>
        <v>Rétirédanslesdélais</v>
      </c>
      <c r="I13" s="275" t="s">
        <v>185</v>
      </c>
      <c r="J13" s="354">
        <v>45540</v>
      </c>
      <c r="K13" s="344"/>
      <c r="L13" s="344"/>
      <c r="M13" s="344"/>
      <c r="N13" s="732"/>
      <c r="O13" s="732"/>
      <c r="P13" s="732"/>
      <c r="Q13" s="732"/>
    </row>
    <row r="14" spans="1:17" ht="19.5" customHeight="1" x14ac:dyDescent="0.25">
      <c r="A14" s="275">
        <v>10</v>
      </c>
      <c r="B14" s="275">
        <v>4054208510</v>
      </c>
      <c r="C14" s="350"/>
      <c r="D14" s="350"/>
      <c r="E14" s="323" t="s">
        <v>1082</v>
      </c>
      <c r="F14" s="15"/>
      <c r="G14" s="275"/>
      <c r="H14" s="275" t="str">
        <f t="shared" si="0"/>
        <v>Rétirétardivement-30000FCFAamende</v>
      </c>
      <c r="I14" s="275" t="s">
        <v>201</v>
      </c>
      <c r="J14" s="354">
        <v>45555</v>
      </c>
      <c r="K14" s="344"/>
      <c r="L14" s="344"/>
      <c r="M14" s="344"/>
      <c r="N14" s="732"/>
      <c r="O14" s="732"/>
      <c r="P14" s="732"/>
      <c r="Q14" s="732"/>
    </row>
    <row r="15" spans="1:17" s="292" customFormat="1" ht="17.25" x14ac:dyDescent="0.2">
      <c r="A15" s="275">
        <v>11</v>
      </c>
      <c r="B15" s="275">
        <v>4054226230</v>
      </c>
      <c r="C15" s="350"/>
      <c r="D15" s="350"/>
      <c r="E15" s="323" t="s">
        <v>1479</v>
      </c>
      <c r="F15" s="15"/>
      <c r="G15" s="275"/>
      <c r="H15" s="275" t="str">
        <f t="shared" si="0"/>
        <v>Rétirédanslesdélais</v>
      </c>
      <c r="I15" s="275" t="s">
        <v>186</v>
      </c>
      <c r="J15" s="354">
        <v>45544</v>
      </c>
      <c r="K15" s="344"/>
      <c r="L15" s="344"/>
      <c r="M15" s="344"/>
      <c r="N15" s="732"/>
      <c r="O15" s="732"/>
      <c r="P15" s="732"/>
      <c r="Q15" s="732"/>
    </row>
    <row r="16" spans="1:17" s="292" customFormat="1" ht="17.25" x14ac:dyDescent="0.2">
      <c r="A16" s="275">
        <v>12</v>
      </c>
      <c r="B16" s="275">
        <v>4054226240</v>
      </c>
      <c r="C16" s="350"/>
      <c r="D16" s="350"/>
      <c r="E16" s="323" t="s">
        <v>1479</v>
      </c>
      <c r="F16" s="15"/>
      <c r="G16" s="275"/>
      <c r="H16" s="275" t="str">
        <f t="shared" si="0"/>
        <v>Rétirédanslesdélais</v>
      </c>
      <c r="I16" s="275" t="s">
        <v>187</v>
      </c>
      <c r="J16" s="354">
        <v>45544</v>
      </c>
      <c r="K16" s="344"/>
      <c r="L16" s="344"/>
      <c r="M16" s="344"/>
      <c r="N16" s="732"/>
      <c r="O16" s="732"/>
      <c r="P16" s="732"/>
      <c r="Q16" s="732"/>
    </row>
    <row r="17" spans="1:17" s="292" customFormat="1" ht="17.25" x14ac:dyDescent="0.2">
      <c r="A17" s="275">
        <v>13</v>
      </c>
      <c r="B17" s="275">
        <v>4054194530</v>
      </c>
      <c r="C17" s="350"/>
      <c r="D17" s="350"/>
      <c r="E17" s="323" t="s">
        <v>1337</v>
      </c>
      <c r="F17" s="15"/>
      <c r="G17" s="275"/>
      <c r="H17" s="275" t="str">
        <f t="shared" si="0"/>
        <v>Rétirédanslesdélais</v>
      </c>
      <c r="I17" s="275" t="s">
        <v>188</v>
      </c>
      <c r="J17" s="354">
        <v>45540</v>
      </c>
      <c r="K17" s="344"/>
      <c r="L17" s="344">
        <v>320000</v>
      </c>
      <c r="M17" s="344"/>
      <c r="N17" s="732"/>
      <c r="O17" s="732"/>
      <c r="P17" s="732"/>
      <c r="Q17" s="732"/>
    </row>
    <row r="18" spans="1:17" s="292" customFormat="1" x14ac:dyDescent="0.25">
      <c r="H18"/>
      <c r="I18"/>
      <c r="J18" s="208"/>
      <c r="K18" s="208"/>
      <c r="L18" s="208"/>
      <c r="M18" s="208"/>
      <c r="N18"/>
      <c r="O18"/>
      <c r="P18"/>
      <c r="Q18"/>
    </row>
    <row r="19" spans="1:17" s="292" customFormat="1" x14ac:dyDescent="0.25">
      <c r="H19"/>
      <c r="I19"/>
      <c r="J19" s="208"/>
      <c r="K19" s="208"/>
      <c r="L19" s="208"/>
      <c r="M19" s="208"/>
      <c r="N19"/>
      <c r="O19"/>
      <c r="P19"/>
      <c r="Q19"/>
    </row>
    <row r="20" spans="1:17" s="292" customFormat="1" x14ac:dyDescent="0.25">
      <c r="H20"/>
      <c r="I20"/>
      <c r="J20" s="208"/>
      <c r="K20" s="208"/>
      <c r="L20" s="208"/>
      <c r="M20" s="208"/>
      <c r="N20"/>
      <c r="O20"/>
      <c r="P20"/>
      <c r="Q20"/>
    </row>
    <row r="21" spans="1:17" s="292" customFormat="1" x14ac:dyDescent="0.25">
      <c r="H21"/>
      <c r="I21"/>
      <c r="J21" s="208"/>
      <c r="K21" s="208"/>
      <c r="L21" s="208"/>
      <c r="M21" s="208"/>
      <c r="N21"/>
      <c r="O21"/>
      <c r="P21"/>
      <c r="Q21"/>
    </row>
    <row r="22" spans="1:17" s="292" customFormat="1" x14ac:dyDescent="0.25">
      <c r="H22"/>
      <c r="I22"/>
      <c r="J22" s="208"/>
      <c r="K22" s="208"/>
      <c r="L22" s="208"/>
      <c r="M22" s="208"/>
      <c r="N22"/>
      <c r="O22"/>
      <c r="P22"/>
      <c r="Q22"/>
    </row>
    <row r="23" spans="1:17" s="292" customFormat="1" x14ac:dyDescent="0.25">
      <c r="H23"/>
      <c r="I23"/>
      <c r="J23" s="208"/>
      <c r="K23" s="208"/>
      <c r="L23" s="208"/>
      <c r="M23" s="208"/>
      <c r="N23"/>
      <c r="O23"/>
      <c r="P23"/>
      <c r="Q23"/>
    </row>
    <row r="24" spans="1:17" s="292" customFormat="1" x14ac:dyDescent="0.25">
      <c r="H24"/>
      <c r="I24"/>
      <c r="J24" s="208"/>
      <c r="K24" s="208"/>
      <c r="L24" s="208"/>
      <c r="M24" s="208"/>
      <c r="N24"/>
      <c r="O24"/>
      <c r="P24"/>
      <c r="Q24"/>
    </row>
  </sheetData>
  <autoFilter ref="A4:Q17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E4"/>
    </sortState>
  </autoFilter>
  <mergeCells count="16">
    <mergeCell ref="N7:Q7"/>
    <mergeCell ref="H1:J1"/>
    <mergeCell ref="A2:B2"/>
    <mergeCell ref="N4:Q4"/>
    <mergeCell ref="N5:Q5"/>
    <mergeCell ref="N6:Q6"/>
    <mergeCell ref="N14:Q14"/>
    <mergeCell ref="N15:Q15"/>
    <mergeCell ref="N16:Q16"/>
    <mergeCell ref="N17:Q17"/>
    <mergeCell ref="N8:Q8"/>
    <mergeCell ref="N9:Q9"/>
    <mergeCell ref="N10:Q10"/>
    <mergeCell ref="N11:Q11"/>
    <mergeCell ref="N12:Q12"/>
    <mergeCell ref="N13:Q13"/>
  </mergeCells>
  <conditionalFormatting sqref="A5:B17">
    <cfRule type="containsText" dxfId="730" priority="5" operator="containsText" text="En Attente d'un Retrait Tardif">
      <formula>NOT(ISERROR(SEARCH("En Attente d'un Retrait Tardif",A5)))</formula>
    </cfRule>
    <cfRule type="containsText" dxfId="729" priority="6" operator="containsText" text="Rétiré dans les délais">
      <formula>NOT(ISERROR(SEARCH("Rétiré dans les délais",A5)))</formula>
    </cfRule>
  </conditionalFormatting>
  <conditionalFormatting sqref="B1:D3">
    <cfRule type="duplicateValues" dxfId="728" priority="11"/>
    <cfRule type="duplicateValues" dxfId="727" priority="12"/>
    <cfRule type="duplicateValues" dxfId="726" priority="13"/>
    <cfRule type="duplicateValues" dxfId="725" priority="14"/>
  </conditionalFormatting>
  <conditionalFormatting sqref="B21:D1048576 B1:D3">
    <cfRule type="duplicateValues" dxfId="724" priority="17"/>
    <cfRule type="duplicateValues" dxfId="723" priority="18"/>
    <cfRule type="duplicateValues" dxfId="722" priority="19"/>
  </conditionalFormatting>
  <conditionalFormatting sqref="B21:D1048576 B1:D4">
    <cfRule type="duplicateValues" dxfId="721" priority="16"/>
    <cfRule type="duplicateValues" dxfId="720" priority="20"/>
    <cfRule type="duplicateValues" dxfId="719" priority="21"/>
    <cfRule type="duplicateValues" dxfId="718" priority="22"/>
  </conditionalFormatting>
  <conditionalFormatting sqref="B21:D1048576">
    <cfRule type="duplicateValues" dxfId="717" priority="15"/>
  </conditionalFormatting>
  <conditionalFormatting sqref="E5:I17">
    <cfRule type="containsText" dxfId="716" priority="1" operator="containsText" text="En Attente d'un Retrait Tardif">
      <formula>NOT(ISERROR(SEARCH("En Attente d'un Retrait Tardif",E5)))</formula>
    </cfRule>
    <cfRule type="containsText" dxfId="715" priority="2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237F-278D-4280-B67E-293DD842EA63}">
  <sheetPr codeName="Feuil60">
    <tabColor theme="5" tint="-0.249977111117893"/>
  </sheetPr>
  <dimension ref="A1:Q46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4.85546875" customWidth="1"/>
    <col min="2" max="2" width="14.140625" bestFit="1" customWidth="1"/>
    <col min="3" max="3" width="14.140625" customWidth="1"/>
    <col min="4" max="5" width="9.85546875" customWidth="1"/>
    <col min="6" max="6" width="39.140625" style="292" customWidth="1"/>
    <col min="7" max="8" width="15.85546875" style="292" customWidth="1"/>
    <col min="9" max="9" width="38" customWidth="1"/>
    <col min="10" max="10" width="15" style="208" customWidth="1"/>
    <col min="11" max="11" width="22.28515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1480</v>
      </c>
      <c r="B1" s="98"/>
      <c r="C1" s="98"/>
      <c r="D1" s="98"/>
      <c r="E1" s="98"/>
      <c r="F1" s="288"/>
      <c r="G1" s="288"/>
      <c r="H1" s="288"/>
      <c r="I1" s="729"/>
      <c r="J1" s="729"/>
    </row>
    <row r="2" spans="1:17" ht="24" thickBot="1" x14ac:dyDescent="0.3">
      <c r="A2" s="730" t="s">
        <v>0</v>
      </c>
      <c r="B2" s="730"/>
      <c r="C2" s="24"/>
      <c r="D2" s="24"/>
      <c r="E2" s="24"/>
      <c r="F2" s="25"/>
      <c r="G2" s="25"/>
      <c r="H2" s="25"/>
      <c r="I2" s="314">
        <v>45490</v>
      </c>
      <c r="J2" s="315">
        <f ca="1">TODAY()</f>
        <v>46096</v>
      </c>
      <c r="K2" s="340"/>
      <c r="L2" s="340"/>
      <c r="M2" s="5">
        <f ca="1">J2-I2</f>
        <v>606</v>
      </c>
    </row>
    <row r="3" spans="1:17" x14ac:dyDescent="0.25">
      <c r="I3" s="105"/>
    </row>
    <row r="4" spans="1:17" ht="17.25" x14ac:dyDescent="0.25">
      <c r="A4" s="318" t="s">
        <v>1</v>
      </c>
      <c r="B4" s="335" t="s">
        <v>2</v>
      </c>
      <c r="C4" s="336" t="s">
        <v>167</v>
      </c>
      <c r="D4" s="336"/>
      <c r="E4" s="336"/>
      <c r="F4" s="336" t="s">
        <v>5</v>
      </c>
      <c r="G4" s="318" t="s">
        <v>1065</v>
      </c>
      <c r="H4" s="318" t="s">
        <v>1066</v>
      </c>
      <c r="I4" s="318" t="s">
        <v>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ht="17.25" x14ac:dyDescent="0.25">
      <c r="A5" s="266">
        <v>1</v>
      </c>
      <c r="B5" s="347">
        <v>4054146440</v>
      </c>
      <c r="C5" s="347"/>
      <c r="D5" s="350" t="s">
        <v>23</v>
      </c>
      <c r="E5" s="350" t="s">
        <v>24</v>
      </c>
      <c r="F5" s="323" t="s">
        <v>1141</v>
      </c>
      <c r="G5" s="275" t="s">
        <v>17</v>
      </c>
      <c r="H5" s="275" t="s">
        <v>1207</v>
      </c>
      <c r="I5" s="275" t="str">
        <f t="shared" ref="I5:I20" si="0">IF(J5="",IF($M$2&lt;=15,"EnattentedeRetrait","EnAttented'unRetraitTardif"),IF(J5-$I$2&lt;=15,"Rétirédanslesdélais",IF(J5-$I$2&gt;15,"Rétirétardivement-30000FCFAamende")))</f>
        <v>Rétirédanslesdélais</v>
      </c>
      <c r="J5" s="301">
        <v>45491</v>
      </c>
      <c r="K5" s="344"/>
      <c r="L5" s="344"/>
      <c r="M5" s="344"/>
      <c r="N5" s="732"/>
      <c r="O5" s="732"/>
      <c r="P5" s="732"/>
      <c r="Q5" s="732"/>
    </row>
    <row r="6" spans="1:17" ht="17.25" x14ac:dyDescent="0.25">
      <c r="A6" s="266">
        <v>2</v>
      </c>
      <c r="B6" s="347">
        <v>4054111671</v>
      </c>
      <c r="C6" s="347"/>
      <c r="D6" s="350" t="s">
        <v>26</v>
      </c>
      <c r="E6" s="350" t="s">
        <v>27</v>
      </c>
      <c r="F6" s="323" t="s">
        <v>1481</v>
      </c>
      <c r="G6" s="275" t="s">
        <v>17</v>
      </c>
      <c r="H6" s="275" t="s">
        <v>1482</v>
      </c>
      <c r="I6" s="275" t="str">
        <f t="shared" si="0"/>
        <v>Rétirétardivement-30000FCFAamende</v>
      </c>
      <c r="J6" s="301">
        <v>45518</v>
      </c>
      <c r="K6" s="342">
        <v>242000</v>
      </c>
      <c r="L6" s="351"/>
      <c r="M6" s="344"/>
      <c r="N6" s="732"/>
      <c r="O6" s="732"/>
      <c r="P6" s="732"/>
      <c r="Q6" s="732"/>
    </row>
    <row r="7" spans="1:17" ht="17.25" x14ac:dyDescent="0.25">
      <c r="A7" s="266">
        <v>3</v>
      </c>
      <c r="B7" s="347">
        <v>4054111672</v>
      </c>
      <c r="C7" s="347"/>
      <c r="D7" s="350" t="s">
        <v>26</v>
      </c>
      <c r="E7" s="350" t="s">
        <v>27</v>
      </c>
      <c r="F7" s="323" t="s">
        <v>1481</v>
      </c>
      <c r="G7" s="275" t="s">
        <v>17</v>
      </c>
      <c r="H7" s="275" t="s">
        <v>1482</v>
      </c>
      <c r="I7" s="275" t="str">
        <f t="shared" si="0"/>
        <v>Rétirétardivement-30000FCFAamende</v>
      </c>
      <c r="J7" s="301">
        <v>45518</v>
      </c>
      <c r="K7" s="342">
        <v>264000</v>
      </c>
      <c r="L7" s="351"/>
      <c r="M7" s="344"/>
      <c r="N7" s="732"/>
      <c r="O7" s="732"/>
      <c r="P7" s="732"/>
      <c r="Q7" s="732"/>
    </row>
    <row r="8" spans="1:17" ht="17.25" x14ac:dyDescent="0.25">
      <c r="A8" s="266">
        <v>4</v>
      </c>
      <c r="B8" s="347">
        <v>4054111670</v>
      </c>
      <c r="C8" s="347"/>
      <c r="D8" s="350" t="s">
        <v>26</v>
      </c>
      <c r="E8" s="350" t="s">
        <v>27</v>
      </c>
      <c r="F8" s="323" t="s">
        <v>1481</v>
      </c>
      <c r="G8" s="275" t="s">
        <v>17</v>
      </c>
      <c r="H8" s="275" t="s">
        <v>1482</v>
      </c>
      <c r="I8" s="275" t="str">
        <f t="shared" si="0"/>
        <v>Rétirétardivement-30000FCFAamende</v>
      </c>
      <c r="J8" s="301">
        <v>45518</v>
      </c>
      <c r="K8" s="342">
        <v>264000</v>
      </c>
      <c r="L8" s="351"/>
      <c r="M8" s="344"/>
      <c r="N8" s="732"/>
      <c r="O8" s="732"/>
      <c r="P8" s="732"/>
      <c r="Q8" s="732"/>
    </row>
    <row r="9" spans="1:17" ht="17.25" x14ac:dyDescent="0.25">
      <c r="A9" s="266">
        <v>5</v>
      </c>
      <c r="B9" s="347">
        <v>4054049861</v>
      </c>
      <c r="C9" s="347"/>
      <c r="D9" s="350" t="s">
        <v>23</v>
      </c>
      <c r="E9" s="350" t="s">
        <v>28</v>
      </c>
      <c r="F9" s="323" t="s">
        <v>1448</v>
      </c>
      <c r="G9" s="275" t="s">
        <v>17</v>
      </c>
      <c r="H9" s="275" t="s">
        <v>1482</v>
      </c>
      <c r="I9" s="275" t="str">
        <f t="shared" si="0"/>
        <v>Rétirédanslesdélais</v>
      </c>
      <c r="J9" s="301">
        <v>45491</v>
      </c>
      <c r="K9" s="344"/>
      <c r="L9" s="344"/>
      <c r="M9" s="344"/>
      <c r="N9" s="732"/>
      <c r="O9" s="732"/>
      <c r="P9" s="732"/>
      <c r="Q9" s="732"/>
    </row>
    <row r="10" spans="1:17" ht="17.25" x14ac:dyDescent="0.25">
      <c r="A10" s="266">
        <v>6</v>
      </c>
      <c r="B10" s="347">
        <v>4054049860</v>
      </c>
      <c r="C10" s="347"/>
      <c r="D10" s="350" t="s">
        <v>26</v>
      </c>
      <c r="E10" s="350" t="s">
        <v>29</v>
      </c>
      <c r="F10" s="323" t="s">
        <v>1448</v>
      </c>
      <c r="G10" s="275" t="s">
        <v>17</v>
      </c>
      <c r="H10" s="275" t="s">
        <v>1482</v>
      </c>
      <c r="I10" s="275" t="str">
        <f t="shared" si="0"/>
        <v>Rétirédanslesdélais</v>
      </c>
      <c r="J10" s="301">
        <v>45491</v>
      </c>
      <c r="K10" s="344"/>
      <c r="L10" s="344"/>
      <c r="M10" s="344"/>
      <c r="N10" s="732"/>
      <c r="O10" s="732"/>
      <c r="P10" s="732"/>
      <c r="Q10" s="732"/>
    </row>
    <row r="11" spans="1:17" ht="17.25" x14ac:dyDescent="0.25">
      <c r="A11" s="266">
        <v>7</v>
      </c>
      <c r="B11" s="347">
        <v>4054133850</v>
      </c>
      <c r="C11" s="347"/>
      <c r="D11" s="350" t="s">
        <v>23</v>
      </c>
      <c r="E11" s="350" t="s">
        <v>23</v>
      </c>
      <c r="F11" s="323" t="s">
        <v>1138</v>
      </c>
      <c r="G11" s="275" t="s">
        <v>17</v>
      </c>
      <c r="H11" s="275" t="s">
        <v>1482</v>
      </c>
      <c r="I11" s="275" t="str">
        <f t="shared" si="0"/>
        <v>Rétirédanslesdélais</v>
      </c>
      <c r="J11" s="301">
        <v>45491</v>
      </c>
      <c r="K11" s="344"/>
      <c r="L11" s="344"/>
      <c r="M11" s="344"/>
      <c r="N11" s="732"/>
      <c r="O11" s="732"/>
      <c r="P11" s="732"/>
      <c r="Q11" s="732"/>
    </row>
    <row r="12" spans="1:17" ht="17.25" x14ac:dyDescent="0.25">
      <c r="A12" s="266">
        <v>8</v>
      </c>
      <c r="B12" s="347">
        <v>4054133870</v>
      </c>
      <c r="C12" s="347"/>
      <c r="D12" s="350" t="s">
        <v>23</v>
      </c>
      <c r="E12" s="350" t="s">
        <v>23</v>
      </c>
      <c r="F12" s="323" t="s">
        <v>1138</v>
      </c>
      <c r="G12" s="275" t="s">
        <v>17</v>
      </c>
      <c r="H12" s="275" t="s">
        <v>1482</v>
      </c>
      <c r="I12" s="275" t="str">
        <f t="shared" si="0"/>
        <v>Rétirédanslesdélais</v>
      </c>
      <c r="J12" s="301">
        <v>45496</v>
      </c>
      <c r="K12" s="344"/>
      <c r="L12" s="344"/>
      <c r="M12" s="344"/>
      <c r="N12" s="732"/>
      <c r="O12" s="732"/>
      <c r="P12" s="732"/>
      <c r="Q12" s="732"/>
    </row>
    <row r="13" spans="1:17" ht="17.25" x14ac:dyDescent="0.25">
      <c r="A13" s="266">
        <v>9</v>
      </c>
      <c r="B13" s="347">
        <v>4054139740</v>
      </c>
      <c r="C13" s="347"/>
      <c r="D13" s="350" t="s">
        <v>23</v>
      </c>
      <c r="E13" s="350" t="s">
        <v>31</v>
      </c>
      <c r="F13" s="323" t="s">
        <v>1483</v>
      </c>
      <c r="G13" s="275" t="s">
        <v>17</v>
      </c>
      <c r="H13" s="275" t="s">
        <v>1321</v>
      </c>
      <c r="I13" s="275" t="str">
        <f t="shared" si="0"/>
        <v>Rétirédanslesdélais</v>
      </c>
      <c r="J13" s="301">
        <v>45496</v>
      </c>
      <c r="K13" s="344"/>
      <c r="L13" s="344"/>
      <c r="M13" s="344"/>
      <c r="N13" s="732"/>
      <c r="O13" s="732"/>
      <c r="P13" s="732"/>
      <c r="Q13" s="732"/>
    </row>
    <row r="14" spans="1:17" ht="17.25" x14ac:dyDescent="0.25">
      <c r="A14" s="266">
        <v>10</v>
      </c>
      <c r="B14" s="347">
        <v>4054146450</v>
      </c>
      <c r="C14" s="347"/>
      <c r="D14" s="350" t="s">
        <v>23</v>
      </c>
      <c r="E14" s="350" t="s">
        <v>24</v>
      </c>
      <c r="F14" s="323" t="s">
        <v>1141</v>
      </c>
      <c r="G14" s="275" t="s">
        <v>17</v>
      </c>
      <c r="H14" s="275" t="s">
        <v>1207</v>
      </c>
      <c r="I14" s="275" t="str">
        <f t="shared" si="0"/>
        <v>Rétirédanslesdélais</v>
      </c>
      <c r="J14" s="301">
        <v>45491</v>
      </c>
      <c r="K14" s="344"/>
      <c r="L14" s="344"/>
      <c r="M14" s="344"/>
      <c r="N14" s="732"/>
      <c r="O14" s="732"/>
      <c r="P14" s="732"/>
      <c r="Q14" s="732"/>
    </row>
    <row r="15" spans="1:17" ht="17.25" x14ac:dyDescent="0.25">
      <c r="A15" s="266">
        <v>11</v>
      </c>
      <c r="B15" s="347">
        <v>4054150750</v>
      </c>
      <c r="C15" s="347"/>
      <c r="D15" s="350" t="s">
        <v>23</v>
      </c>
      <c r="E15" s="350" t="s">
        <v>27</v>
      </c>
      <c r="F15" s="323" t="s">
        <v>1157</v>
      </c>
      <c r="G15" s="275" t="s">
        <v>17</v>
      </c>
      <c r="H15" s="275" t="s">
        <v>1482</v>
      </c>
      <c r="I15" s="275" t="str">
        <f t="shared" si="0"/>
        <v>Rétirédanslesdélais</v>
      </c>
      <c r="J15" s="301">
        <v>45504</v>
      </c>
      <c r="K15" s="344"/>
      <c r="L15" s="344"/>
      <c r="M15" s="344"/>
      <c r="N15" s="732"/>
      <c r="O15" s="732"/>
      <c r="P15" s="732"/>
      <c r="Q15" s="732"/>
    </row>
    <row r="16" spans="1:17" ht="17.25" x14ac:dyDescent="0.25">
      <c r="A16" s="266">
        <v>12</v>
      </c>
      <c r="B16" s="347">
        <v>4054113930</v>
      </c>
      <c r="C16" s="347"/>
      <c r="D16" s="350" t="s">
        <v>23</v>
      </c>
      <c r="E16" s="350" t="s">
        <v>31</v>
      </c>
      <c r="F16" s="323" t="s">
        <v>1350</v>
      </c>
      <c r="G16" s="275" t="s">
        <v>17</v>
      </c>
      <c r="H16" s="275" t="s">
        <v>1207</v>
      </c>
      <c r="I16" s="275" t="str">
        <f t="shared" si="0"/>
        <v>Rétirédanslesdélais</v>
      </c>
      <c r="J16" s="301">
        <v>45496</v>
      </c>
      <c r="K16" s="344"/>
      <c r="L16" s="344"/>
      <c r="M16" s="344"/>
      <c r="N16" s="732"/>
      <c r="O16" s="732"/>
      <c r="P16" s="732"/>
      <c r="Q16" s="732"/>
    </row>
    <row r="17" spans="1:17" ht="17.25" x14ac:dyDescent="0.25">
      <c r="A17" s="266">
        <v>13</v>
      </c>
      <c r="B17" s="347">
        <v>4054111060</v>
      </c>
      <c r="C17" s="347"/>
      <c r="D17" s="350" t="s">
        <v>23</v>
      </c>
      <c r="E17" s="350" t="s">
        <v>31</v>
      </c>
      <c r="F17" s="323" t="s">
        <v>1350</v>
      </c>
      <c r="G17" s="275" t="s">
        <v>17</v>
      </c>
      <c r="H17" s="275" t="s">
        <v>1207</v>
      </c>
      <c r="I17" s="275" t="str">
        <f t="shared" si="0"/>
        <v>Rétirédanslesdélais</v>
      </c>
      <c r="J17" s="301">
        <v>45496</v>
      </c>
      <c r="K17" s="344" t="s">
        <v>1484</v>
      </c>
      <c r="L17" s="344"/>
      <c r="M17" s="344"/>
      <c r="N17" s="732"/>
      <c r="O17" s="732"/>
      <c r="P17" s="732"/>
      <c r="Q17" s="732"/>
    </row>
    <row r="18" spans="1:17" ht="17.25" x14ac:dyDescent="0.25">
      <c r="A18" s="266">
        <v>14</v>
      </c>
      <c r="B18" s="347">
        <v>4054148590</v>
      </c>
      <c r="C18" s="347" t="s">
        <v>171</v>
      </c>
      <c r="D18" s="350" t="s">
        <v>26</v>
      </c>
      <c r="E18" s="350" t="s">
        <v>27</v>
      </c>
      <c r="F18" s="323" t="s">
        <v>1148</v>
      </c>
      <c r="G18" s="275" t="s">
        <v>17</v>
      </c>
      <c r="H18" s="275" t="s">
        <v>1097</v>
      </c>
      <c r="I18" s="275" t="str">
        <f t="shared" si="0"/>
        <v>Rétirétardivement-30000FCFAamende</v>
      </c>
      <c r="J18" s="301">
        <v>45506</v>
      </c>
      <c r="K18" s="344"/>
      <c r="L18" s="344"/>
      <c r="M18" s="344"/>
      <c r="N18" s="732"/>
      <c r="O18" s="732"/>
      <c r="P18" s="732"/>
      <c r="Q18" s="732"/>
    </row>
    <row r="19" spans="1:17" ht="17.25" x14ac:dyDescent="0.25">
      <c r="A19" s="266">
        <v>15</v>
      </c>
      <c r="B19" s="347">
        <v>4054148630</v>
      </c>
      <c r="C19" s="347" t="s">
        <v>170</v>
      </c>
      <c r="D19" s="350" t="s">
        <v>26</v>
      </c>
      <c r="E19" s="350" t="s">
        <v>27</v>
      </c>
      <c r="F19" s="323" t="s">
        <v>1148</v>
      </c>
      <c r="G19" s="275" t="s">
        <v>17</v>
      </c>
      <c r="H19" s="275" t="s">
        <v>1097</v>
      </c>
      <c r="I19" s="275" t="str">
        <f t="shared" si="0"/>
        <v>Rétirétardivement-30000FCFAamende</v>
      </c>
      <c r="J19" s="301">
        <v>45506</v>
      </c>
      <c r="K19" s="344"/>
      <c r="L19" s="344"/>
      <c r="M19" s="344"/>
      <c r="N19" s="732"/>
      <c r="O19" s="732"/>
      <c r="P19" s="732"/>
      <c r="Q19" s="732"/>
    </row>
    <row r="20" spans="1:17" ht="17.25" x14ac:dyDescent="0.25">
      <c r="A20" s="266">
        <v>16</v>
      </c>
      <c r="B20" s="347">
        <v>4054148620</v>
      </c>
      <c r="C20" s="347" t="s">
        <v>172</v>
      </c>
      <c r="D20" s="350" t="s">
        <v>26</v>
      </c>
      <c r="E20" s="350" t="s">
        <v>27</v>
      </c>
      <c r="F20" s="323" t="s">
        <v>1148</v>
      </c>
      <c r="G20" s="275" t="s">
        <v>17</v>
      </c>
      <c r="H20" s="275" t="s">
        <v>1097</v>
      </c>
      <c r="I20" s="275" t="str">
        <f t="shared" si="0"/>
        <v>Rétirétardivement-30000FCFAamende</v>
      </c>
      <c r="J20" s="301">
        <v>45506</v>
      </c>
      <c r="K20" s="344"/>
      <c r="L20" s="344"/>
      <c r="M20" s="344"/>
      <c r="N20" s="732"/>
      <c r="O20" s="732"/>
      <c r="P20" s="732"/>
      <c r="Q20" s="732"/>
    </row>
    <row r="23" spans="1:17" x14ac:dyDescent="0.25">
      <c r="A23" s="292"/>
      <c r="B23" s="292"/>
      <c r="C23" s="292"/>
      <c r="D23" s="292"/>
      <c r="E23" s="292"/>
    </row>
    <row r="24" spans="1:17" x14ac:dyDescent="0.25">
      <c r="A24" s="292"/>
      <c r="B24" s="292"/>
      <c r="C24" s="292"/>
      <c r="D24" s="292"/>
      <c r="E24" s="292"/>
    </row>
    <row r="25" spans="1:17" x14ac:dyDescent="0.25">
      <c r="A25" s="292"/>
      <c r="B25" s="292"/>
      <c r="C25" s="292"/>
      <c r="D25" s="292"/>
      <c r="E25" s="292"/>
    </row>
    <row r="26" spans="1:17" x14ac:dyDescent="0.25">
      <c r="A26" s="292"/>
      <c r="B26" s="292"/>
      <c r="C26" s="292"/>
      <c r="D26" s="292"/>
      <c r="E26" s="292"/>
    </row>
    <row r="27" spans="1:17" x14ac:dyDescent="0.25">
      <c r="A27" s="292"/>
      <c r="B27" s="292"/>
      <c r="C27" s="292"/>
      <c r="D27" s="292"/>
      <c r="E27" s="292"/>
    </row>
    <row r="28" spans="1:17" x14ac:dyDescent="0.25">
      <c r="A28" s="292"/>
      <c r="B28" s="292"/>
      <c r="C28" s="292"/>
      <c r="D28" s="292"/>
      <c r="E28" s="292"/>
    </row>
    <row r="29" spans="1:17" x14ac:dyDescent="0.25">
      <c r="A29" s="292"/>
      <c r="B29" s="292"/>
      <c r="C29" s="292"/>
      <c r="D29" s="292"/>
      <c r="E29" s="292"/>
    </row>
    <row r="30" spans="1:17" x14ac:dyDescent="0.25">
      <c r="A30" s="292"/>
      <c r="B30" s="292"/>
      <c r="C30" s="292"/>
      <c r="D30" s="292"/>
      <c r="E30" s="292"/>
    </row>
    <row r="31" spans="1:17" x14ac:dyDescent="0.25">
      <c r="A31" s="292"/>
      <c r="B31" s="292"/>
      <c r="C31" s="292"/>
      <c r="D31" s="292"/>
      <c r="E31" s="292"/>
    </row>
    <row r="32" spans="1:17" x14ac:dyDescent="0.25">
      <c r="A32" s="292"/>
      <c r="B32" s="292"/>
      <c r="C32" s="292"/>
      <c r="D32" s="292"/>
      <c r="E32" s="292"/>
    </row>
    <row r="33" spans="1:5" x14ac:dyDescent="0.25">
      <c r="A33" s="292"/>
      <c r="B33" s="292"/>
      <c r="C33" s="292"/>
      <c r="D33" s="292"/>
      <c r="E33" s="292"/>
    </row>
    <row r="34" spans="1:5" x14ac:dyDescent="0.25">
      <c r="A34" s="292"/>
      <c r="B34" s="292"/>
      <c r="C34" s="292"/>
      <c r="D34" s="292"/>
      <c r="E34" s="292"/>
    </row>
    <row r="35" spans="1:5" x14ac:dyDescent="0.25">
      <c r="A35" s="292"/>
      <c r="B35" s="292"/>
      <c r="C35" s="292"/>
      <c r="D35" s="292"/>
      <c r="E35" s="292"/>
    </row>
    <row r="36" spans="1:5" x14ac:dyDescent="0.25">
      <c r="A36" s="292"/>
      <c r="B36" s="292"/>
      <c r="C36" s="292"/>
      <c r="D36" s="292"/>
      <c r="E36" s="292"/>
    </row>
    <row r="37" spans="1:5" x14ac:dyDescent="0.25">
      <c r="A37" s="292"/>
      <c r="B37" s="292"/>
      <c r="C37" s="292"/>
      <c r="D37" s="292"/>
      <c r="E37" s="292"/>
    </row>
    <row r="38" spans="1:5" x14ac:dyDescent="0.25">
      <c r="A38" s="292"/>
      <c r="B38" s="292"/>
      <c r="C38" s="292"/>
      <c r="D38" s="292"/>
      <c r="E38" s="292"/>
    </row>
    <row r="39" spans="1:5" x14ac:dyDescent="0.25">
      <c r="A39" s="292"/>
      <c r="B39" s="292"/>
      <c r="C39" s="292"/>
      <c r="D39" s="292"/>
      <c r="E39" s="292"/>
    </row>
    <row r="40" spans="1:5" x14ac:dyDescent="0.25">
      <c r="A40" s="292"/>
      <c r="B40" s="292"/>
      <c r="C40" s="292"/>
      <c r="D40" s="292"/>
      <c r="E40" s="292"/>
    </row>
    <row r="41" spans="1:5" x14ac:dyDescent="0.25">
      <c r="A41" s="292"/>
      <c r="B41" s="292"/>
      <c r="C41" s="292"/>
      <c r="D41" s="292"/>
      <c r="E41" s="292"/>
    </row>
    <row r="42" spans="1:5" x14ac:dyDescent="0.25">
      <c r="A42" s="292"/>
      <c r="B42" s="292"/>
      <c r="C42" s="292"/>
      <c r="D42" s="292"/>
      <c r="E42" s="292"/>
    </row>
    <row r="43" spans="1:5" x14ac:dyDescent="0.25">
      <c r="A43" s="292"/>
      <c r="B43" s="292"/>
      <c r="C43" s="292"/>
      <c r="D43" s="292"/>
      <c r="E43" s="292"/>
    </row>
    <row r="44" spans="1:5" x14ac:dyDescent="0.25">
      <c r="A44" s="292"/>
      <c r="B44" s="292"/>
      <c r="C44" s="292"/>
      <c r="D44" s="292"/>
      <c r="E44" s="292"/>
    </row>
    <row r="45" spans="1:5" x14ac:dyDescent="0.25">
      <c r="A45" s="292"/>
      <c r="B45" s="292"/>
      <c r="C45" s="292"/>
      <c r="D45" s="292"/>
      <c r="E45" s="292"/>
    </row>
    <row r="46" spans="1:5" x14ac:dyDescent="0.25">
      <c r="A46" s="292"/>
      <c r="B46" s="292"/>
      <c r="C46" s="292"/>
      <c r="D46" s="292"/>
      <c r="E46" s="292"/>
    </row>
  </sheetData>
  <autoFilter ref="A4:Q4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F4"/>
    </sortState>
  </autoFilter>
  <mergeCells count="19">
    <mergeCell ref="N7:Q7"/>
    <mergeCell ref="I1:J1"/>
    <mergeCell ref="A2:B2"/>
    <mergeCell ref="N4:Q4"/>
    <mergeCell ref="N5:Q5"/>
    <mergeCell ref="N6:Q6"/>
    <mergeCell ref="N18:Q18"/>
    <mergeCell ref="N19:Q19"/>
    <mergeCell ref="N20:Q20"/>
    <mergeCell ref="N17:Q17"/>
    <mergeCell ref="N8:Q8"/>
    <mergeCell ref="N9:Q9"/>
    <mergeCell ref="N10:Q10"/>
    <mergeCell ref="N11:Q11"/>
    <mergeCell ref="N12:Q12"/>
    <mergeCell ref="N13:Q13"/>
    <mergeCell ref="N14:Q14"/>
    <mergeCell ref="N15:Q15"/>
    <mergeCell ref="N16:Q16"/>
  </mergeCells>
  <conditionalFormatting sqref="A26">
    <cfRule type="duplicateValues" dxfId="714" priority="1"/>
    <cfRule type="duplicateValues" dxfId="713" priority="2"/>
    <cfRule type="duplicateValues" dxfId="712" priority="3"/>
    <cfRule type="duplicateValues" dxfId="711" priority="4"/>
    <cfRule type="duplicateValues" dxfId="710" priority="5"/>
    <cfRule type="duplicateValues" dxfId="709" priority="6"/>
    <cfRule type="duplicateValues" dxfId="708" priority="7"/>
  </conditionalFormatting>
  <conditionalFormatting sqref="B5:C20 F5:I20">
    <cfRule type="containsText" dxfId="707" priority="23" operator="containsText" text="En Attente d'un Retrait Tardif">
      <formula>NOT(ISERROR(SEARCH("En Attente d'un Retrait Tardif",B5)))</formula>
    </cfRule>
    <cfRule type="containsText" dxfId="706" priority="24" operator="containsText" text="Rétiré dans les délais">
      <formula>NOT(ISERROR(SEARCH("Rétiré dans les délais",B5)))</formula>
    </cfRule>
  </conditionalFormatting>
  <conditionalFormatting sqref="B5:C20">
    <cfRule type="duplicateValues" dxfId="705" priority="393"/>
    <cfRule type="duplicateValues" dxfId="704" priority="394"/>
    <cfRule type="duplicateValues" dxfId="703" priority="395"/>
  </conditionalFormatting>
  <conditionalFormatting sqref="B1:E3 B21:E26 B43:E1048576">
    <cfRule type="duplicateValues" dxfId="702" priority="534"/>
    <cfRule type="duplicateValues" dxfId="701" priority="535"/>
    <cfRule type="duplicateValues" dxfId="700" priority="536"/>
  </conditionalFormatting>
  <conditionalFormatting sqref="B1:E3">
    <cfRule type="duplicateValues" dxfId="699" priority="38"/>
    <cfRule type="duplicateValues" dxfId="698" priority="39"/>
    <cfRule type="duplicateValues" dxfId="697" priority="40"/>
    <cfRule type="duplicateValues" dxfId="696" priority="41"/>
  </conditionalFormatting>
  <conditionalFormatting sqref="B1:E4 B21:E26 B43:E1048576">
    <cfRule type="duplicateValues" dxfId="695" priority="546"/>
    <cfRule type="duplicateValues" dxfId="694" priority="547"/>
    <cfRule type="duplicateValues" dxfId="693" priority="548"/>
  </conditionalFormatting>
  <conditionalFormatting sqref="B1:E4 B43:E1048576 B21:E26 B5:C20">
    <cfRule type="duplicateValues" dxfId="692" priority="531"/>
  </conditionalFormatting>
  <conditionalFormatting sqref="B43:E1048576">
    <cfRule type="duplicateValues" dxfId="691" priority="530"/>
  </conditionalFormatting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EDBD-CFD1-4202-BC1B-CFF2C75AA50C}">
  <sheetPr codeName="Feuil61">
    <tabColor theme="5" tint="-0.249977111117893"/>
  </sheetPr>
  <dimension ref="A1:Q24"/>
  <sheetViews>
    <sheetView zoomScaleNormal="100" workbookViewId="0">
      <selection activeCell="H23" sqref="C18:H23"/>
    </sheetView>
  </sheetViews>
  <sheetFormatPr baseColWidth="10" defaultColWidth="11.42578125" defaultRowHeight="15" x14ac:dyDescent="0.25"/>
  <cols>
    <col min="1" max="1" width="4.85546875" customWidth="1"/>
    <col min="2" max="2" width="22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21.140625" customWidth="1"/>
    <col min="10" max="10" width="17.14062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1485</v>
      </c>
      <c r="B1" s="98"/>
      <c r="C1" s="98"/>
      <c r="D1" s="98"/>
      <c r="E1" s="288"/>
      <c r="F1" s="288"/>
      <c r="G1" s="288"/>
      <c r="H1" s="729"/>
      <c r="I1" s="729"/>
      <c r="J1" s="729"/>
      <c r="M1" s="356"/>
    </row>
    <row r="2" spans="1:17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45518</v>
      </c>
      <c r="I2" s="314"/>
      <c r="J2" s="315">
        <f ca="1">TODAY()</f>
        <v>46096</v>
      </c>
      <c r="K2" s="340"/>
      <c r="L2" s="340"/>
      <c r="M2" s="358">
        <f ca="1">J2-H2</f>
        <v>578</v>
      </c>
    </row>
    <row r="3" spans="1:17" x14ac:dyDescent="0.25">
      <c r="H3" s="105"/>
      <c r="I3" s="105"/>
      <c r="M3" s="357"/>
    </row>
    <row r="4" spans="1:17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167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9.5" customHeight="1" x14ac:dyDescent="0.25">
      <c r="A5" s="275">
        <v>1</v>
      </c>
      <c r="B5" s="275">
        <v>4054192730</v>
      </c>
      <c r="C5" s="352"/>
      <c r="D5" s="352"/>
      <c r="E5" s="323" t="s">
        <v>1299</v>
      </c>
      <c r="F5" s="15"/>
      <c r="G5" s="15"/>
      <c r="H5" s="275" t="str">
        <f t="shared" ref="H5:H14" si="0">IF(J5="",IF($M$2&lt;=15,"EnattentedeRetrait","EnAttented'unRetraitTardif"),IF(J5-$H$2&lt;=15,"Rétirédanslesdélais",IF(J5-$H$2&gt;15,"Rétirétardivement-30000FCFAamende")))</f>
        <v>Rétirédanslesdélais</v>
      </c>
      <c r="I5" s="275"/>
      <c r="J5" s="354">
        <v>45531</v>
      </c>
      <c r="K5" s="355"/>
      <c r="L5" s="355"/>
      <c r="M5" s="355"/>
      <c r="N5" s="746"/>
      <c r="O5" s="746"/>
      <c r="P5" s="746"/>
      <c r="Q5" s="746"/>
    </row>
    <row r="6" spans="1:17" ht="19.5" customHeight="1" x14ac:dyDescent="0.25">
      <c r="A6" s="275">
        <v>2</v>
      </c>
      <c r="B6" s="275">
        <v>4054146670</v>
      </c>
      <c r="C6" s="350"/>
      <c r="D6" s="350"/>
      <c r="E6" s="323" t="s">
        <v>1478</v>
      </c>
      <c r="F6" s="15"/>
      <c r="G6" s="275"/>
      <c r="H6" s="275" t="str">
        <f t="shared" si="0"/>
        <v>Rétirédanslesdélais</v>
      </c>
      <c r="I6" s="275"/>
      <c r="J6" s="354">
        <v>45527</v>
      </c>
      <c r="K6" s="344"/>
      <c r="L6" s="344"/>
      <c r="M6" s="344"/>
      <c r="N6" s="732"/>
      <c r="O6" s="732"/>
      <c r="P6" s="732"/>
      <c r="Q6" s="732"/>
    </row>
    <row r="7" spans="1:17" ht="19.5" customHeight="1" x14ac:dyDescent="0.25">
      <c r="A7" s="275">
        <v>3</v>
      </c>
      <c r="B7" s="275">
        <v>4054211520</v>
      </c>
      <c r="C7" s="350"/>
      <c r="D7" s="350"/>
      <c r="E7" s="323" t="s">
        <v>1119</v>
      </c>
      <c r="F7" s="15"/>
      <c r="G7" s="275"/>
      <c r="H7" s="275" t="str">
        <f t="shared" si="0"/>
        <v>Rétirédanslesdélais</v>
      </c>
      <c r="I7" s="275"/>
      <c r="J7" s="354">
        <v>45525</v>
      </c>
      <c r="K7" s="344"/>
      <c r="L7" s="344"/>
      <c r="M7" s="344"/>
      <c r="N7" s="732"/>
      <c r="O7" s="732"/>
      <c r="P7" s="732"/>
      <c r="Q7" s="732"/>
    </row>
    <row r="8" spans="1:17" ht="19.5" customHeight="1" x14ac:dyDescent="0.25">
      <c r="A8" s="275">
        <v>4</v>
      </c>
      <c r="B8" s="275">
        <v>4054202000</v>
      </c>
      <c r="C8" s="350"/>
      <c r="D8" s="350"/>
      <c r="E8" s="323" t="s">
        <v>1276</v>
      </c>
      <c r="F8" s="15"/>
      <c r="G8" s="275"/>
      <c r="H8" s="275" t="str">
        <f t="shared" si="0"/>
        <v>Rétirédanslesdélais</v>
      </c>
      <c r="I8" s="275"/>
      <c r="J8" s="354">
        <v>45525</v>
      </c>
      <c r="K8" s="344"/>
      <c r="L8" s="344"/>
      <c r="M8" s="344"/>
      <c r="N8" s="732"/>
      <c r="O8" s="732"/>
      <c r="P8" s="732"/>
      <c r="Q8" s="732"/>
    </row>
    <row r="9" spans="1:17" ht="19.5" customHeight="1" x14ac:dyDescent="0.25">
      <c r="A9" s="275">
        <v>5</v>
      </c>
      <c r="B9" s="275">
        <v>4054211240</v>
      </c>
      <c r="C9" s="350"/>
      <c r="D9" s="350"/>
      <c r="E9" s="323" t="s">
        <v>1075</v>
      </c>
      <c r="F9" s="15"/>
      <c r="G9" s="275"/>
      <c r="H9" s="275" t="str">
        <f t="shared" si="0"/>
        <v>Rétirédanslesdélais</v>
      </c>
      <c r="I9" s="275"/>
      <c r="J9" s="354">
        <v>45527</v>
      </c>
      <c r="K9" s="344"/>
      <c r="L9" s="344"/>
      <c r="M9" s="344"/>
      <c r="N9" s="732"/>
      <c r="O9" s="732"/>
      <c r="P9" s="732"/>
      <c r="Q9" s="732"/>
    </row>
    <row r="10" spans="1:17" ht="19.5" customHeight="1" x14ac:dyDescent="0.25">
      <c r="A10" s="275">
        <v>6</v>
      </c>
      <c r="B10" s="275">
        <v>4054220460</v>
      </c>
      <c r="C10" s="350"/>
      <c r="D10" s="350"/>
      <c r="E10" s="323" t="s">
        <v>1075</v>
      </c>
      <c r="F10" s="15"/>
      <c r="G10" s="275"/>
      <c r="H10" s="275" t="str">
        <f t="shared" si="0"/>
        <v>Rétirédanslesdélais</v>
      </c>
      <c r="I10" s="275"/>
      <c r="J10" s="354">
        <v>45527</v>
      </c>
      <c r="K10" s="344"/>
      <c r="L10" s="344"/>
      <c r="M10" s="344"/>
      <c r="N10" s="732"/>
      <c r="O10" s="732"/>
      <c r="P10" s="732"/>
      <c r="Q10" s="732"/>
    </row>
    <row r="11" spans="1:17" ht="19.5" customHeight="1" x14ac:dyDescent="0.25">
      <c r="A11" s="275">
        <v>7</v>
      </c>
      <c r="B11" s="275">
        <v>4054220540</v>
      </c>
      <c r="C11" s="350"/>
      <c r="D11" s="350"/>
      <c r="E11" s="323" t="s">
        <v>1486</v>
      </c>
      <c r="F11" s="15"/>
      <c r="G11" s="275"/>
      <c r="H11" s="275" t="str">
        <f t="shared" si="0"/>
        <v>Rétirédanslesdélais</v>
      </c>
      <c r="I11" s="275"/>
      <c r="J11" s="354">
        <v>45523</v>
      </c>
      <c r="K11" s="344"/>
      <c r="L11" s="344"/>
      <c r="M11" s="344"/>
      <c r="N11" s="732"/>
      <c r="O11" s="732"/>
      <c r="P11" s="732"/>
      <c r="Q11" s="732"/>
    </row>
    <row r="12" spans="1:17" ht="19.5" customHeight="1" x14ac:dyDescent="0.25">
      <c r="A12" s="275">
        <v>8</v>
      </c>
      <c r="B12" s="275">
        <v>4054206910</v>
      </c>
      <c r="C12" s="350"/>
      <c r="D12" s="350"/>
      <c r="E12" s="323" t="s">
        <v>1481</v>
      </c>
      <c r="F12" s="15"/>
      <c r="G12" s="275"/>
      <c r="H12" s="275" t="str">
        <f t="shared" si="0"/>
        <v>Rétirétardivement-30000FCFAamende</v>
      </c>
      <c r="I12" s="275" t="s">
        <v>176</v>
      </c>
      <c r="J12" s="354">
        <v>45546</v>
      </c>
      <c r="K12" s="344"/>
      <c r="L12" s="344"/>
      <c r="M12" s="344"/>
      <c r="N12" s="732"/>
      <c r="O12" s="732"/>
      <c r="P12" s="732"/>
      <c r="Q12" s="732"/>
    </row>
    <row r="13" spans="1:17" ht="19.5" customHeight="1" x14ac:dyDescent="0.25">
      <c r="A13" s="275">
        <v>9</v>
      </c>
      <c r="B13" s="275">
        <v>4054218270</v>
      </c>
      <c r="C13" s="350"/>
      <c r="D13" s="350"/>
      <c r="E13" s="323" t="s">
        <v>1487</v>
      </c>
      <c r="F13" s="15"/>
      <c r="G13" s="275"/>
      <c r="H13" s="275" t="str">
        <f t="shared" si="0"/>
        <v>Rétirédanslesdélais</v>
      </c>
      <c r="I13" s="275"/>
      <c r="J13" s="354">
        <v>45530</v>
      </c>
      <c r="K13" s="344"/>
      <c r="L13" s="344"/>
      <c r="M13" s="344"/>
      <c r="N13" s="732"/>
      <c r="O13" s="732"/>
      <c r="P13" s="732"/>
      <c r="Q13" s="732"/>
    </row>
    <row r="14" spans="1:17" ht="19.5" customHeight="1" x14ac:dyDescent="0.25">
      <c r="A14" s="275">
        <v>10</v>
      </c>
      <c r="B14" s="275">
        <v>4054211540</v>
      </c>
      <c r="C14" s="350"/>
      <c r="D14" s="350"/>
      <c r="E14" s="323" t="s">
        <v>1119</v>
      </c>
      <c r="F14" s="15"/>
      <c r="G14" s="275"/>
      <c r="H14" s="275" t="str">
        <f t="shared" si="0"/>
        <v>Rétirédanslesdélais</v>
      </c>
      <c r="I14" s="275"/>
      <c r="J14" s="354">
        <v>45527</v>
      </c>
      <c r="K14" s="344"/>
      <c r="L14" s="344"/>
      <c r="M14" s="344"/>
      <c r="N14" s="732"/>
      <c r="O14" s="732"/>
      <c r="P14" s="732"/>
      <c r="Q14" s="732"/>
    </row>
    <row r="15" spans="1:17" s="292" customFormat="1" x14ac:dyDescent="0.25">
      <c r="H15"/>
      <c r="I15"/>
      <c r="J15" s="208"/>
      <c r="K15" s="208"/>
      <c r="L15" s="208"/>
      <c r="M15" s="208"/>
      <c r="N15"/>
      <c r="O15"/>
      <c r="P15"/>
      <c r="Q15"/>
    </row>
    <row r="16" spans="1:17" s="292" customFormat="1" x14ac:dyDescent="0.25">
      <c r="H16"/>
      <c r="I16"/>
      <c r="J16" s="208"/>
      <c r="K16" s="208"/>
      <c r="L16" s="208"/>
      <c r="M16" s="208"/>
      <c r="N16"/>
      <c r="O16"/>
      <c r="P16"/>
      <c r="Q16"/>
    </row>
    <row r="17" spans="8:17" s="292" customFormat="1" x14ac:dyDescent="0.25">
      <c r="H17"/>
      <c r="I17"/>
      <c r="J17" s="208"/>
      <c r="K17" s="208"/>
      <c r="L17" s="208"/>
      <c r="M17" s="208"/>
      <c r="N17"/>
      <c r="O17"/>
      <c r="P17"/>
      <c r="Q17"/>
    </row>
    <row r="18" spans="8:17" s="292" customFormat="1" x14ac:dyDescent="0.25">
      <c r="I18"/>
      <c r="J18" s="208"/>
      <c r="K18" s="208"/>
      <c r="L18" s="208"/>
      <c r="M18" s="208"/>
      <c r="N18"/>
      <c r="O18"/>
      <c r="P18"/>
      <c r="Q18"/>
    </row>
    <row r="19" spans="8:17" s="292" customFormat="1" x14ac:dyDescent="0.25">
      <c r="I19"/>
      <c r="J19" s="208"/>
      <c r="K19" s="208"/>
      <c r="L19" s="208"/>
      <c r="M19" s="208"/>
      <c r="N19"/>
      <c r="O19"/>
      <c r="P19"/>
      <c r="Q19"/>
    </row>
    <row r="20" spans="8:17" s="292" customFormat="1" x14ac:dyDescent="0.25">
      <c r="I20"/>
      <c r="J20" s="208"/>
      <c r="K20" s="208"/>
      <c r="L20" s="208"/>
      <c r="M20" s="208"/>
      <c r="N20"/>
      <c r="O20"/>
      <c r="P20"/>
      <c r="Q20"/>
    </row>
    <row r="21" spans="8:17" s="292" customFormat="1" x14ac:dyDescent="0.25">
      <c r="I21"/>
      <c r="J21" s="208"/>
      <c r="K21" s="208"/>
      <c r="L21" s="208"/>
      <c r="M21" s="208"/>
      <c r="N21"/>
      <c r="O21"/>
      <c r="P21"/>
      <c r="Q21"/>
    </row>
    <row r="22" spans="8:17" s="292" customFormat="1" x14ac:dyDescent="0.25">
      <c r="I22"/>
      <c r="J22" s="208"/>
      <c r="K22" s="208"/>
      <c r="L22" s="208"/>
      <c r="M22" s="208"/>
      <c r="N22"/>
      <c r="O22"/>
      <c r="P22"/>
      <c r="Q22"/>
    </row>
    <row r="23" spans="8:17" s="292" customFormat="1" x14ac:dyDescent="0.25">
      <c r="I23"/>
      <c r="J23" s="208"/>
      <c r="K23" s="208"/>
      <c r="L23" s="208"/>
      <c r="M23" s="208"/>
      <c r="N23"/>
      <c r="O23"/>
      <c r="P23"/>
      <c r="Q23"/>
    </row>
    <row r="24" spans="8:17" s="292" customFormat="1" x14ac:dyDescent="0.25">
      <c r="H24"/>
      <c r="I24"/>
      <c r="J24" s="208"/>
      <c r="K24" s="208"/>
      <c r="L24" s="208"/>
      <c r="M24" s="208"/>
      <c r="N24"/>
      <c r="O24"/>
      <c r="P24"/>
      <c r="Q24"/>
    </row>
  </sheetData>
  <autoFilter ref="A4:Q14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E4"/>
    </sortState>
  </autoFilter>
  <mergeCells count="13">
    <mergeCell ref="N7:Q7"/>
    <mergeCell ref="H1:J1"/>
    <mergeCell ref="A2:B2"/>
    <mergeCell ref="N4:Q4"/>
    <mergeCell ref="N5:Q5"/>
    <mergeCell ref="N6:Q6"/>
    <mergeCell ref="N14:Q14"/>
    <mergeCell ref="N8:Q8"/>
    <mergeCell ref="N9:Q9"/>
    <mergeCell ref="N10:Q10"/>
    <mergeCell ref="N11:Q11"/>
    <mergeCell ref="N12:Q12"/>
    <mergeCell ref="N13:Q13"/>
  </mergeCells>
  <conditionalFormatting sqref="A5:B14">
    <cfRule type="containsText" dxfId="690" priority="5" operator="containsText" text="En Attente d'un Retrait Tardif">
      <formula>NOT(ISERROR(SEARCH("En Attente d'un Retrait Tardif",A5)))</formula>
    </cfRule>
    <cfRule type="containsText" dxfId="689" priority="6" operator="containsText" text="Rétiré dans les délais">
      <formula>NOT(ISERROR(SEARCH("Rétiré dans les délais",A5)))</formula>
    </cfRule>
  </conditionalFormatting>
  <conditionalFormatting sqref="B1:D3">
    <cfRule type="duplicateValues" dxfId="688" priority="13"/>
    <cfRule type="duplicateValues" dxfId="687" priority="14"/>
    <cfRule type="duplicateValues" dxfId="686" priority="15"/>
    <cfRule type="duplicateValues" dxfId="685" priority="16"/>
  </conditionalFormatting>
  <conditionalFormatting sqref="B24:D1048576 B21:B23">
    <cfRule type="duplicateValues" dxfId="684" priority="17"/>
  </conditionalFormatting>
  <conditionalFormatting sqref="B24:D1048576 B1:D3 B21:B23">
    <cfRule type="duplicateValues" dxfId="683" priority="19"/>
    <cfRule type="duplicateValues" dxfId="682" priority="20"/>
    <cfRule type="duplicateValues" dxfId="681" priority="21"/>
  </conditionalFormatting>
  <conditionalFormatting sqref="B24:D1048576 B1:D4 B21:B23">
    <cfRule type="duplicateValues" dxfId="680" priority="18"/>
    <cfRule type="duplicateValues" dxfId="679" priority="22"/>
    <cfRule type="duplicateValues" dxfId="678" priority="23"/>
    <cfRule type="duplicateValues" dxfId="677" priority="24"/>
  </conditionalFormatting>
  <conditionalFormatting sqref="E5:I14">
    <cfRule type="containsText" dxfId="676" priority="3" operator="containsText" text="En Attente d'un Retrait Tardif">
      <formula>NOT(ISERROR(SEARCH("En Attente d'un Retrait Tardif",E5)))</formula>
    </cfRule>
    <cfRule type="containsText" dxfId="675" priority="4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9D03-B848-4D65-9F92-1C5DDF390240}">
  <sheetPr codeName="Feuil62">
    <tabColor theme="5" tint="-0.249977111117893"/>
  </sheetPr>
  <dimension ref="A1:Q44"/>
  <sheetViews>
    <sheetView zoomScaleNormal="100" workbookViewId="0">
      <selection activeCell="F21" sqref="F21"/>
    </sheetView>
  </sheetViews>
  <sheetFormatPr baseColWidth="10" defaultColWidth="11.42578125" defaultRowHeight="15" x14ac:dyDescent="0.25"/>
  <cols>
    <col min="1" max="1" width="4.85546875" customWidth="1"/>
    <col min="2" max="2" width="14.140625" bestFit="1" customWidth="1"/>
    <col min="3" max="3" width="14.140625" customWidth="1"/>
    <col min="4" max="5" width="9.85546875" customWidth="1"/>
    <col min="6" max="6" width="42.140625" style="292" customWidth="1"/>
    <col min="7" max="7" width="15.85546875" style="292" customWidth="1"/>
    <col min="8" max="8" width="23.140625" style="292" customWidth="1"/>
    <col min="9" max="9" width="38" customWidth="1"/>
    <col min="10" max="10" width="15" style="208" customWidth="1"/>
    <col min="11" max="11" width="38.140625" style="208" customWidth="1"/>
    <col min="12" max="13" width="10.5703125" style="208" customWidth="1"/>
    <col min="14" max="17" width="8.5703125" customWidth="1"/>
  </cols>
  <sheetData>
    <row r="1" spans="1:17" ht="19.5" thickBot="1" x14ac:dyDescent="0.35">
      <c r="A1" s="348" t="s">
        <v>1488</v>
      </c>
      <c r="B1" s="98"/>
      <c r="C1" s="98"/>
      <c r="D1" s="98"/>
      <c r="E1" s="98"/>
      <c r="F1" s="288"/>
      <c r="G1" s="288"/>
      <c r="H1" s="288"/>
      <c r="I1" s="729"/>
      <c r="J1" s="729"/>
    </row>
    <row r="2" spans="1:17" ht="24" thickBot="1" x14ac:dyDescent="0.3">
      <c r="A2" s="730" t="s">
        <v>0</v>
      </c>
      <c r="B2" s="730"/>
      <c r="C2" s="24"/>
      <c r="D2" s="24"/>
      <c r="E2" s="24"/>
      <c r="F2" s="25"/>
      <c r="G2" s="25"/>
      <c r="H2" s="25"/>
      <c r="I2" s="314">
        <v>45499</v>
      </c>
      <c r="J2" s="315">
        <f ca="1">TODAY()</f>
        <v>46096</v>
      </c>
      <c r="K2" s="340"/>
      <c r="L2" s="340"/>
      <c r="M2" s="5">
        <f ca="1">J2-I2</f>
        <v>597</v>
      </c>
    </row>
    <row r="3" spans="1:17" x14ac:dyDescent="0.25">
      <c r="I3" s="105"/>
    </row>
    <row r="4" spans="1:17" ht="17.25" x14ac:dyDescent="0.25">
      <c r="A4" s="318" t="s">
        <v>1</v>
      </c>
      <c r="B4" s="335" t="s">
        <v>2</v>
      </c>
      <c r="C4" s="336" t="s">
        <v>167</v>
      </c>
      <c r="D4" s="336" t="s">
        <v>3</v>
      </c>
      <c r="E4" s="336" t="s">
        <v>4</v>
      </c>
      <c r="F4" s="336" t="s">
        <v>5</v>
      </c>
      <c r="G4" s="318" t="s">
        <v>1065</v>
      </c>
      <c r="H4" s="318" t="s">
        <v>1066</v>
      </c>
      <c r="I4" s="318" t="s">
        <v>7</v>
      </c>
      <c r="J4" s="318" t="s">
        <v>1068</v>
      </c>
      <c r="K4" s="318" t="s">
        <v>8</v>
      </c>
      <c r="L4" s="318" t="s">
        <v>9</v>
      </c>
      <c r="M4" s="318" t="s">
        <v>10</v>
      </c>
      <c r="N4" s="733" t="s">
        <v>11</v>
      </c>
      <c r="O4" s="733"/>
      <c r="P4" s="733"/>
      <c r="Q4" s="733"/>
    </row>
    <row r="5" spans="1:17" s="23" customFormat="1" ht="17.25" x14ac:dyDescent="0.25">
      <c r="A5" s="285">
        <v>1</v>
      </c>
      <c r="B5" s="347">
        <v>4054049862</v>
      </c>
      <c r="C5" s="347" t="s">
        <v>168</v>
      </c>
      <c r="D5" s="352"/>
      <c r="E5" s="352"/>
      <c r="F5" s="353" t="s">
        <v>1489</v>
      </c>
      <c r="G5" s="15" t="s">
        <v>17</v>
      </c>
      <c r="H5" s="15"/>
      <c r="I5" s="275" t="str">
        <f t="shared" ref="I5:I21" si="0">IF(J5="",IF($M$2&lt;=15,"EnattentedeRetrait","EnAttented'unRetraitTardif"),IF(J5-$I$2&lt;=15,"Rétirédanslesdélais",IF(J5-$I$2&gt;15,"Rétirétardivement-30000FCFAamende")))</f>
        <v>Rétirédanslesdélais</v>
      </c>
      <c r="J5" s="301">
        <v>45509</v>
      </c>
      <c r="K5" s="355"/>
      <c r="L5" s="355">
        <v>320000</v>
      </c>
      <c r="M5" s="355"/>
      <c r="N5" s="746"/>
      <c r="O5" s="746"/>
      <c r="P5" s="746"/>
      <c r="Q5" s="746"/>
    </row>
    <row r="6" spans="1:17" ht="17.25" x14ac:dyDescent="0.25">
      <c r="A6" s="266">
        <v>2</v>
      </c>
      <c r="B6" s="347">
        <v>4054171580</v>
      </c>
      <c r="C6" s="347"/>
      <c r="D6" s="350"/>
      <c r="E6" s="350"/>
      <c r="F6" s="323" t="s">
        <v>43</v>
      </c>
      <c r="G6" s="15" t="s">
        <v>17</v>
      </c>
      <c r="H6" s="275"/>
      <c r="I6" s="275" t="str">
        <f t="shared" si="0"/>
        <v>Rétirédanslesdélais</v>
      </c>
      <c r="J6" s="301">
        <v>45504</v>
      </c>
      <c r="K6" s="344"/>
      <c r="L6" s="344"/>
      <c r="M6" s="344"/>
      <c r="N6" s="732"/>
      <c r="O6" s="732"/>
      <c r="P6" s="732"/>
      <c r="Q6" s="732"/>
    </row>
    <row r="7" spans="1:17" ht="17.25" x14ac:dyDescent="0.25">
      <c r="A7" s="266">
        <v>4</v>
      </c>
      <c r="B7" s="347">
        <v>4054136350</v>
      </c>
      <c r="C7" s="347"/>
      <c r="D7" s="350"/>
      <c r="E7" s="350"/>
      <c r="F7" s="323" t="s">
        <v>1125</v>
      </c>
      <c r="G7" s="15" t="s">
        <v>17</v>
      </c>
      <c r="H7" s="275"/>
      <c r="I7" s="275" t="str">
        <f t="shared" si="0"/>
        <v>Rétirédanslesdélais</v>
      </c>
      <c r="J7" s="301">
        <v>45503</v>
      </c>
      <c r="K7" s="344"/>
      <c r="L7" s="344"/>
      <c r="M7" s="344"/>
      <c r="N7" s="732"/>
      <c r="O7" s="732"/>
      <c r="P7" s="732"/>
      <c r="Q7" s="732"/>
    </row>
    <row r="8" spans="1:17" ht="17.25" x14ac:dyDescent="0.25">
      <c r="A8" s="266">
        <v>5</v>
      </c>
      <c r="B8" s="347">
        <v>4054155940</v>
      </c>
      <c r="C8" s="347"/>
      <c r="D8" s="350"/>
      <c r="E8" s="350"/>
      <c r="F8" s="323" t="s">
        <v>1370</v>
      </c>
      <c r="G8" s="15" t="s">
        <v>1490</v>
      </c>
      <c r="H8" s="275"/>
      <c r="I8" s="275" t="str">
        <f t="shared" si="0"/>
        <v>Rétirédanslesdélais</v>
      </c>
      <c r="J8" s="301">
        <v>45504</v>
      </c>
      <c r="K8" s="344"/>
      <c r="L8" s="344"/>
      <c r="M8" s="344"/>
      <c r="N8" s="732"/>
      <c r="O8" s="732"/>
      <c r="P8" s="732"/>
      <c r="Q8" s="732"/>
    </row>
    <row r="9" spans="1:17" ht="17.25" x14ac:dyDescent="0.25">
      <c r="A9" s="266">
        <v>6</v>
      </c>
      <c r="B9" s="347">
        <v>4054165450</v>
      </c>
      <c r="C9" s="347"/>
      <c r="D9" s="350"/>
      <c r="E9" s="350"/>
      <c r="F9" s="323" t="s">
        <v>1075</v>
      </c>
      <c r="G9" s="15" t="s">
        <v>17</v>
      </c>
      <c r="H9" s="275"/>
      <c r="I9" s="275" t="str">
        <f t="shared" si="0"/>
        <v>Rétirédanslesdélais</v>
      </c>
      <c r="J9" s="301">
        <v>45503</v>
      </c>
      <c r="K9" s="344"/>
      <c r="L9" s="344"/>
      <c r="M9" s="344"/>
      <c r="N9" s="732"/>
      <c r="O9" s="732"/>
      <c r="P9" s="732"/>
      <c r="Q9" s="732"/>
    </row>
    <row r="10" spans="1:17" ht="17.25" x14ac:dyDescent="0.25">
      <c r="A10" s="266">
        <v>7</v>
      </c>
      <c r="B10" s="347">
        <v>4054150090</v>
      </c>
      <c r="C10" s="347"/>
      <c r="D10" s="350"/>
      <c r="E10" s="350"/>
      <c r="F10" s="323" t="s">
        <v>1075</v>
      </c>
      <c r="G10" s="15" t="s">
        <v>17</v>
      </c>
      <c r="H10" s="275"/>
      <c r="I10" s="275" t="str">
        <f t="shared" si="0"/>
        <v>Rétirédanslesdélais</v>
      </c>
      <c r="J10" s="301">
        <v>45503</v>
      </c>
      <c r="K10" s="344"/>
      <c r="L10" s="344"/>
      <c r="M10" s="344"/>
      <c r="N10" s="732"/>
      <c r="O10" s="732"/>
      <c r="P10" s="732"/>
      <c r="Q10" s="732"/>
    </row>
    <row r="11" spans="1:17" ht="17.25" x14ac:dyDescent="0.25">
      <c r="A11" s="266">
        <v>8</v>
      </c>
      <c r="B11" s="347">
        <v>4054168900</v>
      </c>
      <c r="C11" s="347" t="s">
        <v>169</v>
      </c>
      <c r="D11" s="350"/>
      <c r="E11" s="350"/>
      <c r="F11" s="323" t="s">
        <v>1075</v>
      </c>
      <c r="G11" s="15" t="s">
        <v>17</v>
      </c>
      <c r="H11" s="275"/>
      <c r="I11" s="275" t="str">
        <f t="shared" si="0"/>
        <v>Rétirédanslesdélais</v>
      </c>
      <c r="J11" s="301">
        <v>45505</v>
      </c>
      <c r="K11" s="344"/>
      <c r="L11" s="344"/>
      <c r="M11" s="344"/>
      <c r="N11" s="732"/>
      <c r="O11" s="732"/>
      <c r="P11" s="732"/>
      <c r="Q11" s="732"/>
    </row>
    <row r="12" spans="1:17" ht="17.25" x14ac:dyDescent="0.25">
      <c r="A12" s="266">
        <v>9</v>
      </c>
      <c r="B12" s="347">
        <v>4054144230</v>
      </c>
      <c r="C12" s="347"/>
      <c r="D12" s="350"/>
      <c r="E12" s="350"/>
      <c r="F12" s="323" t="s">
        <v>14</v>
      </c>
      <c r="G12" s="15" t="s">
        <v>17</v>
      </c>
      <c r="H12" s="275"/>
      <c r="I12" s="275" t="str">
        <f t="shared" si="0"/>
        <v>Rétirédanslesdélais</v>
      </c>
      <c r="J12" s="301">
        <v>45504</v>
      </c>
      <c r="K12" s="344"/>
      <c r="L12" s="344"/>
      <c r="M12" s="344"/>
      <c r="N12" s="732"/>
      <c r="O12" s="732"/>
      <c r="P12" s="732"/>
      <c r="Q12" s="732"/>
    </row>
    <row r="13" spans="1:17" ht="17.25" x14ac:dyDescent="0.25">
      <c r="A13" s="266">
        <v>10</v>
      </c>
      <c r="B13" s="347">
        <v>4054144240</v>
      </c>
      <c r="C13" s="347"/>
      <c r="D13" s="350"/>
      <c r="E13" s="350"/>
      <c r="F13" s="323" t="s">
        <v>14</v>
      </c>
      <c r="G13" s="15" t="s">
        <v>17</v>
      </c>
      <c r="H13" s="275"/>
      <c r="I13" s="275" t="str">
        <f t="shared" si="0"/>
        <v>Rétirédanslesdélais</v>
      </c>
      <c r="J13" s="301">
        <v>45504</v>
      </c>
      <c r="K13" s="344"/>
      <c r="L13" s="344"/>
      <c r="M13" s="344"/>
      <c r="N13" s="732"/>
      <c r="O13" s="732"/>
      <c r="P13" s="732"/>
      <c r="Q13" s="732"/>
    </row>
    <row r="14" spans="1:17" ht="17.25" x14ac:dyDescent="0.25">
      <c r="A14" s="266">
        <v>11</v>
      </c>
      <c r="B14" s="347">
        <v>4054155140</v>
      </c>
      <c r="C14" s="347"/>
      <c r="D14" s="350"/>
      <c r="E14" s="350"/>
      <c r="F14" s="323" t="s">
        <v>1157</v>
      </c>
      <c r="G14" s="15" t="s">
        <v>17</v>
      </c>
      <c r="H14" s="275"/>
      <c r="I14" s="275" t="str">
        <f t="shared" si="0"/>
        <v>Rétirédanslesdélais</v>
      </c>
      <c r="J14" s="301">
        <v>45504</v>
      </c>
      <c r="K14" s="344"/>
      <c r="L14" s="344"/>
      <c r="M14" s="344"/>
      <c r="N14" s="732"/>
      <c r="O14" s="732"/>
      <c r="P14" s="732"/>
      <c r="Q14" s="732"/>
    </row>
    <row r="15" spans="1:17" ht="17.25" x14ac:dyDescent="0.25">
      <c r="A15" s="266">
        <v>12</v>
      </c>
      <c r="B15" s="347">
        <v>4054158740</v>
      </c>
      <c r="C15" s="347"/>
      <c r="D15" s="350"/>
      <c r="E15" s="350"/>
      <c r="F15" s="323" t="s">
        <v>1148</v>
      </c>
      <c r="G15" s="15" t="s">
        <v>17</v>
      </c>
      <c r="H15" s="275"/>
      <c r="I15" s="275" t="str">
        <f t="shared" si="0"/>
        <v>Rétirétardivement-30000FCFAamende</v>
      </c>
      <c r="J15" s="301">
        <v>45527</v>
      </c>
      <c r="K15" s="344"/>
      <c r="L15" s="344"/>
      <c r="M15" s="344"/>
      <c r="N15" s="732"/>
      <c r="O15" s="732"/>
      <c r="P15" s="732"/>
      <c r="Q15" s="732"/>
    </row>
    <row r="16" spans="1:17" ht="17.25" x14ac:dyDescent="0.25">
      <c r="A16" s="266">
        <v>13</v>
      </c>
      <c r="B16" s="347">
        <v>4054106620</v>
      </c>
      <c r="C16" s="347"/>
      <c r="D16" s="350"/>
      <c r="E16" s="350"/>
      <c r="F16" s="323" t="s">
        <v>21</v>
      </c>
      <c r="G16" s="15" t="s">
        <v>17</v>
      </c>
      <c r="H16" s="275"/>
      <c r="I16" s="275" t="str">
        <f t="shared" si="0"/>
        <v>Rétirédanslesdélais</v>
      </c>
      <c r="J16" s="301">
        <v>45504</v>
      </c>
      <c r="K16" s="344"/>
      <c r="L16" s="344"/>
      <c r="M16" s="344"/>
      <c r="N16" s="732"/>
      <c r="O16" s="732"/>
      <c r="P16" s="732"/>
      <c r="Q16" s="732"/>
    </row>
    <row r="17" spans="1:17" ht="17.25" x14ac:dyDescent="0.25">
      <c r="A17" s="266">
        <v>14</v>
      </c>
      <c r="B17" s="347">
        <v>4054168960</v>
      </c>
      <c r="C17" s="347"/>
      <c r="D17" s="350"/>
      <c r="E17" s="350"/>
      <c r="F17" s="323" t="s">
        <v>1445</v>
      </c>
      <c r="G17" s="15" t="s">
        <v>1490</v>
      </c>
      <c r="H17" s="275"/>
      <c r="I17" s="275" t="str">
        <f t="shared" si="0"/>
        <v>Rétirédanslesdélais</v>
      </c>
      <c r="J17" s="301">
        <v>45503</v>
      </c>
      <c r="K17" s="344"/>
      <c r="L17" s="344"/>
      <c r="M17" s="344"/>
      <c r="N17" s="732"/>
      <c r="O17" s="732"/>
      <c r="P17" s="732"/>
      <c r="Q17" s="732"/>
    </row>
    <row r="18" spans="1:17" ht="17.25" x14ac:dyDescent="0.25">
      <c r="A18" s="266">
        <v>15</v>
      </c>
      <c r="B18" s="347">
        <v>4054168330</v>
      </c>
      <c r="C18" s="347"/>
      <c r="D18" s="350"/>
      <c r="E18" s="350"/>
      <c r="F18" s="323" t="s">
        <v>1479</v>
      </c>
      <c r="G18" s="15" t="s">
        <v>1490</v>
      </c>
      <c r="H18" s="275"/>
      <c r="I18" s="275" t="str">
        <f t="shared" si="0"/>
        <v>Rétirédanslesdélais</v>
      </c>
      <c r="J18" s="301">
        <v>45513</v>
      </c>
      <c r="K18" s="344"/>
      <c r="L18" s="344"/>
      <c r="M18" s="344"/>
      <c r="N18" s="732"/>
      <c r="O18" s="732"/>
      <c r="P18" s="732"/>
      <c r="Q18" s="732"/>
    </row>
    <row r="19" spans="1:17" ht="17.25" x14ac:dyDescent="0.25">
      <c r="A19" s="266">
        <v>16</v>
      </c>
      <c r="B19" s="347">
        <v>4054106610</v>
      </c>
      <c r="C19" s="347"/>
      <c r="D19" s="350"/>
      <c r="E19" s="350"/>
      <c r="F19" s="323" t="s">
        <v>21</v>
      </c>
      <c r="G19" s="15" t="s">
        <v>17</v>
      </c>
      <c r="H19" s="275"/>
      <c r="I19" s="275" t="str">
        <f t="shared" si="0"/>
        <v>Rétirédanslesdélais</v>
      </c>
      <c r="J19" s="301">
        <v>45504</v>
      </c>
      <c r="K19" s="344"/>
      <c r="L19" s="344"/>
      <c r="M19" s="344"/>
      <c r="N19" s="732"/>
      <c r="O19" s="732"/>
      <c r="P19" s="732"/>
      <c r="Q19" s="732"/>
    </row>
    <row r="20" spans="1:17" ht="17.25" x14ac:dyDescent="0.25">
      <c r="A20" s="266">
        <v>17</v>
      </c>
      <c r="B20" s="347">
        <v>4054158620</v>
      </c>
      <c r="C20" s="347"/>
      <c r="D20" s="350"/>
      <c r="E20" s="350"/>
      <c r="F20" s="323" t="s">
        <v>1368</v>
      </c>
      <c r="G20" s="15" t="s">
        <v>17</v>
      </c>
      <c r="H20" s="275"/>
      <c r="I20" s="275" t="str">
        <f t="shared" si="0"/>
        <v>Rétirétardivement-30000FCFAamende</v>
      </c>
      <c r="J20" s="301">
        <v>45532</v>
      </c>
      <c r="K20" s="344"/>
      <c r="L20" s="344"/>
      <c r="M20" s="344"/>
      <c r="N20" s="732"/>
      <c r="O20" s="732"/>
      <c r="P20" s="732"/>
      <c r="Q20" s="732"/>
    </row>
    <row r="21" spans="1:17" ht="17.25" x14ac:dyDescent="0.25">
      <c r="A21" s="266">
        <v>18</v>
      </c>
      <c r="B21" s="347">
        <v>4054165420</v>
      </c>
      <c r="C21" s="347"/>
      <c r="D21" s="350"/>
      <c r="E21" s="350"/>
      <c r="F21" s="323" t="s">
        <v>1405</v>
      </c>
      <c r="G21" s="15" t="s">
        <v>1490</v>
      </c>
      <c r="H21" s="275"/>
      <c r="I21" s="275" t="str">
        <f t="shared" si="0"/>
        <v>Rétirétardivement-30000FCFAamende</v>
      </c>
      <c r="J21" s="301">
        <v>45532</v>
      </c>
      <c r="K21" s="344"/>
      <c r="L21" s="344"/>
      <c r="M21" s="344"/>
      <c r="N21" s="732"/>
      <c r="O21" s="732"/>
      <c r="P21" s="732"/>
      <c r="Q21" s="732"/>
    </row>
    <row r="22" spans="1:17" x14ac:dyDescent="0.25">
      <c r="A22" s="292"/>
      <c r="B22" s="292"/>
      <c r="C22" s="292"/>
      <c r="D22" s="292"/>
      <c r="E22" s="292"/>
    </row>
    <row r="23" spans="1:17" x14ac:dyDescent="0.25">
      <c r="A23" s="292"/>
      <c r="B23" s="292"/>
      <c r="C23" s="292"/>
      <c r="D23" s="292"/>
      <c r="E23" s="292"/>
    </row>
    <row r="24" spans="1:17" x14ac:dyDescent="0.25">
      <c r="A24" s="292"/>
      <c r="B24" s="292"/>
      <c r="C24" s="292"/>
      <c r="D24" s="292"/>
      <c r="E24" s="292"/>
    </row>
    <row r="25" spans="1:17" x14ac:dyDescent="0.25">
      <c r="A25" s="292"/>
      <c r="B25" s="292"/>
      <c r="C25" s="292"/>
      <c r="D25" s="292"/>
      <c r="E25" s="292"/>
    </row>
    <row r="26" spans="1:17" x14ac:dyDescent="0.25">
      <c r="A26" s="292"/>
      <c r="B26" s="292"/>
      <c r="C26" s="292"/>
      <c r="D26" s="292"/>
      <c r="E26" s="292"/>
    </row>
    <row r="27" spans="1:17" x14ac:dyDescent="0.25">
      <c r="A27" s="292"/>
      <c r="B27" s="292"/>
      <c r="C27" s="292"/>
      <c r="D27" s="292"/>
      <c r="E27" s="292"/>
    </row>
    <row r="28" spans="1:17" x14ac:dyDescent="0.25">
      <c r="A28" s="292"/>
      <c r="B28" s="292"/>
      <c r="C28" s="292"/>
      <c r="D28" s="292"/>
      <c r="E28" s="292"/>
    </row>
    <row r="29" spans="1:17" x14ac:dyDescent="0.25">
      <c r="A29" s="292"/>
      <c r="B29" s="292"/>
      <c r="C29" s="292"/>
      <c r="D29" s="292"/>
      <c r="E29" s="292"/>
      <c r="F29"/>
    </row>
    <row r="30" spans="1:17" x14ac:dyDescent="0.25">
      <c r="A30" s="292"/>
      <c r="B30" s="292"/>
      <c r="C30" s="292"/>
      <c r="D30" s="292"/>
      <c r="E30" s="292"/>
    </row>
    <row r="31" spans="1:17" x14ac:dyDescent="0.25">
      <c r="A31" s="292"/>
      <c r="B31" s="292"/>
      <c r="C31" s="292"/>
      <c r="D31" s="292"/>
      <c r="E31" s="292"/>
    </row>
    <row r="32" spans="1:17" x14ac:dyDescent="0.25">
      <c r="A32" s="292"/>
      <c r="B32" s="292"/>
      <c r="C32" s="292"/>
      <c r="D32" s="292"/>
      <c r="E32" s="292"/>
    </row>
    <row r="33" spans="1:5" x14ac:dyDescent="0.25">
      <c r="A33" s="292"/>
      <c r="B33" s="292"/>
      <c r="C33" s="292"/>
      <c r="D33" s="292"/>
      <c r="E33" s="292"/>
    </row>
    <row r="34" spans="1:5" x14ac:dyDescent="0.25">
      <c r="A34" s="292"/>
      <c r="B34" s="292"/>
      <c r="C34" s="292"/>
      <c r="D34" s="292"/>
      <c r="E34" s="292"/>
    </row>
    <row r="35" spans="1:5" x14ac:dyDescent="0.25">
      <c r="A35" s="292"/>
      <c r="B35" s="292"/>
      <c r="C35" s="292"/>
      <c r="D35" s="292"/>
      <c r="E35" s="292"/>
    </row>
    <row r="36" spans="1:5" x14ac:dyDescent="0.25">
      <c r="A36" s="292"/>
      <c r="B36" s="292"/>
      <c r="C36" s="292"/>
      <c r="D36" s="292"/>
      <c r="E36" s="292"/>
    </row>
    <row r="37" spans="1:5" x14ac:dyDescent="0.25">
      <c r="A37" s="292"/>
      <c r="B37" s="292"/>
      <c r="C37" s="292"/>
      <c r="D37" s="292"/>
      <c r="E37" s="292"/>
    </row>
    <row r="38" spans="1:5" x14ac:dyDescent="0.25">
      <c r="A38" s="292"/>
      <c r="B38" s="292"/>
      <c r="C38" s="292"/>
      <c r="D38" s="292"/>
      <c r="E38" s="292"/>
    </row>
    <row r="39" spans="1:5" x14ac:dyDescent="0.25">
      <c r="A39" s="292"/>
      <c r="B39" s="292"/>
      <c r="C39" s="292"/>
      <c r="D39" s="292"/>
      <c r="E39" s="292"/>
    </row>
    <row r="40" spans="1:5" x14ac:dyDescent="0.25">
      <c r="A40" s="292"/>
      <c r="B40" s="292"/>
      <c r="C40" s="292"/>
      <c r="D40" s="292"/>
      <c r="E40" s="292"/>
    </row>
    <row r="41" spans="1:5" x14ac:dyDescent="0.25">
      <c r="A41" s="292"/>
      <c r="B41" s="292"/>
      <c r="C41" s="292"/>
      <c r="D41" s="292"/>
      <c r="E41" s="292"/>
    </row>
    <row r="42" spans="1:5" x14ac:dyDescent="0.25">
      <c r="A42" s="292"/>
      <c r="B42" s="292"/>
      <c r="C42" s="292"/>
      <c r="D42" s="292"/>
      <c r="E42" s="292"/>
    </row>
    <row r="43" spans="1:5" x14ac:dyDescent="0.25">
      <c r="A43" s="292"/>
      <c r="B43" s="292"/>
      <c r="C43" s="292"/>
      <c r="D43" s="292"/>
      <c r="E43" s="292"/>
    </row>
    <row r="44" spans="1:5" x14ac:dyDescent="0.25">
      <c r="A44" s="292"/>
      <c r="B44" s="292"/>
      <c r="C44" s="292"/>
      <c r="D44" s="292"/>
      <c r="E44" s="292"/>
    </row>
  </sheetData>
  <autoFilter ref="A4:Q21" xr:uid="{4990FBFD-B240-49B0-838F-2EB6A21B18BB}">
    <filterColumn colId="13" showButton="0"/>
    <filterColumn colId="14" showButton="0"/>
    <filterColumn colId="15" showButton="0"/>
    <sortState xmlns:xlrd2="http://schemas.microsoft.com/office/spreadsheetml/2017/richdata2" ref="A4:Q5">
      <sortCondition ref="F4"/>
    </sortState>
  </autoFilter>
  <mergeCells count="20">
    <mergeCell ref="N20:Q20"/>
    <mergeCell ref="N21:Q21"/>
    <mergeCell ref="N19:Q19"/>
    <mergeCell ref="N13:Q13"/>
    <mergeCell ref="N14:Q14"/>
    <mergeCell ref="N15:Q15"/>
    <mergeCell ref="N16:Q16"/>
    <mergeCell ref="N17:Q17"/>
    <mergeCell ref="N18:Q18"/>
    <mergeCell ref="N12:Q12"/>
    <mergeCell ref="I1:J1"/>
    <mergeCell ref="A2:B2"/>
    <mergeCell ref="N4:Q4"/>
    <mergeCell ref="N5:Q5"/>
    <mergeCell ref="N6:Q6"/>
    <mergeCell ref="N7:Q7"/>
    <mergeCell ref="N8:Q8"/>
    <mergeCell ref="N9:Q9"/>
    <mergeCell ref="N10:Q10"/>
    <mergeCell ref="N11:Q11"/>
  </mergeCells>
  <conditionalFormatting sqref="A24">
    <cfRule type="duplicateValues" dxfId="674" priority="1"/>
    <cfRule type="duplicateValues" dxfId="673" priority="2"/>
    <cfRule type="duplicateValues" dxfId="672" priority="3"/>
    <cfRule type="duplicateValues" dxfId="671" priority="4"/>
    <cfRule type="duplicateValues" dxfId="670" priority="5"/>
    <cfRule type="duplicateValues" dxfId="669" priority="6"/>
    <cfRule type="duplicateValues" dxfId="668" priority="7"/>
  </conditionalFormatting>
  <conditionalFormatting sqref="B5:C21 F5:I21">
    <cfRule type="containsText" dxfId="667" priority="8" operator="containsText" text="En Attente d'un Retrait Tardif">
      <formula>NOT(ISERROR(SEARCH("En Attente d'un Retrait Tardif",B5)))</formula>
    </cfRule>
    <cfRule type="containsText" dxfId="666" priority="9" operator="containsText" text="Rétiré dans les délais">
      <formula>NOT(ISERROR(SEARCH("Rétiré dans les délais",B5)))</formula>
    </cfRule>
  </conditionalFormatting>
  <conditionalFormatting sqref="B5:C21">
    <cfRule type="duplicateValues" dxfId="665" priority="626"/>
    <cfRule type="duplicateValues" dxfId="664" priority="627"/>
    <cfRule type="duplicateValues" dxfId="663" priority="628"/>
  </conditionalFormatting>
  <conditionalFormatting sqref="B1:E3">
    <cfRule type="duplicateValues" dxfId="662" priority="10"/>
    <cfRule type="duplicateValues" dxfId="661" priority="11"/>
    <cfRule type="duplicateValues" dxfId="660" priority="12"/>
    <cfRule type="duplicateValues" dxfId="659" priority="13"/>
  </conditionalFormatting>
  <conditionalFormatting sqref="B41:E1048576 B1:E4 B22:E24 B5:C21">
    <cfRule type="duplicateValues" dxfId="658" priority="18"/>
  </conditionalFormatting>
  <conditionalFormatting sqref="B41:E1048576 B22:E24 B1:E3">
    <cfRule type="duplicateValues" dxfId="657" priority="19"/>
    <cfRule type="duplicateValues" dxfId="656" priority="20"/>
    <cfRule type="duplicateValues" dxfId="655" priority="21"/>
  </conditionalFormatting>
  <conditionalFormatting sqref="B41:E1048576 B22:E24 B1:E4">
    <cfRule type="duplicateValues" dxfId="654" priority="22"/>
    <cfRule type="duplicateValues" dxfId="653" priority="23"/>
    <cfRule type="duplicateValues" dxfId="652" priority="24"/>
  </conditionalFormatting>
  <conditionalFormatting sqref="B41:E1048576">
    <cfRule type="duplicateValues" dxfId="651" priority="17"/>
  </conditionalFormatting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E016-CA9B-4EB3-AEAB-84B742F91585}">
  <sheetPr codeName="Feuil63">
    <tabColor theme="5" tint="-0.249977111117893"/>
  </sheetPr>
  <dimension ref="A1:P32"/>
  <sheetViews>
    <sheetView zoomScaleNormal="100" workbookViewId="0">
      <selection activeCell="H23" sqref="C18:H23"/>
    </sheetView>
  </sheetViews>
  <sheetFormatPr baseColWidth="10" defaultColWidth="11.42578125" defaultRowHeight="15" x14ac:dyDescent="0.25"/>
  <cols>
    <col min="1" max="1" width="4.85546875" customWidth="1"/>
    <col min="2" max="2" width="14.140625" bestFit="1" customWidth="1"/>
    <col min="3" max="4" width="9.85546875" customWidth="1"/>
    <col min="5" max="5" width="49.140625" style="292" customWidth="1"/>
    <col min="6" max="6" width="23.7109375" style="292" customWidth="1"/>
    <col min="7" max="7" width="23.140625" style="292" customWidth="1"/>
    <col min="8" max="8" width="38" customWidth="1"/>
    <col min="9" max="9" width="15" style="208" customWidth="1"/>
    <col min="10" max="10" width="38.140625" style="208" customWidth="1"/>
    <col min="11" max="12" width="10.5703125" style="208" customWidth="1"/>
    <col min="13" max="16" width="8.5703125" customWidth="1"/>
  </cols>
  <sheetData>
    <row r="1" spans="1:16" ht="19.5" thickBot="1" x14ac:dyDescent="0.35">
      <c r="A1" s="348" t="s">
        <v>1491</v>
      </c>
      <c r="B1" s="98"/>
      <c r="C1" s="98"/>
      <c r="D1" s="98"/>
      <c r="E1" s="288"/>
      <c r="F1" s="288"/>
      <c r="G1" s="288"/>
      <c r="H1" s="729"/>
      <c r="I1" s="729"/>
      <c r="L1" s="356"/>
    </row>
    <row r="2" spans="1:16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45506</v>
      </c>
      <c r="I2" s="315">
        <f ca="1">TODAY()</f>
        <v>46096</v>
      </c>
      <c r="J2" s="340"/>
      <c r="K2" s="340"/>
      <c r="L2" s="358">
        <f ca="1">I2-H2</f>
        <v>590</v>
      </c>
    </row>
    <row r="3" spans="1:16" x14ac:dyDescent="0.25">
      <c r="H3" s="105"/>
      <c r="L3" s="357"/>
    </row>
    <row r="4" spans="1:16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1068</v>
      </c>
      <c r="J4" s="318" t="s">
        <v>8</v>
      </c>
      <c r="K4" s="318" t="s">
        <v>9</v>
      </c>
      <c r="L4" s="318" t="s">
        <v>10</v>
      </c>
      <c r="M4" s="733" t="s">
        <v>11</v>
      </c>
      <c r="N4" s="733"/>
      <c r="O4" s="733"/>
      <c r="P4" s="733"/>
    </row>
    <row r="5" spans="1:16" s="23" customFormat="1" ht="17.25" x14ac:dyDescent="0.25">
      <c r="A5" s="266">
        <v>1</v>
      </c>
      <c r="B5" s="347">
        <v>4054185980</v>
      </c>
      <c r="C5" s="352"/>
      <c r="D5" s="352"/>
      <c r="E5" s="353" t="s">
        <v>1075</v>
      </c>
      <c r="F5" s="15" t="s">
        <v>17</v>
      </c>
      <c r="G5" s="15" t="s">
        <v>1207</v>
      </c>
      <c r="H5" s="275" t="str">
        <f t="shared" ref="H5:H10" si="0">IF(I5="",IF($L$2&lt;=15,"EnattentedeRetrait","EnAttented'unRetraitTardif"),IF(I5-$H$2&lt;=15,"Rétirédanslesdélais",IF(I5-$H$2&gt;15,"Rétirétardivement-30000FCFAamende")))</f>
        <v>Rétirédanslesdélais</v>
      </c>
      <c r="I5" s="354">
        <v>45513</v>
      </c>
      <c r="J5" s="355"/>
      <c r="K5" s="355"/>
      <c r="L5" s="355"/>
      <c r="M5" s="746"/>
      <c r="N5" s="746"/>
      <c r="O5" s="746"/>
      <c r="P5" s="746"/>
    </row>
    <row r="6" spans="1:16" ht="17.25" x14ac:dyDescent="0.25">
      <c r="A6" s="266">
        <v>2</v>
      </c>
      <c r="B6" s="347">
        <v>4054180440</v>
      </c>
      <c r="C6" s="350"/>
      <c r="D6" s="350"/>
      <c r="E6" s="323" t="s">
        <v>1075</v>
      </c>
      <c r="F6" s="15" t="s">
        <v>17</v>
      </c>
      <c r="G6" s="275" t="s">
        <v>1207</v>
      </c>
      <c r="H6" s="275" t="str">
        <f t="shared" si="0"/>
        <v>Rétirédanslesdélais</v>
      </c>
      <c r="I6" s="354">
        <v>45513</v>
      </c>
      <c r="J6" s="344"/>
      <c r="K6" s="344"/>
      <c r="L6" s="344"/>
      <c r="M6" s="732"/>
      <c r="N6" s="732"/>
      <c r="O6" s="732"/>
      <c r="P6" s="732"/>
    </row>
    <row r="7" spans="1:16" ht="17.25" x14ac:dyDescent="0.25">
      <c r="A7" s="266">
        <v>3</v>
      </c>
      <c r="B7" s="347">
        <v>4054141691</v>
      </c>
      <c r="C7" s="350"/>
      <c r="D7" s="350"/>
      <c r="E7" s="323" t="s">
        <v>14</v>
      </c>
      <c r="F7" s="15" t="s">
        <v>17</v>
      </c>
      <c r="G7" s="275" t="s">
        <v>1097</v>
      </c>
      <c r="H7" s="275" t="str">
        <f t="shared" si="0"/>
        <v>Rétirédanslesdélais</v>
      </c>
      <c r="I7" s="354">
        <v>45518</v>
      </c>
      <c r="J7" s="344"/>
      <c r="K7" s="344"/>
      <c r="L7" s="344"/>
      <c r="M7" s="732"/>
      <c r="N7" s="732"/>
      <c r="O7" s="732"/>
      <c r="P7" s="732"/>
    </row>
    <row r="8" spans="1:16" ht="17.25" x14ac:dyDescent="0.25">
      <c r="A8" s="266">
        <v>4</v>
      </c>
      <c r="B8" s="347">
        <v>4054141690</v>
      </c>
      <c r="C8" s="350"/>
      <c r="D8" s="350"/>
      <c r="E8" s="323" t="s">
        <v>14</v>
      </c>
      <c r="F8" s="15" t="s">
        <v>17</v>
      </c>
      <c r="G8" s="275" t="s">
        <v>1097</v>
      </c>
      <c r="H8" s="275" t="str">
        <f t="shared" si="0"/>
        <v>Rétirédanslesdélais</v>
      </c>
      <c r="I8" s="354">
        <v>45518</v>
      </c>
      <c r="J8" s="344"/>
      <c r="K8" s="344"/>
      <c r="L8" s="344"/>
      <c r="M8" s="732"/>
      <c r="N8" s="732"/>
      <c r="O8" s="732"/>
      <c r="P8" s="732"/>
    </row>
    <row r="9" spans="1:16" ht="17.25" x14ac:dyDescent="0.25">
      <c r="A9" s="266">
        <v>5</v>
      </c>
      <c r="B9" s="347">
        <v>4054201990</v>
      </c>
      <c r="C9" s="350"/>
      <c r="D9" s="350"/>
      <c r="E9" s="323" t="s">
        <v>1466</v>
      </c>
      <c r="F9" s="15" t="s">
        <v>17</v>
      </c>
      <c r="G9" s="275" t="s">
        <v>1097</v>
      </c>
      <c r="H9" s="275" t="str">
        <f t="shared" si="0"/>
        <v>Rétirédanslesdélais</v>
      </c>
      <c r="I9" s="354">
        <v>45512</v>
      </c>
      <c r="J9" s="344"/>
      <c r="K9" s="344"/>
      <c r="L9" s="344"/>
      <c r="M9" s="732"/>
      <c r="N9" s="732"/>
      <c r="O9" s="732"/>
      <c r="P9" s="732"/>
    </row>
    <row r="10" spans="1:16" ht="17.25" x14ac:dyDescent="0.25">
      <c r="A10" s="266">
        <v>6</v>
      </c>
      <c r="B10" s="347">
        <v>4054206950</v>
      </c>
      <c r="C10" s="350"/>
      <c r="D10" s="350"/>
      <c r="E10" s="323" t="s">
        <v>1332</v>
      </c>
      <c r="F10" s="15" t="s">
        <v>17</v>
      </c>
      <c r="G10" s="275" t="s">
        <v>1097</v>
      </c>
      <c r="H10" s="275" t="str">
        <f t="shared" si="0"/>
        <v>Rétirédanslesdélais</v>
      </c>
      <c r="I10" s="354">
        <v>45512</v>
      </c>
      <c r="J10" s="344"/>
      <c r="K10" s="344"/>
      <c r="L10" s="344"/>
      <c r="M10" s="732"/>
      <c r="N10" s="732"/>
      <c r="O10" s="732"/>
      <c r="P10" s="732"/>
    </row>
    <row r="11" spans="1:16" x14ac:dyDescent="0.25">
      <c r="A11" s="292"/>
      <c r="B11" s="292"/>
      <c r="C11" s="292"/>
      <c r="D11" s="292"/>
    </row>
    <row r="12" spans="1:16" x14ac:dyDescent="0.25">
      <c r="A12" s="292"/>
      <c r="B12" s="292"/>
      <c r="C12" s="292"/>
      <c r="D12" s="292"/>
    </row>
    <row r="13" spans="1:16" x14ac:dyDescent="0.25">
      <c r="A13" s="292"/>
      <c r="B13" s="292"/>
      <c r="C13" s="292"/>
      <c r="D13" s="292"/>
    </row>
    <row r="14" spans="1:16" x14ac:dyDescent="0.25">
      <c r="A14" s="292"/>
      <c r="B14" s="292"/>
      <c r="C14" s="292"/>
      <c r="D14" s="292"/>
    </row>
    <row r="15" spans="1:16" x14ac:dyDescent="0.25">
      <c r="A15" s="292"/>
      <c r="B15" s="292"/>
      <c r="C15" s="292"/>
      <c r="D15" s="292"/>
    </row>
    <row r="16" spans="1:16" x14ac:dyDescent="0.25">
      <c r="A16" s="292"/>
      <c r="B16" s="292"/>
      <c r="C16" s="292"/>
      <c r="D16" s="292"/>
    </row>
    <row r="17" spans="1:16" x14ac:dyDescent="0.25">
      <c r="A17" s="292"/>
      <c r="B17" s="292"/>
      <c r="C17" s="292"/>
      <c r="D17" s="292"/>
    </row>
    <row r="18" spans="1:16" x14ac:dyDescent="0.25">
      <c r="A18" s="292"/>
      <c r="B18" s="292"/>
      <c r="C18" s="292"/>
      <c r="D18" s="292"/>
    </row>
    <row r="19" spans="1:16" x14ac:dyDescent="0.25">
      <c r="A19" s="292"/>
      <c r="B19" s="292"/>
      <c r="C19" s="292"/>
      <c r="D19" s="292"/>
    </row>
    <row r="20" spans="1:16" x14ac:dyDescent="0.25">
      <c r="A20" s="292"/>
      <c r="B20" s="292"/>
      <c r="C20" s="292"/>
      <c r="D20" s="292"/>
    </row>
    <row r="21" spans="1:16" s="292" customFormat="1" x14ac:dyDescent="0.25">
      <c r="H21"/>
      <c r="I21" s="208"/>
      <c r="J21" s="208"/>
      <c r="K21" s="208"/>
      <c r="L21" s="208"/>
      <c r="M21"/>
      <c r="N21"/>
      <c r="O21"/>
      <c r="P21"/>
    </row>
    <row r="22" spans="1:16" s="292" customFormat="1" x14ac:dyDescent="0.25">
      <c r="H22"/>
      <c r="I22" s="208"/>
      <c r="J22" s="208"/>
      <c r="K22" s="208"/>
      <c r="L22" s="208"/>
      <c r="M22"/>
      <c r="N22"/>
      <c r="O22"/>
      <c r="P22"/>
    </row>
    <row r="23" spans="1:16" s="292" customFormat="1" x14ac:dyDescent="0.25">
      <c r="H23"/>
      <c r="I23" s="208"/>
      <c r="J23" s="208"/>
      <c r="K23" s="208"/>
      <c r="L23" s="208"/>
      <c r="M23"/>
      <c r="N23"/>
      <c r="O23"/>
      <c r="P23"/>
    </row>
    <row r="24" spans="1:16" s="292" customFormat="1" x14ac:dyDescent="0.25">
      <c r="H24"/>
      <c r="I24" s="208"/>
      <c r="J24" s="208"/>
      <c r="K24" s="208"/>
      <c r="L24" s="208"/>
      <c r="M24"/>
      <c r="N24"/>
      <c r="O24"/>
      <c r="P24"/>
    </row>
    <row r="25" spans="1:16" s="292" customFormat="1" x14ac:dyDescent="0.25">
      <c r="H25"/>
      <c r="I25" s="208"/>
      <c r="J25" s="208"/>
      <c r="K25" s="208"/>
      <c r="L25" s="208"/>
      <c r="M25"/>
      <c r="N25"/>
      <c r="O25"/>
      <c r="P25"/>
    </row>
    <row r="26" spans="1:16" s="292" customFormat="1" x14ac:dyDescent="0.25">
      <c r="H26"/>
      <c r="I26" s="208"/>
      <c r="J26" s="208"/>
      <c r="K26" s="208"/>
      <c r="L26" s="208"/>
      <c r="M26"/>
      <c r="N26"/>
      <c r="O26"/>
      <c r="P26"/>
    </row>
    <row r="27" spans="1:16" s="292" customFormat="1" x14ac:dyDescent="0.25">
      <c r="H27"/>
      <c r="I27" s="208"/>
      <c r="J27" s="208"/>
      <c r="K27" s="208"/>
      <c r="L27" s="208"/>
      <c r="M27"/>
      <c r="N27"/>
      <c r="O27"/>
      <c r="P27"/>
    </row>
    <row r="28" spans="1:16" s="292" customFormat="1" x14ac:dyDescent="0.25">
      <c r="H28"/>
      <c r="I28" s="208"/>
      <c r="J28" s="208"/>
      <c r="K28" s="208"/>
      <c r="L28" s="208"/>
      <c r="M28"/>
      <c r="N28"/>
      <c r="O28"/>
      <c r="P28"/>
    </row>
    <row r="29" spans="1:16" s="292" customFormat="1" x14ac:dyDescent="0.25">
      <c r="H29"/>
      <c r="I29" s="208"/>
      <c r="J29" s="208"/>
      <c r="K29" s="208"/>
      <c r="L29" s="208"/>
      <c r="M29"/>
      <c r="N29"/>
      <c r="O29"/>
      <c r="P29"/>
    </row>
    <row r="30" spans="1:16" s="292" customFormat="1" x14ac:dyDescent="0.25">
      <c r="H30"/>
      <c r="I30" s="208"/>
      <c r="J30" s="208"/>
      <c r="K30" s="208"/>
      <c r="L30" s="208"/>
      <c r="M30"/>
      <c r="N30"/>
      <c r="O30"/>
      <c r="P30"/>
    </row>
    <row r="31" spans="1:16" s="292" customFormat="1" x14ac:dyDescent="0.25">
      <c r="H31"/>
      <c r="I31" s="208"/>
      <c r="J31" s="208"/>
      <c r="K31" s="208"/>
      <c r="L31" s="208"/>
      <c r="M31"/>
      <c r="N31"/>
      <c r="O31"/>
      <c r="P31"/>
    </row>
    <row r="32" spans="1:16" s="292" customFormat="1" x14ac:dyDescent="0.25">
      <c r="H32"/>
      <c r="I32" s="208"/>
      <c r="J32" s="208"/>
      <c r="K32" s="208"/>
      <c r="L32" s="208"/>
      <c r="M32"/>
      <c r="N32"/>
      <c r="O32"/>
      <c r="P32"/>
    </row>
  </sheetData>
  <autoFilter ref="A4:P10" xr:uid="{4990FBFD-B240-49B0-838F-2EB6A21B18BB}">
    <filterColumn colId="12" showButton="0"/>
    <filterColumn colId="13" showButton="0"/>
    <filterColumn colId="14" showButton="0"/>
    <sortState xmlns:xlrd2="http://schemas.microsoft.com/office/spreadsheetml/2017/richdata2" ref="A4:P5">
      <sortCondition ref="E4"/>
    </sortState>
  </autoFilter>
  <mergeCells count="9">
    <mergeCell ref="M8:P8"/>
    <mergeCell ref="M9:P9"/>
    <mergeCell ref="M10:P10"/>
    <mergeCell ref="H1:I1"/>
    <mergeCell ref="A2:B2"/>
    <mergeCell ref="M4:P4"/>
    <mergeCell ref="M5:P5"/>
    <mergeCell ref="M6:P6"/>
    <mergeCell ref="M7:P7"/>
  </mergeCells>
  <conditionalFormatting sqref="A12">
    <cfRule type="duplicateValues" dxfId="650" priority="1"/>
    <cfRule type="duplicateValues" dxfId="649" priority="2"/>
    <cfRule type="duplicateValues" dxfId="648" priority="3"/>
    <cfRule type="duplicateValues" dxfId="647" priority="4"/>
    <cfRule type="duplicateValues" dxfId="646" priority="5"/>
    <cfRule type="duplicateValues" dxfId="645" priority="6"/>
    <cfRule type="duplicateValues" dxfId="644" priority="7"/>
  </conditionalFormatting>
  <conditionalFormatting sqref="B5:B10 E5:H10">
    <cfRule type="containsText" dxfId="643" priority="8" operator="containsText" text="En Attente d'un Retrait Tardif">
      <formula>NOT(ISERROR(SEARCH("En Attente d'un Retrait Tardif",B5)))</formula>
    </cfRule>
    <cfRule type="containsText" dxfId="642" priority="9" operator="containsText" text="Rétiré dans les délais">
      <formula>NOT(ISERROR(SEARCH("Rétiré dans les délais",B5)))</formula>
    </cfRule>
  </conditionalFormatting>
  <conditionalFormatting sqref="B5:B10">
    <cfRule type="duplicateValues" dxfId="641" priority="629"/>
    <cfRule type="duplicateValues" dxfId="640" priority="630"/>
    <cfRule type="duplicateValues" dxfId="639" priority="631"/>
  </conditionalFormatting>
  <conditionalFormatting sqref="B1:D3">
    <cfRule type="duplicateValues" dxfId="638" priority="10"/>
    <cfRule type="duplicateValues" dxfId="637" priority="11"/>
    <cfRule type="duplicateValues" dxfId="636" priority="12"/>
    <cfRule type="duplicateValues" dxfId="635" priority="13"/>
  </conditionalFormatting>
  <conditionalFormatting sqref="B29:D1048576 B1:D4 B11:D12 B5:B10">
    <cfRule type="duplicateValues" dxfId="634" priority="15"/>
  </conditionalFormatting>
  <conditionalFormatting sqref="B29:D1048576 B11:D12 B1:D3">
    <cfRule type="duplicateValues" dxfId="633" priority="16"/>
    <cfRule type="duplicateValues" dxfId="632" priority="17"/>
    <cfRule type="duplicateValues" dxfId="631" priority="18"/>
  </conditionalFormatting>
  <conditionalFormatting sqref="B29:D1048576 B11:D12 B1:D4">
    <cfRule type="duplicateValues" dxfId="630" priority="19"/>
    <cfRule type="duplicateValues" dxfId="629" priority="20"/>
    <cfRule type="duplicateValues" dxfId="628" priority="21"/>
  </conditionalFormatting>
  <conditionalFormatting sqref="B29:D1048576">
    <cfRule type="duplicateValues" dxfId="627" priority="14"/>
  </conditionalFormatting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B70B-3546-4FFB-9CA6-296A0EA8C05E}">
  <sheetPr codeName="Feuil64">
    <tabColor theme="5" tint="-0.249977111117893"/>
  </sheetPr>
  <dimension ref="A1:P44"/>
  <sheetViews>
    <sheetView zoomScaleNormal="100" workbookViewId="0">
      <selection activeCell="E15" sqref="E15"/>
    </sheetView>
  </sheetViews>
  <sheetFormatPr baseColWidth="10" defaultColWidth="11.42578125" defaultRowHeight="15" x14ac:dyDescent="0.25"/>
  <cols>
    <col min="1" max="1" width="4.85546875" customWidth="1"/>
    <col min="2" max="2" width="14.140625" bestFit="1" customWidth="1"/>
    <col min="3" max="4" width="9.85546875" customWidth="1"/>
    <col min="5" max="5" width="44.42578125" style="292" customWidth="1"/>
    <col min="6" max="6" width="23.7109375" style="292" customWidth="1"/>
    <col min="7" max="7" width="23.140625" style="292" customWidth="1"/>
    <col min="8" max="8" width="38" customWidth="1"/>
    <col min="9" max="9" width="15" style="208" customWidth="1"/>
    <col min="10" max="10" width="38.140625" style="208" customWidth="1"/>
    <col min="11" max="12" width="10.5703125" style="208" customWidth="1"/>
    <col min="13" max="16" width="8.5703125" customWidth="1"/>
  </cols>
  <sheetData>
    <row r="1" spans="1:16" ht="19.5" thickBot="1" x14ac:dyDescent="0.35">
      <c r="A1" s="348" t="s">
        <v>1492</v>
      </c>
      <c r="B1" s="98"/>
      <c r="C1" s="98"/>
      <c r="D1" s="98"/>
      <c r="E1" s="288"/>
      <c r="F1" s="288"/>
      <c r="G1" s="288"/>
      <c r="H1" s="729"/>
      <c r="I1" s="729"/>
    </row>
    <row r="2" spans="1:16" ht="24" thickBot="1" x14ac:dyDescent="0.3">
      <c r="A2" s="730" t="s">
        <v>0</v>
      </c>
      <c r="B2" s="730"/>
      <c r="C2" s="24"/>
      <c r="D2" s="24"/>
      <c r="E2" s="25"/>
      <c r="F2" s="25"/>
      <c r="G2" s="25"/>
      <c r="H2" s="314">
        <v>45500</v>
      </c>
      <c r="I2" s="315">
        <f ca="1">TODAY()</f>
        <v>46096</v>
      </c>
      <c r="J2" s="340"/>
      <c r="K2" s="340"/>
      <c r="L2" s="5">
        <f ca="1">I2-H2</f>
        <v>596</v>
      </c>
    </row>
    <row r="3" spans="1:16" x14ac:dyDescent="0.25">
      <c r="H3" s="105"/>
    </row>
    <row r="4" spans="1:16" ht="17.25" x14ac:dyDescent="0.25">
      <c r="A4" s="318" t="s">
        <v>1</v>
      </c>
      <c r="B4" s="335" t="s">
        <v>2</v>
      </c>
      <c r="C4" s="336" t="s">
        <v>3</v>
      </c>
      <c r="D4" s="336" t="s">
        <v>4</v>
      </c>
      <c r="E4" s="336" t="s">
        <v>5</v>
      </c>
      <c r="F4" s="318" t="s">
        <v>1065</v>
      </c>
      <c r="G4" s="318" t="s">
        <v>1066</v>
      </c>
      <c r="H4" s="318" t="s">
        <v>7</v>
      </c>
      <c r="I4" s="318" t="s">
        <v>1068</v>
      </c>
      <c r="J4" s="318" t="s">
        <v>8</v>
      </c>
      <c r="K4" s="318" t="s">
        <v>9</v>
      </c>
      <c r="L4" s="318" t="s">
        <v>10</v>
      </c>
      <c r="M4" s="733" t="s">
        <v>11</v>
      </c>
      <c r="N4" s="733"/>
      <c r="O4" s="733"/>
      <c r="P4" s="733"/>
    </row>
    <row r="5" spans="1:16" s="23" customFormat="1" ht="17.25" x14ac:dyDescent="0.25">
      <c r="A5" s="266">
        <v>1</v>
      </c>
      <c r="B5" s="347">
        <v>4054125060</v>
      </c>
      <c r="C5" s="352"/>
      <c r="D5" s="352"/>
      <c r="E5" s="353" t="s">
        <v>33</v>
      </c>
      <c r="F5" s="15" t="s">
        <v>17</v>
      </c>
      <c r="G5" s="15" t="s">
        <v>1207</v>
      </c>
      <c r="H5" s="275" t="str">
        <f t="shared" ref="H5:H22" si="0">IF(I5="",IF($L$2&lt;=15,"EnattentedeRetrait","EnAttented'unRetraitTardif"),IF(I5-$H$2&lt;=15,"Rétirédanslesdélais",IF(I5-$H$2&gt;15,"Rétirétardivement-30000FCFAamende")))</f>
        <v>Rétirédanslesdélais</v>
      </c>
      <c r="I5" s="354">
        <v>45503</v>
      </c>
      <c r="J5" s="355"/>
      <c r="K5" s="355"/>
      <c r="L5" s="355"/>
      <c r="M5" s="746"/>
      <c r="N5" s="746"/>
      <c r="O5" s="746"/>
      <c r="P5" s="746"/>
    </row>
    <row r="6" spans="1:16" ht="17.25" x14ac:dyDescent="0.25">
      <c r="A6" s="266">
        <v>2</v>
      </c>
      <c r="B6" s="347">
        <v>4054120960</v>
      </c>
      <c r="C6" s="350"/>
      <c r="D6" s="350"/>
      <c r="E6" s="323" t="s">
        <v>1493</v>
      </c>
      <c r="F6" s="15" t="s">
        <v>17</v>
      </c>
      <c r="G6" s="275" t="s">
        <v>1207</v>
      </c>
      <c r="H6" s="275" t="str">
        <f t="shared" si="0"/>
        <v>Rétirédanslesdélais</v>
      </c>
      <c r="I6" s="354">
        <v>45505</v>
      </c>
      <c r="J6" s="344"/>
      <c r="K6" s="344"/>
      <c r="L6" s="344"/>
      <c r="M6" s="732"/>
      <c r="N6" s="732"/>
      <c r="O6" s="732"/>
      <c r="P6" s="732"/>
    </row>
    <row r="7" spans="1:16" ht="17.25" x14ac:dyDescent="0.25">
      <c r="A7" s="266">
        <v>3</v>
      </c>
      <c r="B7" s="347">
        <v>4054126630</v>
      </c>
      <c r="C7" s="350"/>
      <c r="D7" s="350"/>
      <c r="E7" s="323" t="s">
        <v>34</v>
      </c>
      <c r="F7" s="15" t="s">
        <v>17</v>
      </c>
      <c r="G7" s="275" t="s">
        <v>1207</v>
      </c>
      <c r="H7" s="275" t="str">
        <f t="shared" si="0"/>
        <v>Rétirédanslesdélais</v>
      </c>
      <c r="I7" s="354">
        <v>45503</v>
      </c>
      <c r="J7" s="344"/>
      <c r="K7" s="344"/>
      <c r="L7" s="344"/>
      <c r="M7" s="732"/>
      <c r="N7" s="732"/>
      <c r="O7" s="732"/>
      <c r="P7" s="732"/>
    </row>
    <row r="8" spans="1:16" ht="17.25" x14ac:dyDescent="0.25">
      <c r="A8" s="266">
        <v>4</v>
      </c>
      <c r="B8" s="347">
        <v>4054123930</v>
      </c>
      <c r="C8" s="350"/>
      <c r="D8" s="350"/>
      <c r="E8" s="323" t="s">
        <v>1308</v>
      </c>
      <c r="F8" s="15" t="s">
        <v>17</v>
      </c>
      <c r="G8" s="275" t="s">
        <v>1207</v>
      </c>
      <c r="H8" s="275" t="str">
        <f t="shared" si="0"/>
        <v>Rétirédanslesdélais</v>
      </c>
      <c r="I8" s="354">
        <v>45503</v>
      </c>
      <c r="J8" s="344"/>
      <c r="K8" s="344"/>
      <c r="L8" s="344"/>
      <c r="M8" s="732"/>
      <c r="N8" s="732"/>
      <c r="O8" s="732"/>
      <c r="P8" s="732"/>
    </row>
    <row r="9" spans="1:16" ht="17.25" x14ac:dyDescent="0.25">
      <c r="A9" s="266">
        <v>5</v>
      </c>
      <c r="B9" s="347">
        <v>4054130800</v>
      </c>
      <c r="C9" s="350"/>
      <c r="D9" s="350"/>
      <c r="E9" s="323" t="s">
        <v>1494</v>
      </c>
      <c r="F9" s="15" t="s">
        <v>17</v>
      </c>
      <c r="G9" s="275" t="s">
        <v>1207</v>
      </c>
      <c r="H9" s="275" t="str">
        <f t="shared" si="0"/>
        <v>Rétirédanslesdélais</v>
      </c>
      <c r="I9" s="354">
        <v>45505</v>
      </c>
      <c r="J9" s="344"/>
      <c r="K9" s="344"/>
      <c r="L9" s="344"/>
      <c r="M9" s="732"/>
      <c r="N9" s="732"/>
      <c r="O9" s="732"/>
      <c r="P9" s="732"/>
    </row>
    <row r="10" spans="1:16" ht="17.25" x14ac:dyDescent="0.25">
      <c r="A10" s="266">
        <v>6</v>
      </c>
      <c r="B10" s="347">
        <v>4054148180</v>
      </c>
      <c r="C10" s="350"/>
      <c r="D10" s="350"/>
      <c r="E10" s="323" t="s">
        <v>1494</v>
      </c>
      <c r="F10" s="15" t="s">
        <v>17</v>
      </c>
      <c r="G10" s="275" t="s">
        <v>1207</v>
      </c>
      <c r="H10" s="275" t="str">
        <f t="shared" si="0"/>
        <v>Rétirédanslesdélais</v>
      </c>
      <c r="I10" s="354">
        <v>45505</v>
      </c>
      <c r="J10" s="344"/>
      <c r="K10" s="344"/>
      <c r="L10" s="344"/>
      <c r="M10" s="732"/>
      <c r="N10" s="732"/>
      <c r="O10" s="732"/>
      <c r="P10" s="732"/>
    </row>
    <row r="11" spans="1:16" ht="17.25" x14ac:dyDescent="0.25">
      <c r="A11" s="266">
        <v>7</v>
      </c>
      <c r="B11" s="347">
        <v>4054148650</v>
      </c>
      <c r="C11" s="350"/>
      <c r="D11" s="350"/>
      <c r="E11" s="323" t="s">
        <v>1494</v>
      </c>
      <c r="F11" s="15" t="s">
        <v>17</v>
      </c>
      <c r="G11" s="275" t="s">
        <v>1207</v>
      </c>
      <c r="H11" s="275" t="str">
        <f t="shared" si="0"/>
        <v>Rétirédanslesdélais</v>
      </c>
      <c r="I11" s="354">
        <v>45505</v>
      </c>
      <c r="J11" s="344"/>
      <c r="K11" s="344"/>
      <c r="L11" s="344"/>
      <c r="M11" s="732"/>
      <c r="N11" s="732"/>
      <c r="O11" s="732"/>
      <c r="P11" s="732"/>
    </row>
    <row r="12" spans="1:16" ht="17.25" x14ac:dyDescent="0.25">
      <c r="A12" s="266">
        <v>8</v>
      </c>
      <c r="B12" s="347">
        <v>4054158480</v>
      </c>
      <c r="C12" s="350"/>
      <c r="D12" s="350"/>
      <c r="E12" s="323" t="s">
        <v>1075</v>
      </c>
      <c r="F12" s="15" t="s">
        <v>17</v>
      </c>
      <c r="G12" s="275" t="s">
        <v>1097</v>
      </c>
      <c r="H12" s="275" t="str">
        <f t="shared" si="0"/>
        <v>Rétirédanslesdélais</v>
      </c>
      <c r="I12" s="354">
        <v>45505</v>
      </c>
      <c r="J12" s="344"/>
      <c r="K12" s="344"/>
      <c r="L12" s="344"/>
      <c r="M12" s="732"/>
      <c r="N12" s="732"/>
      <c r="O12" s="732"/>
      <c r="P12" s="732"/>
    </row>
    <row r="13" spans="1:16" ht="17.25" x14ac:dyDescent="0.25">
      <c r="A13" s="266">
        <v>9</v>
      </c>
      <c r="B13" s="347">
        <v>4054130480</v>
      </c>
      <c r="C13" s="350"/>
      <c r="D13" s="350"/>
      <c r="E13" s="323" t="s">
        <v>35</v>
      </c>
      <c r="F13" s="15" t="s">
        <v>17</v>
      </c>
      <c r="G13" s="275" t="s">
        <v>1207</v>
      </c>
      <c r="H13" s="275" t="str">
        <f t="shared" si="0"/>
        <v>Rétirédanslesdélais</v>
      </c>
      <c r="I13" s="354">
        <v>45504</v>
      </c>
      <c r="J13" s="344"/>
      <c r="K13" s="344"/>
      <c r="L13" s="344"/>
      <c r="M13" s="732"/>
      <c r="N13" s="732"/>
      <c r="O13" s="732"/>
      <c r="P13" s="732"/>
    </row>
    <row r="14" spans="1:16" ht="17.25" x14ac:dyDescent="0.25">
      <c r="A14" s="266">
        <v>10</v>
      </c>
      <c r="B14" s="347">
        <v>4054019161</v>
      </c>
      <c r="C14" s="350"/>
      <c r="D14" s="350"/>
      <c r="E14" s="323" t="s">
        <v>1369</v>
      </c>
      <c r="F14" s="15" t="s">
        <v>1495</v>
      </c>
      <c r="G14" s="275" t="s">
        <v>1207</v>
      </c>
      <c r="H14" s="275" t="str">
        <f t="shared" si="0"/>
        <v>Rétirédanslesdélais</v>
      </c>
      <c r="I14" s="354">
        <v>45506</v>
      </c>
      <c r="J14" s="344"/>
      <c r="K14" s="344"/>
      <c r="L14" s="344"/>
      <c r="M14" s="732"/>
      <c r="N14" s="732"/>
      <c r="O14" s="732"/>
      <c r="P14" s="732"/>
    </row>
    <row r="15" spans="1:16" ht="17.25" x14ac:dyDescent="0.25">
      <c r="A15" s="266">
        <v>11</v>
      </c>
      <c r="B15" s="347">
        <v>4054185380</v>
      </c>
      <c r="C15" s="350"/>
      <c r="D15" s="350"/>
      <c r="E15" s="323" t="s">
        <v>37</v>
      </c>
      <c r="F15" s="15" t="s">
        <v>1496</v>
      </c>
      <c r="G15" s="275" t="s">
        <v>1207</v>
      </c>
      <c r="H15" s="275" t="str">
        <f t="shared" si="0"/>
        <v>Rétirédanslesdélais</v>
      </c>
      <c r="I15" s="354">
        <v>45505</v>
      </c>
      <c r="J15" s="344"/>
      <c r="K15" s="344"/>
      <c r="L15" s="344"/>
      <c r="M15" s="732"/>
      <c r="N15" s="732"/>
      <c r="O15" s="732"/>
      <c r="P15" s="732"/>
    </row>
    <row r="16" spans="1:16" ht="17.25" x14ac:dyDescent="0.25">
      <c r="A16" s="266">
        <v>12</v>
      </c>
      <c r="B16" s="347">
        <v>4054168120</v>
      </c>
      <c r="C16" s="350"/>
      <c r="D16" s="350"/>
      <c r="E16" s="323" t="s">
        <v>1497</v>
      </c>
      <c r="F16" s="15" t="s">
        <v>17</v>
      </c>
      <c r="G16" s="275" t="s">
        <v>1207</v>
      </c>
      <c r="H16" s="275" t="str">
        <f t="shared" si="0"/>
        <v>Rétirédanslesdélais</v>
      </c>
      <c r="I16" s="354">
        <v>45506</v>
      </c>
      <c r="J16" s="344"/>
      <c r="K16" s="344"/>
      <c r="L16" s="344"/>
      <c r="M16" s="732"/>
      <c r="N16" s="732"/>
      <c r="O16" s="732"/>
      <c r="P16" s="732"/>
    </row>
    <row r="17" spans="1:16" ht="17.25" x14ac:dyDescent="0.25">
      <c r="A17" s="266">
        <v>13</v>
      </c>
      <c r="B17" s="347">
        <v>4054165940</v>
      </c>
      <c r="C17" s="350"/>
      <c r="D17" s="350"/>
      <c r="E17" s="323" t="s">
        <v>1497</v>
      </c>
      <c r="F17" s="15" t="s">
        <v>17</v>
      </c>
      <c r="G17" s="275" t="s">
        <v>1207</v>
      </c>
      <c r="H17" s="275" t="str">
        <f t="shared" si="0"/>
        <v>Rétirédanslesdélais</v>
      </c>
      <c r="I17" s="354">
        <v>45506</v>
      </c>
      <c r="J17" s="344"/>
      <c r="K17" s="344"/>
      <c r="L17" s="344"/>
      <c r="M17" s="732"/>
      <c r="N17" s="732"/>
      <c r="O17" s="732"/>
      <c r="P17" s="732"/>
    </row>
    <row r="18" spans="1:16" ht="17.25" x14ac:dyDescent="0.25">
      <c r="A18" s="266">
        <v>14</v>
      </c>
      <c r="B18" s="347">
        <v>4054165950</v>
      </c>
      <c r="C18" s="350"/>
      <c r="D18" s="350"/>
      <c r="E18" s="323" t="s">
        <v>1497</v>
      </c>
      <c r="F18" s="15" t="s">
        <v>17</v>
      </c>
      <c r="G18" s="275" t="s">
        <v>1207</v>
      </c>
      <c r="H18" s="275" t="str">
        <f t="shared" si="0"/>
        <v>Rétirédanslesdélais</v>
      </c>
      <c r="I18" s="354">
        <v>45506</v>
      </c>
      <c r="J18" s="344"/>
      <c r="K18" s="344"/>
      <c r="L18" s="344"/>
      <c r="M18" s="732"/>
      <c r="N18" s="732"/>
      <c r="O18" s="732"/>
      <c r="P18" s="732"/>
    </row>
    <row r="19" spans="1:16" ht="17.25" x14ac:dyDescent="0.25">
      <c r="A19" s="266">
        <v>15</v>
      </c>
      <c r="B19" s="347">
        <v>4054165910</v>
      </c>
      <c r="C19" s="350"/>
      <c r="D19" s="350"/>
      <c r="E19" s="323" t="s">
        <v>1497</v>
      </c>
      <c r="F19" s="15" t="s">
        <v>17</v>
      </c>
      <c r="G19" s="275" t="s">
        <v>1207</v>
      </c>
      <c r="H19" s="275" t="str">
        <f t="shared" si="0"/>
        <v>Rétirédanslesdélais</v>
      </c>
      <c r="I19" s="354">
        <v>45506</v>
      </c>
      <c r="J19" s="344"/>
      <c r="K19" s="344"/>
      <c r="L19" s="344"/>
      <c r="M19" s="732"/>
      <c r="N19" s="732"/>
      <c r="O19" s="732"/>
      <c r="P19" s="732"/>
    </row>
    <row r="20" spans="1:16" ht="17.25" x14ac:dyDescent="0.25">
      <c r="A20" s="266">
        <v>16</v>
      </c>
      <c r="B20" s="347">
        <v>4054168130</v>
      </c>
      <c r="C20" s="350"/>
      <c r="D20" s="350"/>
      <c r="E20" s="323" t="s">
        <v>1497</v>
      </c>
      <c r="F20" s="15" t="s">
        <v>17</v>
      </c>
      <c r="G20" s="275" t="s">
        <v>1207</v>
      </c>
      <c r="H20" s="275" t="str">
        <f t="shared" si="0"/>
        <v>Rétirédanslesdélais</v>
      </c>
      <c r="I20" s="354">
        <v>45506</v>
      </c>
      <c r="J20" s="344"/>
      <c r="K20" s="344"/>
      <c r="L20" s="344"/>
      <c r="M20" s="732"/>
      <c r="N20" s="732"/>
      <c r="O20" s="732"/>
      <c r="P20" s="732"/>
    </row>
    <row r="21" spans="1:16" ht="17.25" x14ac:dyDescent="0.25">
      <c r="A21" s="266">
        <v>17</v>
      </c>
      <c r="B21" s="347">
        <v>4054168150</v>
      </c>
      <c r="C21" s="350"/>
      <c r="D21" s="350"/>
      <c r="E21" s="323" t="s">
        <v>1497</v>
      </c>
      <c r="F21" s="15" t="s">
        <v>17</v>
      </c>
      <c r="G21" s="275" t="s">
        <v>1207</v>
      </c>
      <c r="H21" s="275" t="str">
        <f t="shared" si="0"/>
        <v>Rétirédanslesdélais</v>
      </c>
      <c r="I21" s="354">
        <v>45506</v>
      </c>
      <c r="J21" s="344"/>
      <c r="K21" s="344"/>
      <c r="L21" s="344"/>
      <c r="M21" s="732"/>
      <c r="N21" s="732"/>
      <c r="O21" s="732"/>
      <c r="P21" s="732"/>
    </row>
    <row r="22" spans="1:16" ht="17.25" x14ac:dyDescent="0.25">
      <c r="A22" s="266">
        <v>18</v>
      </c>
      <c r="B22" s="347">
        <v>4054168180</v>
      </c>
      <c r="C22" s="350"/>
      <c r="D22" s="350"/>
      <c r="E22" s="323" t="s">
        <v>1497</v>
      </c>
      <c r="F22" s="15" t="s">
        <v>17</v>
      </c>
      <c r="G22" s="275" t="s">
        <v>1207</v>
      </c>
      <c r="H22" s="275" t="str">
        <f t="shared" si="0"/>
        <v>Rétirédanslesdélais</v>
      </c>
      <c r="I22" s="354">
        <v>45506</v>
      </c>
      <c r="J22" s="344"/>
      <c r="K22" s="344"/>
      <c r="L22" s="344"/>
      <c r="M22" s="732"/>
      <c r="N22" s="732"/>
      <c r="O22" s="732"/>
      <c r="P22" s="732"/>
    </row>
    <row r="23" spans="1:16" x14ac:dyDescent="0.25">
      <c r="A23" s="292"/>
      <c r="B23" s="292"/>
      <c r="C23" s="292"/>
      <c r="D23" s="292"/>
    </row>
    <row r="24" spans="1:16" x14ac:dyDescent="0.25">
      <c r="A24" s="292"/>
      <c r="B24" s="292"/>
      <c r="C24" s="292"/>
      <c r="D24" s="292"/>
    </row>
    <row r="25" spans="1:16" x14ac:dyDescent="0.25">
      <c r="A25" s="292"/>
      <c r="B25" s="292"/>
      <c r="C25" s="292"/>
      <c r="D25" s="292"/>
    </row>
    <row r="26" spans="1:16" x14ac:dyDescent="0.25">
      <c r="A26" s="292"/>
      <c r="B26" s="292"/>
      <c r="C26" s="292"/>
      <c r="D26" s="292"/>
    </row>
    <row r="27" spans="1:16" x14ac:dyDescent="0.25">
      <c r="A27" s="292"/>
      <c r="B27" s="292"/>
      <c r="C27" s="292"/>
      <c r="D27" s="292"/>
    </row>
    <row r="28" spans="1:16" x14ac:dyDescent="0.25">
      <c r="A28" s="292"/>
      <c r="B28" s="292"/>
      <c r="C28" s="292"/>
      <c r="D28" s="292"/>
    </row>
    <row r="29" spans="1:16" x14ac:dyDescent="0.25">
      <c r="A29" s="292"/>
      <c r="B29" s="292"/>
      <c r="C29" s="292"/>
      <c r="D29" s="292"/>
    </row>
    <row r="30" spans="1:16" x14ac:dyDescent="0.25">
      <c r="A30" s="292"/>
      <c r="B30" s="292"/>
      <c r="C30" s="292"/>
      <c r="D30" s="292"/>
    </row>
    <row r="31" spans="1:16" x14ac:dyDescent="0.25">
      <c r="A31" s="292"/>
      <c r="B31" s="292"/>
      <c r="C31" s="292"/>
      <c r="D31" s="292"/>
    </row>
    <row r="32" spans="1:16" x14ac:dyDescent="0.25">
      <c r="A32" s="292"/>
      <c r="B32" s="292"/>
      <c r="C32" s="292"/>
      <c r="D32" s="292"/>
    </row>
    <row r="33" spans="1:4" x14ac:dyDescent="0.25">
      <c r="A33" s="292"/>
      <c r="B33" s="292"/>
      <c r="C33" s="292"/>
      <c r="D33" s="292"/>
    </row>
    <row r="34" spans="1:4" x14ac:dyDescent="0.25">
      <c r="A34" s="292"/>
      <c r="B34" s="292"/>
      <c r="C34" s="292"/>
      <c r="D34" s="292"/>
    </row>
    <row r="35" spans="1:4" x14ac:dyDescent="0.25">
      <c r="A35" s="292"/>
      <c r="B35" s="292"/>
      <c r="C35" s="292"/>
      <c r="D35" s="292"/>
    </row>
    <row r="36" spans="1:4" x14ac:dyDescent="0.25">
      <c r="A36" s="292"/>
      <c r="B36" s="292"/>
      <c r="C36" s="292"/>
      <c r="D36" s="292"/>
    </row>
    <row r="37" spans="1:4" x14ac:dyDescent="0.25">
      <c r="A37" s="292"/>
      <c r="B37" s="292"/>
      <c r="C37" s="292"/>
      <c r="D37" s="292"/>
    </row>
    <row r="38" spans="1:4" x14ac:dyDescent="0.25">
      <c r="A38" s="292"/>
      <c r="B38" s="292"/>
      <c r="C38" s="292"/>
      <c r="D38" s="292"/>
    </row>
    <row r="39" spans="1:4" x14ac:dyDescent="0.25">
      <c r="A39" s="292"/>
      <c r="B39" s="292"/>
      <c r="C39" s="292"/>
      <c r="D39" s="292"/>
    </row>
    <row r="40" spans="1:4" x14ac:dyDescent="0.25">
      <c r="A40" s="292"/>
      <c r="B40" s="292"/>
      <c r="C40" s="292"/>
      <c r="D40" s="292"/>
    </row>
    <row r="41" spans="1:4" x14ac:dyDescent="0.25">
      <c r="A41" s="292"/>
      <c r="B41" s="292"/>
      <c r="C41" s="292"/>
      <c r="D41" s="292"/>
    </row>
    <row r="42" spans="1:4" x14ac:dyDescent="0.25">
      <c r="A42" s="292"/>
      <c r="B42" s="292"/>
      <c r="C42" s="292"/>
      <c r="D42" s="292"/>
    </row>
    <row r="43" spans="1:4" x14ac:dyDescent="0.25">
      <c r="A43" s="292"/>
      <c r="B43" s="292"/>
      <c r="C43" s="292"/>
      <c r="D43" s="292"/>
    </row>
    <row r="44" spans="1:4" x14ac:dyDescent="0.25">
      <c r="A44" s="292"/>
      <c r="B44" s="292"/>
      <c r="C44" s="292"/>
      <c r="D44" s="292"/>
    </row>
  </sheetData>
  <autoFilter ref="A4:P21" xr:uid="{4990FBFD-B240-49B0-838F-2EB6A21B18BB}">
    <filterColumn colId="12" showButton="0"/>
    <filterColumn colId="13" showButton="0"/>
    <filterColumn colId="14" showButton="0"/>
    <sortState xmlns:xlrd2="http://schemas.microsoft.com/office/spreadsheetml/2017/richdata2" ref="A4:P5">
      <sortCondition ref="E4"/>
    </sortState>
  </autoFilter>
  <mergeCells count="21">
    <mergeCell ref="M22:P22"/>
    <mergeCell ref="M13:P13"/>
    <mergeCell ref="H1:I1"/>
    <mergeCell ref="A2:B2"/>
    <mergeCell ref="M4:P4"/>
    <mergeCell ref="M5:P5"/>
    <mergeCell ref="M6:P6"/>
    <mergeCell ref="M7:P7"/>
    <mergeCell ref="M8:P8"/>
    <mergeCell ref="M9:P9"/>
    <mergeCell ref="M10:P10"/>
    <mergeCell ref="M11:P11"/>
    <mergeCell ref="M12:P12"/>
    <mergeCell ref="M20:P20"/>
    <mergeCell ref="M21:P21"/>
    <mergeCell ref="M14:P14"/>
    <mergeCell ref="M15:P15"/>
    <mergeCell ref="M16:P16"/>
    <mergeCell ref="M17:P17"/>
    <mergeCell ref="M18:P18"/>
    <mergeCell ref="M19:P19"/>
  </mergeCells>
  <conditionalFormatting sqref="A24">
    <cfRule type="duplicateValues" dxfId="626" priority="2"/>
    <cfRule type="duplicateValues" dxfId="625" priority="3"/>
    <cfRule type="duplicateValues" dxfId="624" priority="4"/>
    <cfRule type="duplicateValues" dxfId="623" priority="5"/>
    <cfRule type="duplicateValues" dxfId="622" priority="6"/>
    <cfRule type="duplicateValues" dxfId="621" priority="7"/>
    <cfRule type="duplicateValues" dxfId="620" priority="8"/>
  </conditionalFormatting>
  <conditionalFormatting sqref="B1:B1048576">
    <cfRule type="duplicateValues" dxfId="619" priority="1"/>
  </conditionalFormatting>
  <conditionalFormatting sqref="B5:B22 E5:H22">
    <cfRule type="containsText" dxfId="618" priority="9" operator="containsText" text="En Attente d'un Retrait Tardif">
      <formula>NOT(ISERROR(SEARCH("En Attente d'un Retrait Tardif",B5)))</formula>
    </cfRule>
    <cfRule type="containsText" dxfId="617" priority="10" operator="containsText" text="Rétiré dans les délais">
      <formula>NOT(ISERROR(SEARCH("Rétiré dans les délais",B5)))</formula>
    </cfRule>
  </conditionalFormatting>
  <conditionalFormatting sqref="B5:B22">
    <cfRule type="duplicateValues" dxfId="616" priority="23"/>
    <cfRule type="duplicateValues" dxfId="615" priority="24"/>
    <cfRule type="duplicateValues" dxfId="614" priority="25"/>
  </conditionalFormatting>
  <conditionalFormatting sqref="B1:D3">
    <cfRule type="duplicateValues" dxfId="613" priority="11"/>
    <cfRule type="duplicateValues" dxfId="612" priority="12"/>
    <cfRule type="duplicateValues" dxfId="611" priority="13"/>
    <cfRule type="duplicateValues" dxfId="610" priority="14"/>
  </conditionalFormatting>
  <conditionalFormatting sqref="B41:D1048576 B1:D4 B23:D24 B5:B22">
    <cfRule type="duplicateValues" dxfId="609" priority="16"/>
  </conditionalFormatting>
  <conditionalFormatting sqref="B41:D1048576 B23:D24 B1:D3">
    <cfRule type="duplicateValues" dxfId="608" priority="17"/>
    <cfRule type="duplicateValues" dxfId="607" priority="18"/>
    <cfRule type="duplicateValues" dxfId="606" priority="19"/>
  </conditionalFormatting>
  <conditionalFormatting sqref="B41:D1048576 B23:D24 B1:D4">
    <cfRule type="duplicateValues" dxfId="605" priority="20"/>
    <cfRule type="duplicateValues" dxfId="604" priority="21"/>
    <cfRule type="duplicateValues" dxfId="603" priority="22"/>
  </conditionalFormatting>
  <conditionalFormatting sqref="B41:D1048576">
    <cfRule type="duplicateValues" dxfId="602" priority="15"/>
  </conditionalFormatting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F8A5-3062-4BDA-9B08-90179237F36B}">
  <sheetPr codeName="Feuil65">
    <tabColor theme="5" tint="-0.249977111117893"/>
  </sheetPr>
  <dimension ref="A1:N20"/>
  <sheetViews>
    <sheetView zoomScaleNormal="100" workbookViewId="0">
      <selection activeCell="B15" sqref="B15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53.7109375" style="292" customWidth="1"/>
    <col min="4" max="5" width="15.85546875" style="292" customWidth="1"/>
    <col min="6" max="6" width="38" customWidth="1"/>
    <col min="7" max="7" width="15" style="208" customWidth="1"/>
    <col min="8" max="8" width="17.5703125" style="208" customWidth="1"/>
    <col min="9" max="10" width="10.5703125" style="208" customWidth="1"/>
    <col min="11" max="11" width="14.140625" customWidth="1"/>
    <col min="12" max="14" width="10.85546875" customWidth="1"/>
  </cols>
  <sheetData>
    <row r="1" spans="1:14" ht="16.5" thickBot="1" x14ac:dyDescent="0.3">
      <c r="A1" s="98" t="s">
        <v>1498</v>
      </c>
      <c r="B1" s="98"/>
      <c r="C1" s="288"/>
      <c r="D1" s="288"/>
      <c r="E1" s="288"/>
      <c r="F1" s="729"/>
      <c r="G1" s="729"/>
    </row>
    <row r="2" spans="1:14" ht="24" thickBot="1" x14ac:dyDescent="0.3">
      <c r="A2" s="730" t="s">
        <v>0</v>
      </c>
      <c r="B2" s="730"/>
      <c r="C2" s="25"/>
      <c r="D2" s="25"/>
      <c r="E2" s="25"/>
      <c r="F2" s="314">
        <v>45463</v>
      </c>
      <c r="G2" s="315">
        <f ca="1">TODAY()</f>
        <v>46096</v>
      </c>
      <c r="H2" s="340"/>
      <c r="I2" s="340"/>
      <c r="J2" s="5">
        <f ca="1">G2-F2</f>
        <v>633</v>
      </c>
    </row>
    <row r="3" spans="1:14" x14ac:dyDescent="0.25">
      <c r="F3" s="105"/>
    </row>
    <row r="4" spans="1:14" ht="17.25" x14ac:dyDescent="0.25">
      <c r="A4" s="318" t="s">
        <v>1</v>
      </c>
      <c r="B4" s="335" t="s">
        <v>2</v>
      </c>
      <c r="C4" s="336" t="s">
        <v>5</v>
      </c>
      <c r="D4" s="318" t="s">
        <v>1065</v>
      </c>
      <c r="E4" s="318" t="s">
        <v>1066</v>
      </c>
      <c r="F4" s="318" t="s">
        <v>7</v>
      </c>
      <c r="G4" s="318" t="s">
        <v>1068</v>
      </c>
      <c r="H4" s="318" t="s">
        <v>8</v>
      </c>
      <c r="I4" s="318" t="s">
        <v>9</v>
      </c>
      <c r="J4" s="318" t="s">
        <v>10</v>
      </c>
      <c r="K4" s="733" t="s">
        <v>11</v>
      </c>
      <c r="L4" s="733"/>
      <c r="M4" s="733"/>
      <c r="N4" s="733"/>
    </row>
    <row r="5" spans="1:14" ht="18.75" customHeight="1" x14ac:dyDescent="0.25">
      <c r="A5" s="266">
        <v>1</v>
      </c>
      <c r="B5" s="275">
        <v>4054083601</v>
      </c>
      <c r="C5" s="323" t="s">
        <v>1499</v>
      </c>
      <c r="D5" s="275" t="s">
        <v>17</v>
      </c>
      <c r="E5" s="275" t="s">
        <v>1328</v>
      </c>
      <c r="F5" s="275" t="str">
        <f t="shared" ref="F5:F20" si="0">IF(G5="",IF($J$2&lt;=15,"EnattentedeRetrait","EnAttented'unRetraitTardif"),IF(G5-$F$2&lt;=15,"Rétirédanslesdélais",IF(G5-$F$2&gt;15,"Rétirétardivement-30000FCFAamende")))</f>
        <v>Rétirédanslesdélais</v>
      </c>
      <c r="G5" s="301">
        <v>45475</v>
      </c>
      <c r="H5" s="344">
        <v>22000</v>
      </c>
      <c r="I5" s="344"/>
      <c r="J5" s="324"/>
      <c r="K5" s="747"/>
      <c r="L5" s="748"/>
      <c r="M5" s="748"/>
      <c r="N5" s="749"/>
    </row>
    <row r="6" spans="1:14" ht="18.75" customHeight="1" x14ac:dyDescent="0.25">
      <c r="A6" s="266">
        <v>2</v>
      </c>
      <c r="B6" s="275">
        <v>4054019160</v>
      </c>
      <c r="C6" s="323" t="s">
        <v>1500</v>
      </c>
      <c r="D6" s="275" t="s">
        <v>17</v>
      </c>
      <c r="E6" s="275" t="s">
        <v>1207</v>
      </c>
      <c r="F6" s="275" t="str">
        <f t="shared" si="0"/>
        <v>Rétirédanslesdélais</v>
      </c>
      <c r="G6" s="301">
        <v>45467</v>
      </c>
      <c r="H6" s="324"/>
      <c r="I6" s="324"/>
      <c r="J6" s="345"/>
      <c r="K6" s="747"/>
      <c r="L6" s="748"/>
      <c r="M6" s="748"/>
      <c r="N6" s="749"/>
    </row>
    <row r="7" spans="1:14" ht="18.75" customHeight="1" x14ac:dyDescent="0.25">
      <c r="A7" s="266">
        <v>3</v>
      </c>
      <c r="B7" s="275">
        <v>4054019180</v>
      </c>
      <c r="C7" s="323" t="s">
        <v>1500</v>
      </c>
      <c r="D7" s="275" t="s">
        <v>17</v>
      </c>
      <c r="E7" s="275" t="s">
        <v>1207</v>
      </c>
      <c r="F7" s="275" t="str">
        <f t="shared" si="0"/>
        <v>Rétirédanslesdélais</v>
      </c>
      <c r="G7" s="301">
        <v>45467</v>
      </c>
      <c r="H7" s="324"/>
      <c r="I7" s="344"/>
      <c r="J7" s="324"/>
      <c r="K7" s="747"/>
      <c r="L7" s="748"/>
      <c r="M7" s="748"/>
      <c r="N7" s="749"/>
    </row>
    <row r="8" spans="1:14" ht="18.75" customHeight="1" x14ac:dyDescent="0.25">
      <c r="A8" s="266">
        <v>4</v>
      </c>
      <c r="B8" s="275">
        <v>4054059410</v>
      </c>
      <c r="C8" s="323" t="s">
        <v>39</v>
      </c>
      <c r="D8" s="275" t="s">
        <v>17</v>
      </c>
      <c r="E8" s="275" t="s">
        <v>1097</v>
      </c>
      <c r="F8" s="275" t="str">
        <f t="shared" si="0"/>
        <v>Rétirédanslesdélais</v>
      </c>
      <c r="G8" s="301">
        <v>45469</v>
      </c>
      <c r="H8" s="346" t="s">
        <v>1501</v>
      </c>
      <c r="I8" s="344"/>
      <c r="J8" s="324"/>
      <c r="K8" s="747" t="s">
        <v>1502</v>
      </c>
      <c r="L8" s="748"/>
      <c r="M8" s="748"/>
      <c r="N8" s="749"/>
    </row>
    <row r="9" spans="1:14" ht="17.25" customHeight="1" x14ac:dyDescent="0.25">
      <c r="A9" s="266">
        <v>5</v>
      </c>
      <c r="B9" s="275">
        <v>4054092920</v>
      </c>
      <c r="C9" s="323" t="s">
        <v>40</v>
      </c>
      <c r="D9" s="275" t="s">
        <v>17</v>
      </c>
      <c r="E9" s="275" t="s">
        <v>1207</v>
      </c>
      <c r="F9" s="275" t="str">
        <f t="shared" si="0"/>
        <v>Rétirétardivement-30000FCFAamende</v>
      </c>
      <c r="G9" s="301">
        <v>45485</v>
      </c>
      <c r="H9" s="344"/>
      <c r="I9" s="344"/>
      <c r="J9" s="324"/>
      <c r="K9" s="747"/>
      <c r="L9" s="748"/>
      <c r="M9" s="748"/>
      <c r="N9" s="749"/>
    </row>
    <row r="10" spans="1:14" ht="17.25" customHeight="1" x14ac:dyDescent="0.25">
      <c r="A10" s="266">
        <v>7</v>
      </c>
      <c r="B10" s="275">
        <v>4054069010</v>
      </c>
      <c r="C10" s="323" t="s">
        <v>1503</v>
      </c>
      <c r="D10" s="275" t="s">
        <v>17</v>
      </c>
      <c r="E10" s="275" t="s">
        <v>1097</v>
      </c>
      <c r="F10" s="275" t="str">
        <f t="shared" si="0"/>
        <v>Rétirédanslesdélais</v>
      </c>
      <c r="G10" s="301">
        <v>45470</v>
      </c>
      <c r="H10" s="344"/>
      <c r="I10" s="344"/>
      <c r="J10" s="324"/>
      <c r="K10" s="747"/>
      <c r="L10" s="748"/>
      <c r="M10" s="748"/>
      <c r="N10" s="749"/>
    </row>
    <row r="11" spans="1:14" ht="17.25" customHeight="1" x14ac:dyDescent="0.25">
      <c r="A11" s="266">
        <v>8</v>
      </c>
      <c r="B11" s="275">
        <v>4054069030</v>
      </c>
      <c r="C11" s="323" t="s">
        <v>1503</v>
      </c>
      <c r="D11" s="275" t="s">
        <v>17</v>
      </c>
      <c r="E11" s="275" t="s">
        <v>1097</v>
      </c>
      <c r="F11" s="275" t="str">
        <f t="shared" si="0"/>
        <v>Rétirédanslesdélais</v>
      </c>
      <c r="G11" s="301">
        <v>45470</v>
      </c>
      <c r="H11" s="344"/>
      <c r="I11" s="344"/>
      <c r="J11" s="324"/>
      <c r="K11" s="732"/>
      <c r="L11" s="732"/>
      <c r="M11" s="732"/>
      <c r="N11" s="732"/>
    </row>
    <row r="12" spans="1:14" ht="17.25" x14ac:dyDescent="0.25">
      <c r="A12" s="266">
        <v>9</v>
      </c>
      <c r="B12" s="275">
        <v>4054091500</v>
      </c>
      <c r="C12" s="323" t="s">
        <v>1466</v>
      </c>
      <c r="D12" s="275" t="s">
        <v>17</v>
      </c>
      <c r="E12" s="275" t="s">
        <v>1097</v>
      </c>
      <c r="F12" s="275" t="str">
        <f t="shared" si="0"/>
        <v>Rétirédanslesdélais</v>
      </c>
      <c r="G12" s="301">
        <v>45469</v>
      </c>
      <c r="H12" s="344"/>
      <c r="I12" s="344"/>
      <c r="J12" s="324"/>
      <c r="K12" s="732"/>
      <c r="L12" s="732"/>
      <c r="M12" s="732"/>
      <c r="N12" s="732"/>
    </row>
    <row r="13" spans="1:14" ht="17.25" x14ac:dyDescent="0.25">
      <c r="A13" s="266">
        <v>10</v>
      </c>
      <c r="B13" s="275">
        <v>4054091480</v>
      </c>
      <c r="C13" s="323" t="s">
        <v>1466</v>
      </c>
      <c r="D13" s="275" t="s">
        <v>17</v>
      </c>
      <c r="E13" s="275" t="s">
        <v>1097</v>
      </c>
      <c r="F13" s="275" t="str">
        <f t="shared" si="0"/>
        <v>Rétirédanslesdélais</v>
      </c>
      <c r="G13" s="301">
        <v>45469</v>
      </c>
      <c r="H13" s="344"/>
      <c r="I13" s="344"/>
      <c r="J13" s="324"/>
      <c r="K13" s="747"/>
      <c r="L13" s="748"/>
      <c r="M13" s="748"/>
      <c r="N13" s="749"/>
    </row>
    <row r="14" spans="1:14" ht="17.25" x14ac:dyDescent="0.25">
      <c r="A14" s="266">
        <v>11</v>
      </c>
      <c r="B14" s="275">
        <v>4054069001</v>
      </c>
      <c r="C14" s="323" t="s">
        <v>1503</v>
      </c>
      <c r="D14" s="275" t="s">
        <v>17</v>
      </c>
      <c r="E14" s="275" t="s">
        <v>1097</v>
      </c>
      <c r="F14" s="275" t="str">
        <f t="shared" si="0"/>
        <v>Rétirédanslesdélais</v>
      </c>
      <c r="G14" s="301">
        <v>45470</v>
      </c>
      <c r="H14" s="344"/>
      <c r="I14" s="344"/>
      <c r="J14" s="324"/>
      <c r="K14" s="747"/>
      <c r="L14" s="748"/>
      <c r="M14" s="748"/>
      <c r="N14" s="749"/>
    </row>
    <row r="15" spans="1:14" ht="17.25" x14ac:dyDescent="0.25">
      <c r="A15" s="266">
        <v>12</v>
      </c>
      <c r="B15" s="275">
        <v>4054069000</v>
      </c>
      <c r="C15" s="323" t="s">
        <v>1503</v>
      </c>
      <c r="D15" s="275" t="s">
        <v>17</v>
      </c>
      <c r="E15" s="275" t="s">
        <v>1097</v>
      </c>
      <c r="F15" s="275" t="str">
        <f t="shared" si="0"/>
        <v>Rétirédanslesdélais</v>
      </c>
      <c r="G15" s="301">
        <v>45470</v>
      </c>
      <c r="H15" s="344"/>
      <c r="I15" s="344"/>
      <c r="J15" s="324"/>
      <c r="K15" s="747"/>
      <c r="L15" s="748"/>
      <c r="M15" s="748"/>
      <c r="N15" s="749"/>
    </row>
    <row r="16" spans="1:14" ht="17.25" x14ac:dyDescent="0.25">
      <c r="A16" s="266">
        <v>13</v>
      </c>
      <c r="B16" s="275">
        <v>4054090930</v>
      </c>
      <c r="C16" s="323" t="s">
        <v>1369</v>
      </c>
      <c r="D16" s="275" t="s">
        <v>17</v>
      </c>
      <c r="E16" s="275" t="s">
        <v>1207</v>
      </c>
      <c r="F16" s="275" t="str">
        <f t="shared" si="0"/>
        <v>Rétirédanslesdélais</v>
      </c>
      <c r="G16" s="301">
        <v>45471</v>
      </c>
      <c r="H16" s="344"/>
      <c r="I16" s="344"/>
      <c r="J16" s="324"/>
      <c r="K16" s="747"/>
      <c r="L16" s="748"/>
      <c r="M16" s="748"/>
      <c r="N16" s="749"/>
    </row>
    <row r="17" spans="1:14" ht="17.25" x14ac:dyDescent="0.25">
      <c r="A17" s="266">
        <v>14</v>
      </c>
      <c r="B17" s="275">
        <v>4054038300</v>
      </c>
      <c r="C17" s="323" t="s">
        <v>1372</v>
      </c>
      <c r="D17" s="275" t="s">
        <v>17</v>
      </c>
      <c r="E17" s="275" t="s">
        <v>1207</v>
      </c>
      <c r="F17" s="275" t="str">
        <f t="shared" si="0"/>
        <v>Rétirédanslesdélais</v>
      </c>
      <c r="G17" s="301">
        <v>45464</v>
      </c>
      <c r="H17" s="344"/>
      <c r="I17" s="344"/>
      <c r="J17" s="324"/>
      <c r="K17" s="747"/>
      <c r="L17" s="748"/>
      <c r="M17" s="748"/>
      <c r="N17" s="749"/>
    </row>
    <row r="18" spans="1:14" ht="17.25" x14ac:dyDescent="0.25">
      <c r="A18" s="266">
        <v>15</v>
      </c>
      <c r="B18" s="275">
        <v>4054118780</v>
      </c>
      <c r="C18" s="323" t="s">
        <v>1504</v>
      </c>
      <c r="D18" s="275" t="s">
        <v>17</v>
      </c>
      <c r="E18" s="275" t="s">
        <v>1097</v>
      </c>
      <c r="F18" s="275" t="str">
        <f t="shared" si="0"/>
        <v>Rétirétardivement-30000FCFAamende</v>
      </c>
      <c r="G18" s="301">
        <v>45482</v>
      </c>
      <c r="H18" s="344"/>
      <c r="I18" s="344"/>
      <c r="J18" s="324"/>
      <c r="K18" s="747"/>
      <c r="L18" s="748"/>
      <c r="M18" s="748"/>
      <c r="N18" s="749"/>
    </row>
    <row r="19" spans="1:14" ht="17.25" x14ac:dyDescent="0.25">
      <c r="A19" s="266">
        <v>16</v>
      </c>
      <c r="B19" s="275">
        <v>4054044780</v>
      </c>
      <c r="C19" s="323" t="s">
        <v>1372</v>
      </c>
      <c r="D19" s="275" t="s">
        <v>17</v>
      </c>
      <c r="E19" s="275" t="s">
        <v>1207</v>
      </c>
      <c r="F19" s="275" t="str">
        <f t="shared" si="0"/>
        <v>Rétirédanslesdélais</v>
      </c>
      <c r="G19" s="301">
        <v>45464</v>
      </c>
      <c r="H19" s="344"/>
      <c r="I19" s="344"/>
      <c r="J19" s="324"/>
      <c r="K19" s="747"/>
      <c r="L19" s="748"/>
      <c r="M19" s="748"/>
      <c r="N19" s="749"/>
    </row>
    <row r="20" spans="1:14" ht="17.25" x14ac:dyDescent="0.25">
      <c r="A20" s="266">
        <v>17</v>
      </c>
      <c r="B20" s="275">
        <v>4054121180</v>
      </c>
      <c r="C20" s="323" t="s">
        <v>1075</v>
      </c>
      <c r="D20" s="275" t="s">
        <v>17</v>
      </c>
      <c r="E20" s="275" t="s">
        <v>1207</v>
      </c>
      <c r="F20" s="275" t="str">
        <f t="shared" si="0"/>
        <v>Rétirédanslesdélais</v>
      </c>
      <c r="G20" s="301">
        <v>45470</v>
      </c>
      <c r="H20" s="344"/>
      <c r="I20" s="344"/>
      <c r="J20" s="324"/>
      <c r="K20" s="732"/>
      <c r="L20" s="732"/>
      <c r="M20" s="732"/>
      <c r="N20" s="732"/>
    </row>
  </sheetData>
  <autoFilter ref="A4:N8" xr:uid="{4990FBFD-B240-49B0-838F-2EB6A21B18BB}">
    <filterColumn colId="10" showButton="0"/>
    <filterColumn colId="11" showButton="0"/>
    <filterColumn colId="12" showButton="0"/>
    <sortState xmlns:xlrd2="http://schemas.microsoft.com/office/spreadsheetml/2017/richdata2" ref="A5:N12">
      <sortCondition ref="C4:C8"/>
    </sortState>
  </autoFilter>
  <mergeCells count="19">
    <mergeCell ref="K13:N13"/>
    <mergeCell ref="F1:G1"/>
    <mergeCell ref="A2:B2"/>
    <mergeCell ref="K4:N4"/>
    <mergeCell ref="K5:N5"/>
    <mergeCell ref="K6:N6"/>
    <mergeCell ref="K7:N7"/>
    <mergeCell ref="K8:N8"/>
    <mergeCell ref="K9:N9"/>
    <mergeCell ref="K10:N10"/>
    <mergeCell ref="K11:N11"/>
    <mergeCell ref="K12:N12"/>
    <mergeCell ref="K20:N20"/>
    <mergeCell ref="K14:N14"/>
    <mergeCell ref="K15:N15"/>
    <mergeCell ref="K16:N16"/>
    <mergeCell ref="K17:N17"/>
    <mergeCell ref="K18:N18"/>
    <mergeCell ref="K19:N19"/>
  </mergeCells>
  <conditionalFormatting sqref="B1:B3 B22:B1048576">
    <cfRule type="duplicateValues" dxfId="601" priority="561"/>
    <cfRule type="duplicateValues" dxfId="600" priority="562"/>
    <cfRule type="duplicateValues" dxfId="599" priority="563"/>
  </conditionalFormatting>
  <conditionalFormatting sqref="B1:B3">
    <cfRule type="duplicateValues" dxfId="598" priority="17"/>
    <cfRule type="duplicateValues" dxfId="597" priority="18"/>
    <cfRule type="duplicateValues" dxfId="596" priority="19"/>
    <cfRule type="duplicateValues" dxfId="595" priority="20"/>
  </conditionalFormatting>
  <conditionalFormatting sqref="B1:B4 B21:B1048576">
    <cfRule type="duplicateValues" dxfId="594" priority="549"/>
    <cfRule type="duplicateValues" dxfId="593" priority="550"/>
    <cfRule type="duplicateValues" dxfId="592" priority="551"/>
  </conditionalFormatting>
  <conditionalFormatting sqref="B1:B1048576">
    <cfRule type="duplicateValues" dxfId="591" priority="1"/>
    <cfRule type="duplicateValues" dxfId="590" priority="573"/>
  </conditionalFormatting>
  <conditionalFormatting sqref="B5:B20">
    <cfRule type="duplicateValues" dxfId="589" priority="21"/>
    <cfRule type="duplicateValues" dxfId="588" priority="22"/>
    <cfRule type="duplicateValues" dxfId="587" priority="23"/>
  </conditionalFormatting>
  <conditionalFormatting sqref="B5:F20">
    <cfRule type="containsText" dxfId="586" priority="12" operator="containsText" text="En Attente d'un Retrait Tardif">
      <formula>NOT(ISERROR(SEARCH("En Attente d'un Retrait Tardif",B5)))</formula>
    </cfRule>
    <cfRule type="containsText" dxfId="585" priority="13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683A-CE86-4E6F-9D9B-09BD08FC7DD6}">
  <sheetPr codeName="Feuil66">
    <tabColor theme="5" tint="-0.249977111117893"/>
  </sheetPr>
  <dimension ref="A1:N14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37.140625" style="292" customWidth="1"/>
    <col min="4" max="5" width="15.85546875" style="292" customWidth="1"/>
    <col min="6" max="6" width="38" customWidth="1"/>
    <col min="7" max="7" width="15" style="208" customWidth="1"/>
    <col min="8" max="8" width="15.42578125" style="208" customWidth="1"/>
    <col min="9" max="10" width="10.5703125" style="208" customWidth="1"/>
    <col min="11" max="11" width="14.140625" customWidth="1"/>
    <col min="12" max="14" width="10.85546875" customWidth="1"/>
  </cols>
  <sheetData>
    <row r="1" spans="1:14" ht="16.5" thickBot="1" x14ac:dyDescent="0.3">
      <c r="A1" s="98" t="s">
        <v>1505</v>
      </c>
      <c r="B1" s="98"/>
      <c r="C1" s="288"/>
      <c r="D1" s="288"/>
      <c r="E1" s="288"/>
      <c r="F1" s="729"/>
      <c r="G1" s="729"/>
    </row>
    <row r="2" spans="1:14" ht="24" thickBot="1" x14ac:dyDescent="0.3">
      <c r="A2" s="730" t="s">
        <v>0</v>
      </c>
      <c r="B2" s="730"/>
      <c r="C2" s="25"/>
      <c r="D2" s="25"/>
      <c r="E2" s="25"/>
      <c r="F2" s="314">
        <v>45458</v>
      </c>
      <c r="G2" s="315">
        <f ca="1">TODAY()</f>
        <v>46096</v>
      </c>
      <c r="H2" s="340"/>
      <c r="I2" s="340"/>
      <c r="J2" s="5">
        <f ca="1">G2-F2</f>
        <v>638</v>
      </c>
    </row>
    <row r="3" spans="1:14" x14ac:dyDescent="0.25">
      <c r="F3" s="105"/>
    </row>
    <row r="4" spans="1:14" ht="17.25" x14ac:dyDescent="0.25">
      <c r="A4" s="318" t="s">
        <v>1</v>
      </c>
      <c r="B4" s="335" t="s">
        <v>2</v>
      </c>
      <c r="C4" s="336" t="s">
        <v>5</v>
      </c>
      <c r="D4" s="318" t="s">
        <v>1065</v>
      </c>
      <c r="E4" s="318" t="s">
        <v>1066</v>
      </c>
      <c r="F4" s="318" t="s">
        <v>7</v>
      </c>
      <c r="G4" s="318" t="s">
        <v>1068</v>
      </c>
      <c r="H4" s="318" t="s">
        <v>8</v>
      </c>
      <c r="I4" s="318" t="s">
        <v>9</v>
      </c>
      <c r="J4" s="318" t="s">
        <v>10</v>
      </c>
      <c r="K4" s="733" t="s">
        <v>11</v>
      </c>
      <c r="L4" s="733"/>
      <c r="M4" s="733"/>
      <c r="N4" s="733"/>
    </row>
    <row r="5" spans="1:14" ht="18.75" customHeight="1" x14ac:dyDescent="0.25">
      <c r="A5" s="266">
        <v>1</v>
      </c>
      <c r="B5" s="275">
        <v>4054058400</v>
      </c>
      <c r="C5" s="323" t="s">
        <v>1448</v>
      </c>
      <c r="D5" s="275" t="s">
        <v>17</v>
      </c>
      <c r="E5" s="275" t="s">
        <v>1207</v>
      </c>
      <c r="F5" s="275" t="str">
        <f t="shared" ref="F5:F12" si="0">IF(G5="",IF($J$2&lt;=15,"EnattentedeRetrait","EnAttented'unRetraitTardif"),IF(G5-$F$2&lt;=15,"Rétirédanslesdélais",IF(G5-$F$2&gt;15,"Rétirétardivement-30000FCFAamende")))</f>
        <v>Rétirédanslesdélais</v>
      </c>
      <c r="G5" s="301">
        <v>45467</v>
      </c>
      <c r="H5" s="341"/>
      <c r="I5" s="341"/>
      <c r="J5" s="324"/>
      <c r="K5" s="747"/>
      <c r="L5" s="748"/>
      <c r="M5" s="748"/>
      <c r="N5" s="749"/>
    </row>
    <row r="6" spans="1:14" ht="18.75" customHeight="1" x14ac:dyDescent="0.25">
      <c r="A6" s="266">
        <v>2</v>
      </c>
      <c r="B6" s="275">
        <v>4054064350</v>
      </c>
      <c r="C6" s="323" t="s">
        <v>1157</v>
      </c>
      <c r="D6" s="275" t="s">
        <v>17</v>
      </c>
      <c r="E6" s="275" t="s">
        <v>1097</v>
      </c>
      <c r="F6" s="275" t="str">
        <f t="shared" si="0"/>
        <v>Rétirédanslesdélais</v>
      </c>
      <c r="G6" s="301">
        <v>45464</v>
      </c>
      <c r="H6" s="324">
        <v>814000</v>
      </c>
      <c r="I6" s="301"/>
      <c r="J6" s="280"/>
      <c r="K6" s="747" t="s">
        <v>1506</v>
      </c>
      <c r="L6" s="748"/>
      <c r="M6" s="748"/>
      <c r="N6" s="749"/>
    </row>
    <row r="7" spans="1:14" ht="18.75" customHeight="1" x14ac:dyDescent="0.25">
      <c r="A7" s="266">
        <v>3</v>
      </c>
      <c r="B7" s="275">
        <v>4054044590</v>
      </c>
      <c r="C7" s="323" t="s">
        <v>1507</v>
      </c>
      <c r="D7" s="275" t="s">
        <v>17</v>
      </c>
      <c r="E7" s="275" t="s">
        <v>1097</v>
      </c>
      <c r="F7" s="275" t="str">
        <f t="shared" si="0"/>
        <v>Rétirétardivement-30000FCFAamende</v>
      </c>
      <c r="G7" s="301">
        <v>45490</v>
      </c>
      <c r="H7" s="324">
        <v>220000</v>
      </c>
      <c r="I7" s="341"/>
      <c r="J7" s="324"/>
      <c r="K7" s="747"/>
      <c r="L7" s="748"/>
      <c r="M7" s="748"/>
      <c r="N7" s="749"/>
    </row>
    <row r="8" spans="1:14" ht="18.75" customHeight="1" x14ac:dyDescent="0.25">
      <c r="A8" s="266">
        <v>4</v>
      </c>
      <c r="B8" s="275">
        <v>4121149400</v>
      </c>
      <c r="C8" s="323" t="s">
        <v>1350</v>
      </c>
      <c r="D8" s="275" t="s">
        <v>17</v>
      </c>
      <c r="E8" s="275" t="s">
        <v>1207</v>
      </c>
      <c r="F8" s="275" t="str">
        <f t="shared" si="0"/>
        <v>Rétirédanslesdélais</v>
      </c>
      <c r="G8" s="301">
        <v>45468</v>
      </c>
      <c r="H8" s="341"/>
      <c r="I8" s="341"/>
      <c r="J8" s="324"/>
      <c r="K8" s="747" t="s">
        <v>42</v>
      </c>
      <c r="L8" s="748"/>
      <c r="M8" s="748"/>
      <c r="N8" s="749"/>
    </row>
    <row r="9" spans="1:14" ht="17.25" customHeight="1" x14ac:dyDescent="0.25">
      <c r="A9" s="266">
        <v>5</v>
      </c>
      <c r="B9" s="275">
        <v>2147551090</v>
      </c>
      <c r="C9" s="323" t="s">
        <v>1117</v>
      </c>
      <c r="D9" s="275" t="s">
        <v>17</v>
      </c>
      <c r="E9" s="275" t="s">
        <v>1097</v>
      </c>
      <c r="F9" s="275" t="str">
        <f t="shared" si="0"/>
        <v>Rétirédanslesdélais</v>
      </c>
      <c r="G9" s="301">
        <v>45467</v>
      </c>
      <c r="H9" s="341"/>
      <c r="I9" s="341"/>
      <c r="J9" s="324"/>
      <c r="K9" s="747"/>
      <c r="L9" s="748"/>
      <c r="M9" s="748"/>
      <c r="N9" s="749"/>
    </row>
    <row r="10" spans="1:14" ht="17.25" customHeight="1" x14ac:dyDescent="0.25">
      <c r="A10" s="266">
        <v>6</v>
      </c>
      <c r="B10" s="275">
        <v>2147513680</v>
      </c>
      <c r="C10" s="323" t="s">
        <v>1117</v>
      </c>
      <c r="D10" s="275" t="s">
        <v>17</v>
      </c>
      <c r="E10" s="275" t="s">
        <v>1207</v>
      </c>
      <c r="F10" s="275" t="str">
        <f t="shared" si="0"/>
        <v>Rétirédanslesdélais</v>
      </c>
      <c r="G10" s="301">
        <v>45467</v>
      </c>
      <c r="H10" s="341"/>
      <c r="I10" s="341"/>
      <c r="J10" s="324"/>
      <c r="K10" s="747"/>
      <c r="L10" s="748"/>
      <c r="M10" s="748"/>
      <c r="N10" s="749"/>
    </row>
    <row r="11" spans="1:14" ht="17.25" customHeight="1" x14ac:dyDescent="0.25">
      <c r="A11" s="266">
        <v>7</v>
      </c>
      <c r="B11" s="275">
        <v>2147450960</v>
      </c>
      <c r="C11" s="323" t="s">
        <v>43</v>
      </c>
      <c r="D11" s="275" t="s">
        <v>17</v>
      </c>
      <c r="E11" s="275" t="s">
        <v>1097</v>
      </c>
      <c r="F11" s="275" t="str">
        <f t="shared" si="0"/>
        <v>Rétirédanslesdélais</v>
      </c>
      <c r="G11" s="301">
        <v>45463</v>
      </c>
      <c r="H11" s="341"/>
      <c r="I11" s="341"/>
      <c r="J11" s="324"/>
      <c r="K11" s="747" t="s">
        <v>42</v>
      </c>
      <c r="L11" s="748"/>
      <c r="M11" s="748"/>
      <c r="N11" s="749"/>
    </row>
    <row r="12" spans="1:14" ht="17.25" customHeight="1" x14ac:dyDescent="0.25">
      <c r="A12" s="266">
        <v>8</v>
      </c>
      <c r="B12" s="275">
        <v>2147450950</v>
      </c>
      <c r="C12" s="323" t="s">
        <v>43</v>
      </c>
      <c r="D12" s="275" t="s">
        <v>17</v>
      </c>
      <c r="E12" s="275" t="s">
        <v>1097</v>
      </c>
      <c r="F12" s="275" t="str">
        <f t="shared" si="0"/>
        <v>Rétirédanslesdélais</v>
      </c>
      <c r="G12" s="301">
        <v>45463</v>
      </c>
      <c r="H12" s="341"/>
      <c r="I12" s="341"/>
      <c r="J12" s="324"/>
      <c r="K12" s="732" t="s">
        <v>42</v>
      </c>
      <c r="L12" s="732"/>
      <c r="M12" s="732"/>
      <c r="N12" s="732"/>
    </row>
    <row r="14" spans="1:14" ht="15.75" x14ac:dyDescent="0.25">
      <c r="B14" s="322"/>
    </row>
  </sheetData>
  <autoFilter ref="A4:N8" xr:uid="{4990FBFD-B240-49B0-838F-2EB6A21B18BB}">
    <filterColumn colId="10" showButton="0"/>
    <filterColumn colId="11" showButton="0"/>
    <filterColumn colId="12" showButton="0"/>
    <sortState xmlns:xlrd2="http://schemas.microsoft.com/office/spreadsheetml/2017/richdata2" ref="A5:N12">
      <sortCondition ref="C4:C8"/>
    </sortState>
  </autoFilter>
  <mergeCells count="11">
    <mergeCell ref="K11:N11"/>
    <mergeCell ref="K12:N12"/>
    <mergeCell ref="F1:G1"/>
    <mergeCell ref="A2:B2"/>
    <mergeCell ref="K4:N4"/>
    <mergeCell ref="K5:N5"/>
    <mergeCell ref="K6:N6"/>
    <mergeCell ref="K7:N7"/>
    <mergeCell ref="K8:N8"/>
    <mergeCell ref="K9:N9"/>
    <mergeCell ref="K10:N10"/>
  </mergeCells>
  <conditionalFormatting sqref="B1:B3">
    <cfRule type="duplicateValues" dxfId="584" priority="19"/>
    <cfRule type="duplicateValues" dxfId="583" priority="20"/>
    <cfRule type="duplicateValues" dxfId="582" priority="21"/>
    <cfRule type="duplicateValues" dxfId="581" priority="22"/>
  </conditionalFormatting>
  <conditionalFormatting sqref="B1:B4 B13 B15:B1048576">
    <cfRule type="duplicateValues" dxfId="580" priority="578"/>
    <cfRule type="duplicateValues" dxfId="579" priority="579"/>
  </conditionalFormatting>
  <conditionalFormatting sqref="B1:B4 B13:B1048576">
    <cfRule type="duplicateValues" dxfId="578" priority="574"/>
  </conditionalFormatting>
  <conditionalFormatting sqref="B1:B1048576">
    <cfRule type="duplicateValues" dxfId="577" priority="1"/>
  </conditionalFormatting>
  <conditionalFormatting sqref="B5:B12">
    <cfRule type="duplicateValues" dxfId="576" priority="4"/>
    <cfRule type="duplicateValues" dxfId="575" priority="5"/>
    <cfRule type="duplicateValues" dxfId="574" priority="6"/>
  </conditionalFormatting>
  <conditionalFormatting sqref="B16:B1048576 B1:B3">
    <cfRule type="duplicateValues" dxfId="573" priority="588"/>
    <cfRule type="duplicateValues" dxfId="572" priority="589"/>
    <cfRule type="duplicateValues" dxfId="571" priority="590"/>
  </conditionalFormatting>
  <conditionalFormatting sqref="B5:F12">
    <cfRule type="containsText" dxfId="570" priority="7" operator="containsText" text="En Attente d'un Retrait Tardif">
      <formula>NOT(ISERROR(SEARCH("En Attente d'un Retrait Tardif",B5)))</formula>
    </cfRule>
    <cfRule type="containsText" dxfId="569" priority="8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D41B-4DA9-4767-9763-3251E6B71185}">
  <sheetPr codeName="Feuil67">
    <tabColor theme="5" tint="-0.249977111117893"/>
  </sheetPr>
  <dimension ref="A1:N9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37.140625" style="292" customWidth="1"/>
    <col min="4" max="5" width="15.85546875" style="292" customWidth="1"/>
    <col min="6" max="6" width="38" customWidth="1"/>
    <col min="7" max="7" width="15" style="208" customWidth="1"/>
    <col min="8" max="10" width="10.5703125" style="208" customWidth="1"/>
    <col min="11" max="14" width="8.5703125" customWidth="1"/>
  </cols>
  <sheetData>
    <row r="1" spans="1:14" ht="16.5" thickBot="1" x14ac:dyDescent="0.3">
      <c r="A1" s="98" t="s">
        <v>1508</v>
      </c>
      <c r="B1" s="98"/>
      <c r="C1" s="288"/>
      <c r="D1" s="288"/>
      <c r="E1" s="288"/>
      <c r="F1" s="729"/>
      <c r="G1" s="729"/>
    </row>
    <row r="2" spans="1:14" ht="24" thickBot="1" x14ac:dyDescent="0.3">
      <c r="A2" s="730" t="s">
        <v>0</v>
      </c>
      <c r="B2" s="730"/>
      <c r="C2" s="25"/>
      <c r="D2" s="25"/>
      <c r="E2" s="25"/>
      <c r="F2" s="314">
        <v>45460</v>
      </c>
      <c r="G2" s="315">
        <f ca="1">TODAY()</f>
        <v>46096</v>
      </c>
      <c r="H2" s="340"/>
      <c r="I2" s="340"/>
      <c r="J2" s="5">
        <f ca="1">G2-F2</f>
        <v>636</v>
      </c>
    </row>
    <row r="3" spans="1:14" x14ac:dyDescent="0.25">
      <c r="F3" s="105"/>
    </row>
    <row r="4" spans="1:14" ht="17.25" x14ac:dyDescent="0.25">
      <c r="A4" s="318" t="s">
        <v>1</v>
      </c>
      <c r="B4" s="335" t="s">
        <v>2</v>
      </c>
      <c r="C4" s="336" t="s">
        <v>5</v>
      </c>
      <c r="D4" s="318" t="s">
        <v>1065</v>
      </c>
      <c r="E4" s="318" t="s">
        <v>1066</v>
      </c>
      <c r="F4" s="318" t="s">
        <v>7</v>
      </c>
      <c r="G4" s="318" t="s">
        <v>1068</v>
      </c>
      <c r="H4" s="318" t="s">
        <v>8</v>
      </c>
      <c r="I4" s="318" t="s">
        <v>9</v>
      </c>
      <c r="J4" s="318" t="s">
        <v>10</v>
      </c>
      <c r="K4" s="733" t="s">
        <v>11</v>
      </c>
      <c r="L4" s="733"/>
      <c r="M4" s="733"/>
      <c r="N4" s="733"/>
    </row>
    <row r="5" spans="1:14" ht="17.25" x14ac:dyDescent="0.25">
      <c r="A5" s="266">
        <v>10</v>
      </c>
      <c r="B5" s="347">
        <v>4054130820</v>
      </c>
      <c r="C5" s="323" t="s">
        <v>1141</v>
      </c>
      <c r="D5" s="275" t="s">
        <v>17</v>
      </c>
      <c r="E5" s="275" t="s">
        <v>44</v>
      </c>
      <c r="F5" s="275" t="str">
        <f>IF(G5="",IF($J$2&lt;=15,"EnattentedeRetrait","EnAttented'unRetraitTardif"),IF(G5-$F$2&lt;=15,"Rétirédanslesdélais",IF(G5-$F$2&gt;15,"Rétirétardivement-30000FCFAamende")))</f>
        <v>Rétirédanslesdélais</v>
      </c>
      <c r="G5" s="301">
        <v>45474</v>
      </c>
      <c r="H5" s="344">
        <v>0</v>
      </c>
      <c r="I5" s="344"/>
      <c r="J5" s="344"/>
      <c r="K5" s="732"/>
      <c r="L5" s="732"/>
      <c r="M5" s="732"/>
      <c r="N5" s="732"/>
    </row>
    <row r="6" spans="1:14" ht="17.25" x14ac:dyDescent="0.25">
      <c r="A6" s="266">
        <v>11</v>
      </c>
      <c r="B6" s="347">
        <v>4054121600</v>
      </c>
      <c r="C6" s="323" t="s">
        <v>1509</v>
      </c>
      <c r="D6" s="275" t="s">
        <v>17</v>
      </c>
      <c r="E6" s="275" t="s">
        <v>44</v>
      </c>
      <c r="F6" s="275" t="str">
        <f>IF(G6="",IF($J$2&lt;=15,"EnattentedeRetrait","EnAttented'unRetraitTardif"),IF(G6-$F$2&lt;=15,"Rétirédanslesdélais",IF(G6-$F$2&gt;15,"Rétirétardivement-30000FCFAamende")))</f>
        <v>Rétirédanslesdélais</v>
      </c>
      <c r="G6" s="301">
        <v>45467</v>
      </c>
      <c r="H6" s="344">
        <v>0</v>
      </c>
      <c r="I6" s="344"/>
      <c r="J6" s="344"/>
      <c r="K6" s="732"/>
      <c r="L6" s="732"/>
      <c r="M6" s="732"/>
      <c r="N6" s="732"/>
    </row>
    <row r="7" spans="1:14" ht="17.25" x14ac:dyDescent="0.25">
      <c r="A7" s="266">
        <v>12</v>
      </c>
      <c r="B7" s="347">
        <v>4054075390</v>
      </c>
      <c r="C7" s="323" t="s">
        <v>21</v>
      </c>
      <c r="D7" s="275" t="s">
        <v>17</v>
      </c>
      <c r="E7" s="275" t="s">
        <v>44</v>
      </c>
      <c r="F7" s="275" t="str">
        <f>IF(G7="",IF($J$2&lt;=15,"EnattentedeRetrait","EnAttented'unRetraitTardif"),IF(G7-$F$2&lt;=15,"Rétirédanslesdélais",IF(G7-$F$2&gt;15,"Rétirétardivement-30000FCFAamende")))</f>
        <v>Rétirédanslesdélais</v>
      </c>
      <c r="G7" s="301">
        <v>45468</v>
      </c>
      <c r="H7" s="344">
        <v>0</v>
      </c>
      <c r="I7" s="344"/>
      <c r="J7" s="344"/>
      <c r="K7" s="732"/>
      <c r="L7" s="732"/>
      <c r="M7" s="732"/>
      <c r="N7" s="732"/>
    </row>
    <row r="8" spans="1:14" ht="17.25" x14ac:dyDescent="0.25">
      <c r="A8" s="266">
        <v>13</v>
      </c>
      <c r="B8" s="347">
        <v>4054136290</v>
      </c>
      <c r="C8" s="323" t="s">
        <v>1138</v>
      </c>
      <c r="D8" s="275" t="s">
        <v>17</v>
      </c>
      <c r="E8" s="275" t="s">
        <v>44</v>
      </c>
      <c r="F8" s="275" t="str">
        <f>IF(G8="",IF($J$2&lt;=15,"EnattentedeRetrait","EnAttented'unRetraitTardif"),IF(G8-$F$2&lt;=15,"Rétirédanslesdélais",IF(G8-$F$2&gt;15,"Rétirétardivement-30000FCFAamende")))</f>
        <v>Rétirédanslesdélais</v>
      </c>
      <c r="G8" s="301">
        <v>45470</v>
      </c>
      <c r="H8" s="344">
        <v>0</v>
      </c>
      <c r="I8" s="344"/>
      <c r="J8" s="344"/>
      <c r="K8" s="732"/>
      <c r="L8" s="732"/>
      <c r="M8" s="732"/>
      <c r="N8" s="732"/>
    </row>
    <row r="9" spans="1:14" ht="17.25" x14ac:dyDescent="0.25">
      <c r="A9" s="266">
        <v>14</v>
      </c>
      <c r="B9" s="347">
        <v>4054138200</v>
      </c>
      <c r="C9" s="323" t="s">
        <v>1119</v>
      </c>
      <c r="D9" s="275" t="s">
        <v>17</v>
      </c>
      <c r="E9" s="275" t="s">
        <v>44</v>
      </c>
      <c r="F9" s="275" t="str">
        <f>IF(G9="",IF($J$2&lt;=15,"EnattentedeRetrait","EnAttented'unRetraitTardif"),IF(G9-$F$2&lt;=15,"Rétirédanslesdélais",IF(G9-$F$2&gt;15,"Rétirétardivement-30000FCFAamende")))</f>
        <v>Rétirédanslesdélais</v>
      </c>
      <c r="G9" s="301">
        <v>45471</v>
      </c>
      <c r="H9" s="344">
        <v>0</v>
      </c>
      <c r="I9" s="344"/>
      <c r="J9" s="344"/>
      <c r="K9" s="732"/>
      <c r="L9" s="732"/>
      <c r="M9" s="732"/>
      <c r="N9" s="732"/>
    </row>
  </sheetData>
  <autoFilter ref="A4:N4" xr:uid="{4990FBFD-B240-49B0-838F-2EB6A21B18BB}">
    <filterColumn colId="10" showButton="0"/>
    <filterColumn colId="11" showButton="0"/>
    <filterColumn colId="12" showButton="0"/>
    <sortState xmlns:xlrd2="http://schemas.microsoft.com/office/spreadsheetml/2017/richdata2" ref="A4:N5">
      <sortCondition ref="C4"/>
    </sortState>
  </autoFilter>
  <mergeCells count="8">
    <mergeCell ref="K9:N9"/>
    <mergeCell ref="F1:G1"/>
    <mergeCell ref="A2:B2"/>
    <mergeCell ref="K4:N4"/>
    <mergeCell ref="K6:N6"/>
    <mergeCell ref="K7:N7"/>
    <mergeCell ref="K8:N8"/>
    <mergeCell ref="K5:N5"/>
  </mergeCells>
  <conditionalFormatting sqref="B1:B3 B14:B1048576">
    <cfRule type="duplicateValues" dxfId="568" priority="464"/>
    <cfRule type="duplicateValues" dxfId="567" priority="465"/>
    <cfRule type="duplicateValues" dxfId="566" priority="466"/>
  </conditionalFormatting>
  <conditionalFormatting sqref="B1:B3">
    <cfRule type="duplicateValues" dxfId="565" priority="16"/>
    <cfRule type="duplicateValues" dxfId="564" priority="17"/>
    <cfRule type="duplicateValues" dxfId="563" priority="18"/>
    <cfRule type="duplicateValues" dxfId="562" priority="19"/>
  </conditionalFormatting>
  <conditionalFormatting sqref="B1:B4 B10:B1048576">
    <cfRule type="duplicateValues" dxfId="561" priority="452"/>
    <cfRule type="duplicateValues" dxfId="560" priority="453"/>
    <cfRule type="duplicateValues" dxfId="559" priority="454"/>
  </conditionalFormatting>
  <conditionalFormatting sqref="B1:B1048576">
    <cfRule type="duplicateValues" dxfId="558" priority="1"/>
    <cfRule type="duplicateValues" dxfId="557" priority="449"/>
  </conditionalFormatting>
  <conditionalFormatting sqref="B5:B9">
    <cfRule type="duplicateValues" dxfId="556" priority="326"/>
    <cfRule type="duplicateValues" dxfId="555" priority="327"/>
    <cfRule type="duplicateValues" dxfId="554" priority="328"/>
  </conditionalFormatting>
  <conditionalFormatting sqref="B5:F9">
    <cfRule type="containsText" dxfId="553" priority="3" operator="containsText" text="En Attente d'un Retrait Tardif">
      <formula>NOT(ISERROR(SEARCH("En Attente d'un Retrait Tardif",B5)))</formula>
    </cfRule>
    <cfRule type="containsText" dxfId="552" priority="4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7EA4-1265-4F84-A181-33E8E1AC4C7B}">
  <sheetPr codeName="Feuil68">
    <tabColor theme="5" tint="-0.249977111117893"/>
  </sheetPr>
  <dimension ref="A1:N8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37.140625" style="292" customWidth="1"/>
    <col min="4" max="5" width="15.85546875" style="292" customWidth="1"/>
    <col min="6" max="6" width="38" customWidth="1"/>
    <col min="7" max="7" width="15" style="208" customWidth="1"/>
    <col min="8" max="8" width="14.85546875" style="208" customWidth="1"/>
    <col min="9" max="9" width="19.140625" style="208" customWidth="1"/>
    <col min="10" max="10" width="10.5703125" style="208" customWidth="1"/>
    <col min="11" max="11" width="14.140625" customWidth="1"/>
    <col min="12" max="14" width="10.85546875" customWidth="1"/>
  </cols>
  <sheetData>
    <row r="1" spans="1:14" ht="16.5" thickBot="1" x14ac:dyDescent="0.3">
      <c r="A1" s="98" t="s">
        <v>1510</v>
      </c>
      <c r="B1" s="98"/>
      <c r="C1" s="288"/>
      <c r="D1" s="288"/>
      <c r="E1" s="288"/>
      <c r="F1" s="729"/>
      <c r="G1" s="729"/>
    </row>
    <row r="2" spans="1:14" ht="24" thickBot="1" x14ac:dyDescent="0.3">
      <c r="A2" s="730" t="s">
        <v>0</v>
      </c>
      <c r="B2" s="730"/>
      <c r="C2" s="25"/>
      <c r="D2" s="25"/>
      <c r="E2" s="25"/>
      <c r="F2" s="314">
        <v>45461</v>
      </c>
      <c r="G2" s="315">
        <f ca="1">TODAY()</f>
        <v>46096</v>
      </c>
      <c r="H2" s="340"/>
      <c r="I2" s="340"/>
      <c r="J2" s="5">
        <f ca="1">G2-F2</f>
        <v>635</v>
      </c>
    </row>
    <row r="3" spans="1:14" x14ac:dyDescent="0.25">
      <c r="F3" s="105"/>
    </row>
    <row r="4" spans="1:14" ht="17.25" x14ac:dyDescent="0.25">
      <c r="A4" s="318" t="s">
        <v>1</v>
      </c>
      <c r="B4" s="335" t="s">
        <v>2</v>
      </c>
      <c r="C4" s="336" t="s">
        <v>5</v>
      </c>
      <c r="D4" s="318" t="s">
        <v>1065</v>
      </c>
      <c r="E4" s="318" t="s">
        <v>1066</v>
      </c>
      <c r="F4" s="318" t="s">
        <v>7</v>
      </c>
      <c r="G4" s="318" t="s">
        <v>1068</v>
      </c>
      <c r="H4" s="318" t="s">
        <v>8</v>
      </c>
      <c r="I4" s="318" t="s">
        <v>9</v>
      </c>
      <c r="J4" s="318" t="s">
        <v>10</v>
      </c>
      <c r="K4" s="733" t="s">
        <v>11</v>
      </c>
      <c r="L4" s="733"/>
      <c r="M4" s="733"/>
      <c r="N4" s="733"/>
    </row>
    <row r="5" spans="1:14" ht="18.75" customHeight="1" x14ac:dyDescent="0.25">
      <c r="A5" s="266">
        <v>2</v>
      </c>
      <c r="B5" s="275">
        <v>4054114330</v>
      </c>
      <c r="C5" s="323" t="s">
        <v>1125</v>
      </c>
      <c r="D5" s="275" t="s">
        <v>17</v>
      </c>
      <c r="E5" s="275" t="s">
        <v>1143</v>
      </c>
      <c r="F5" s="275" t="str">
        <f>IF(G5="",IF($J$2&lt;=15,"EnattentedeRetrait","EnAttented'unRetraitTardif"),IF(G5-$F$2&lt;=15,"Rétirédanslesdélais",IF(G5-$F$2&gt;15,"Rétirétardivement-30000FCFAamende")))</f>
        <v>Rétirédanslesdélais</v>
      </c>
      <c r="G5" s="301">
        <v>45464</v>
      </c>
      <c r="H5" s="324"/>
      <c r="I5" s="342"/>
      <c r="J5" s="343"/>
      <c r="K5" s="747"/>
      <c r="L5" s="748"/>
      <c r="M5" s="748"/>
      <c r="N5" s="749"/>
    </row>
    <row r="6" spans="1:14" ht="18.75" customHeight="1" x14ac:dyDescent="0.25">
      <c r="A6" s="266">
        <v>3</v>
      </c>
      <c r="B6" s="275">
        <v>4054099640</v>
      </c>
      <c r="C6" s="323" t="s">
        <v>46</v>
      </c>
      <c r="D6" s="275" t="s">
        <v>17</v>
      </c>
      <c r="E6" s="275" t="s">
        <v>1207</v>
      </c>
      <c r="F6" s="275" t="str">
        <f>IF(G6="",IF($J$2&lt;=15,"EnattentedeRetrait","EnAttented'unRetraitTardif"),IF(G6-$F$2&lt;=15,"Rétirédanslesdélais",IF(G6-$F$2&gt;15,"Rétirétardivement-30000FCFAamende")))</f>
        <v>Rétirédanslesdélais</v>
      </c>
      <c r="G6" s="301">
        <v>45467</v>
      </c>
      <c r="H6" s="324"/>
      <c r="I6" s="344"/>
      <c r="J6" s="324"/>
      <c r="K6" s="747"/>
      <c r="L6" s="748"/>
      <c r="M6" s="748"/>
      <c r="N6" s="749"/>
    </row>
    <row r="7" spans="1:14" ht="18.75" customHeight="1" x14ac:dyDescent="0.25">
      <c r="A7" s="266">
        <v>4</v>
      </c>
      <c r="B7" s="275">
        <v>4121139850</v>
      </c>
      <c r="C7" s="323" t="s">
        <v>1122</v>
      </c>
      <c r="D7" s="275" t="s">
        <v>17</v>
      </c>
      <c r="E7" s="275" t="s">
        <v>1207</v>
      </c>
      <c r="F7" s="275" t="str">
        <f>IF(G7="",IF($J$2&lt;=15,"EnattentedeRetrait","EnAttented'unRetraitTardif"),IF(G7-$F$2&lt;=15,"Rétirédanslesdélais",IF(G7-$F$2&gt;15,"Rétirétardivement-30000FCFAamende")))</f>
        <v>Rétirédanslesdélais</v>
      </c>
      <c r="G7" s="301">
        <v>45476</v>
      </c>
      <c r="H7" s="344"/>
      <c r="I7" s="344" t="s">
        <v>1511</v>
      </c>
      <c r="J7" s="324"/>
      <c r="K7" s="747"/>
      <c r="L7" s="748"/>
      <c r="M7" s="748"/>
      <c r="N7" s="749"/>
    </row>
    <row r="8" spans="1:14" ht="17.25" customHeight="1" x14ac:dyDescent="0.25">
      <c r="A8" s="266">
        <v>5</v>
      </c>
      <c r="B8" s="275">
        <v>2148256220</v>
      </c>
      <c r="C8" s="323" t="s">
        <v>43</v>
      </c>
      <c r="D8" s="275" t="s">
        <v>17</v>
      </c>
      <c r="E8" s="275" t="s">
        <v>1207</v>
      </c>
      <c r="F8" s="275" t="str">
        <f>IF(G8="",IF($J$2&lt;=15,"EnattentedeRetrait","EnAttented'unRetraitTardif"),IF(G8-$F$2&lt;=15,"Rétirédanslesdélais",IF(G8-$F$2&gt;15,"Rétirétardivement-30000FCFAamende")))</f>
        <v>Rétirédanslesdélais</v>
      </c>
      <c r="G8" s="301">
        <v>45464</v>
      </c>
      <c r="H8" s="344"/>
      <c r="I8" s="344" t="s">
        <v>1512</v>
      </c>
      <c r="J8" s="324"/>
      <c r="K8" s="732" t="s">
        <v>42</v>
      </c>
      <c r="L8" s="732"/>
      <c r="M8" s="732"/>
      <c r="N8" s="732"/>
    </row>
  </sheetData>
  <autoFilter ref="A4:N7" xr:uid="{4990FBFD-B240-49B0-838F-2EB6A21B18BB}">
    <filterColumn colId="10" showButton="0"/>
    <filterColumn colId="11" showButton="0"/>
    <filterColumn colId="12" showButton="0"/>
    <sortState xmlns:xlrd2="http://schemas.microsoft.com/office/spreadsheetml/2017/richdata2" ref="A5:N11">
      <sortCondition ref="C4:C7"/>
    </sortState>
  </autoFilter>
  <mergeCells count="7">
    <mergeCell ref="K7:N7"/>
    <mergeCell ref="K8:N8"/>
    <mergeCell ref="K6:N6"/>
    <mergeCell ref="F1:G1"/>
    <mergeCell ref="A2:B2"/>
    <mergeCell ref="K4:N4"/>
    <mergeCell ref="K5:N5"/>
  </mergeCells>
  <conditionalFormatting sqref="B1:B3 B17:B20 B29:B1048576">
    <cfRule type="duplicateValues" dxfId="551" priority="450"/>
    <cfRule type="duplicateValues" dxfId="550" priority="451"/>
    <cfRule type="duplicateValues" dxfId="549" priority="452"/>
  </conditionalFormatting>
  <conditionalFormatting sqref="B1:B3">
    <cfRule type="duplicateValues" dxfId="548" priority="27"/>
    <cfRule type="duplicateValues" dxfId="547" priority="28"/>
    <cfRule type="duplicateValues" dxfId="546" priority="29"/>
    <cfRule type="duplicateValues" dxfId="545" priority="30"/>
  </conditionalFormatting>
  <conditionalFormatting sqref="B1:B4 B9:B20 B29:B1048576">
    <cfRule type="duplicateValues" dxfId="544" priority="438"/>
    <cfRule type="duplicateValues" dxfId="543" priority="439"/>
    <cfRule type="duplicateValues" dxfId="542" priority="440"/>
  </conditionalFormatting>
  <conditionalFormatting sqref="B1:B20 B29:B1048576">
    <cfRule type="duplicateValues" dxfId="541" priority="5"/>
  </conditionalFormatting>
  <conditionalFormatting sqref="B5:B8">
    <cfRule type="duplicateValues" dxfId="540" priority="326"/>
    <cfRule type="duplicateValues" dxfId="539" priority="327"/>
    <cfRule type="duplicateValues" dxfId="538" priority="328"/>
  </conditionalFormatting>
  <conditionalFormatting sqref="B5:F8">
    <cfRule type="containsText" dxfId="537" priority="22" operator="containsText" text="En Attente d'un Retrait Tardif">
      <formula>NOT(ISERROR(SEARCH("En Attente d'un Retrait Tardif",B5)))</formula>
    </cfRule>
    <cfRule type="containsText" dxfId="536" priority="23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C9E7-DC8D-4CEF-9FEE-D72F6CD7E681}">
  <sheetPr codeName="Feuil69">
    <tabColor theme="5" tint="-0.249977111117893"/>
  </sheetPr>
  <dimension ref="A1:K23"/>
  <sheetViews>
    <sheetView zoomScaleNormal="100" workbookViewId="0">
      <selection activeCell="B20" sqref="B20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61.5703125" style="292" customWidth="1"/>
    <col min="4" max="4" width="15.85546875" style="292" customWidth="1"/>
    <col min="5" max="5" width="38" customWidth="1"/>
    <col min="6" max="6" width="19.140625" customWidth="1"/>
    <col min="7" max="7" width="35.140625" customWidth="1"/>
    <col min="8" max="8" width="14.140625" customWidth="1"/>
    <col min="9" max="11" width="10.85546875" customWidth="1"/>
  </cols>
  <sheetData>
    <row r="1" spans="1:11" ht="16.5" thickBot="1" x14ac:dyDescent="0.3">
      <c r="A1" s="98" t="s">
        <v>1513</v>
      </c>
      <c r="B1" s="98"/>
      <c r="C1" s="288"/>
      <c r="D1" s="288"/>
      <c r="E1" s="729"/>
      <c r="F1" s="729"/>
    </row>
    <row r="2" spans="1:11" ht="24" thickBot="1" x14ac:dyDescent="0.3">
      <c r="A2" s="730" t="s">
        <v>0</v>
      </c>
      <c r="B2" s="730"/>
      <c r="C2" s="25"/>
      <c r="D2" s="25"/>
      <c r="E2" s="314">
        <v>45436</v>
      </c>
      <c r="F2" s="315">
        <f ca="1">TODAY()</f>
        <v>46096</v>
      </c>
      <c r="G2" s="5">
        <f ca="1">F2-E2</f>
        <v>660</v>
      </c>
    </row>
    <row r="3" spans="1:11" x14ac:dyDescent="0.25">
      <c r="E3" s="105"/>
    </row>
    <row r="4" spans="1:11" ht="17.25" x14ac:dyDescent="0.25">
      <c r="A4" s="318" t="s">
        <v>1</v>
      </c>
      <c r="B4" s="335" t="s">
        <v>2</v>
      </c>
      <c r="C4" s="336" t="s">
        <v>5</v>
      </c>
      <c r="D4" s="318" t="s">
        <v>1065</v>
      </c>
      <c r="E4" s="318" t="s">
        <v>7</v>
      </c>
      <c r="F4" s="321" t="s">
        <v>1514</v>
      </c>
      <c r="G4" s="318" t="s">
        <v>1515</v>
      </c>
      <c r="H4" s="733" t="s">
        <v>11</v>
      </c>
      <c r="I4" s="733"/>
      <c r="J4" s="733"/>
      <c r="K4" s="733"/>
    </row>
    <row r="5" spans="1:11" ht="18.75" customHeight="1" x14ac:dyDescent="0.25">
      <c r="A5" s="266">
        <v>1</v>
      </c>
      <c r="B5" s="275">
        <v>4121173280</v>
      </c>
      <c r="C5" s="323" t="s">
        <v>48</v>
      </c>
      <c r="D5" s="275" t="s">
        <v>49</v>
      </c>
      <c r="E5" s="275" t="str">
        <f t="shared" ref="E5:E20" si="0">IF(F5="",IF($G$2&lt;=15,"EnattentedeRetrait","EnAttented'unRetraitTardif"),IF(F5-$E$2&lt;=15,"Rétirédanslesdélais",IF(F5-$E$2&gt;15,"Rétirétardivement-30000FCFAamende")))</f>
        <v>Rétirédanslesdélais</v>
      </c>
      <c r="F5" s="301">
        <v>45447</v>
      </c>
      <c r="G5" s="324" t="s">
        <v>1516</v>
      </c>
      <c r="H5" s="325"/>
      <c r="I5" s="326"/>
      <c r="J5" s="326"/>
      <c r="K5" s="327"/>
    </row>
    <row r="6" spans="1:11" ht="18.75" customHeight="1" x14ac:dyDescent="0.25">
      <c r="A6" s="266">
        <v>2</v>
      </c>
      <c r="B6" s="275">
        <v>4121116670</v>
      </c>
      <c r="C6" s="323" t="s">
        <v>1517</v>
      </c>
      <c r="D6" s="275" t="s">
        <v>49</v>
      </c>
      <c r="E6" s="275" t="str">
        <f t="shared" si="0"/>
        <v>Rétirédanslesdélais</v>
      </c>
      <c r="F6" s="301">
        <v>45443</v>
      </c>
      <c r="G6" s="324"/>
      <c r="H6" s="328"/>
      <c r="I6" s="329"/>
      <c r="J6" s="329"/>
      <c r="K6" s="330"/>
    </row>
    <row r="7" spans="1:11" ht="18.75" customHeight="1" x14ac:dyDescent="0.25">
      <c r="A7" s="266">
        <v>3</v>
      </c>
      <c r="B7" s="275">
        <v>4121116690</v>
      </c>
      <c r="C7" s="323" t="s">
        <v>1517</v>
      </c>
      <c r="D7" s="275" t="s">
        <v>49</v>
      </c>
      <c r="E7" s="275" t="str">
        <f t="shared" si="0"/>
        <v>Rétirédanslesdélais</v>
      </c>
      <c r="F7" s="301">
        <v>45443</v>
      </c>
      <c r="G7" s="324"/>
      <c r="H7" s="328"/>
      <c r="I7" s="329"/>
      <c r="J7" s="329"/>
      <c r="K7" s="330"/>
    </row>
    <row r="8" spans="1:11" ht="18.75" customHeight="1" x14ac:dyDescent="0.25">
      <c r="A8" s="266">
        <v>4</v>
      </c>
      <c r="B8" s="275">
        <v>4054062570</v>
      </c>
      <c r="C8" s="323" t="s">
        <v>1450</v>
      </c>
      <c r="D8" s="275"/>
      <c r="E8" s="275" t="str">
        <f t="shared" si="0"/>
        <v>Rétirétardivement-30000FCFAamende</v>
      </c>
      <c r="F8" s="301">
        <v>45453</v>
      </c>
      <c r="G8" s="324"/>
      <c r="H8" s="328"/>
      <c r="I8" s="329"/>
      <c r="J8" s="329"/>
      <c r="K8" s="330"/>
    </row>
    <row r="9" spans="1:11" ht="17.25" customHeight="1" x14ac:dyDescent="0.25">
      <c r="A9" s="266">
        <v>5</v>
      </c>
      <c r="B9" s="275">
        <v>4054071410</v>
      </c>
      <c r="C9" s="323" t="s">
        <v>1442</v>
      </c>
      <c r="D9" s="275"/>
      <c r="E9" s="275" t="str">
        <f t="shared" si="0"/>
        <v>Rétirétardivement-30000FCFAamende</v>
      </c>
      <c r="F9" s="301">
        <v>45456</v>
      </c>
      <c r="G9" s="324"/>
      <c r="H9" s="328"/>
      <c r="I9" s="329"/>
      <c r="J9" s="329"/>
      <c r="K9" s="330"/>
    </row>
    <row r="10" spans="1:11" ht="17.25" customHeight="1" x14ac:dyDescent="0.25">
      <c r="A10" s="266">
        <v>6</v>
      </c>
      <c r="B10" s="275">
        <v>4054021700</v>
      </c>
      <c r="C10" s="323" t="s">
        <v>1507</v>
      </c>
      <c r="D10" s="275"/>
      <c r="E10" s="275" t="str">
        <f t="shared" si="0"/>
        <v>Rétirétardivement-30000FCFAamende</v>
      </c>
      <c r="F10" s="301">
        <v>45477</v>
      </c>
      <c r="G10" s="324"/>
      <c r="H10" s="328"/>
      <c r="I10" s="329"/>
      <c r="J10" s="329"/>
      <c r="K10" s="330"/>
    </row>
    <row r="11" spans="1:11" ht="17.25" customHeight="1" x14ac:dyDescent="0.25">
      <c r="A11" s="266">
        <v>7</v>
      </c>
      <c r="B11" s="275">
        <v>4054021709</v>
      </c>
      <c r="C11" s="323" t="s">
        <v>1507</v>
      </c>
      <c r="D11" s="275"/>
      <c r="E11" s="275" t="str">
        <f t="shared" si="0"/>
        <v>Rétirétardivement-30000FCFAamende</v>
      </c>
      <c r="F11" s="301">
        <v>45477</v>
      </c>
      <c r="G11" s="324"/>
      <c r="H11" s="328"/>
      <c r="I11" s="329"/>
      <c r="J11" s="329"/>
      <c r="K11" s="330"/>
    </row>
    <row r="12" spans="1:11" ht="17.25" customHeight="1" x14ac:dyDescent="0.25">
      <c r="A12" s="266">
        <v>8</v>
      </c>
      <c r="B12" s="275">
        <v>4054051840</v>
      </c>
      <c r="C12" s="323" t="s">
        <v>1518</v>
      </c>
      <c r="D12" s="275"/>
      <c r="E12" s="275" t="str">
        <f t="shared" si="0"/>
        <v>Rétirédanslesdélais</v>
      </c>
      <c r="F12" s="301">
        <v>45446</v>
      </c>
      <c r="G12" s="324" t="s">
        <v>1519</v>
      </c>
      <c r="H12" s="328"/>
      <c r="I12" s="329"/>
      <c r="J12" s="329"/>
      <c r="K12" s="330"/>
    </row>
    <row r="13" spans="1:11" ht="18.75" customHeight="1" x14ac:dyDescent="0.25">
      <c r="A13" s="266">
        <v>9</v>
      </c>
      <c r="B13" s="275">
        <v>4054057280</v>
      </c>
      <c r="C13" s="323" t="s">
        <v>1518</v>
      </c>
      <c r="D13" s="275"/>
      <c r="E13" s="275" t="str">
        <f t="shared" si="0"/>
        <v>Rétirédanslesdélais</v>
      </c>
      <c r="F13" s="301">
        <v>45446</v>
      </c>
      <c r="G13" s="324" t="s">
        <v>1520</v>
      </c>
      <c r="H13" s="328"/>
      <c r="I13" s="329"/>
      <c r="J13" s="329"/>
      <c r="K13" s="330"/>
    </row>
    <row r="14" spans="1:11" s="292" customFormat="1" ht="18.75" customHeight="1" x14ac:dyDescent="0.2">
      <c r="A14" s="266">
        <v>10</v>
      </c>
      <c r="B14" s="275">
        <v>4121173050</v>
      </c>
      <c r="C14" s="323" t="s">
        <v>1414</v>
      </c>
      <c r="D14" s="275"/>
      <c r="E14" s="275" t="str">
        <f t="shared" si="0"/>
        <v>Rétirédanslesdélais</v>
      </c>
      <c r="F14" s="301">
        <v>45448</v>
      </c>
      <c r="G14" s="324"/>
      <c r="H14" s="328"/>
      <c r="I14" s="329"/>
      <c r="J14" s="329"/>
      <c r="K14" s="330"/>
    </row>
    <row r="15" spans="1:11" ht="18.75" customHeight="1" x14ac:dyDescent="0.25">
      <c r="A15" s="266">
        <v>11</v>
      </c>
      <c r="B15" s="275">
        <v>4054087130</v>
      </c>
      <c r="C15" s="323" t="s">
        <v>1122</v>
      </c>
      <c r="D15" s="275"/>
      <c r="E15" s="275" t="str">
        <f t="shared" si="0"/>
        <v>Rétirédanslesdélais</v>
      </c>
      <c r="F15" s="301">
        <v>45443</v>
      </c>
      <c r="G15" s="324"/>
      <c r="H15" s="328"/>
      <c r="I15" s="329"/>
      <c r="J15" s="329"/>
      <c r="K15" s="330"/>
    </row>
    <row r="16" spans="1:11" ht="18.75" customHeight="1" x14ac:dyDescent="0.25">
      <c r="A16" s="266">
        <v>12</v>
      </c>
      <c r="B16" s="275">
        <v>4054087100</v>
      </c>
      <c r="C16" s="323" t="s">
        <v>1122</v>
      </c>
      <c r="D16" s="275"/>
      <c r="E16" s="275" t="str">
        <f t="shared" si="0"/>
        <v>Rétirédanslesdélais</v>
      </c>
      <c r="F16" s="301">
        <v>45443</v>
      </c>
      <c r="G16" s="324"/>
      <c r="H16" s="328"/>
      <c r="I16" s="329"/>
      <c r="J16" s="329"/>
      <c r="K16" s="330"/>
    </row>
    <row r="17" spans="1:11" ht="18.75" customHeight="1" x14ac:dyDescent="0.25">
      <c r="A17" s="266">
        <v>13</v>
      </c>
      <c r="B17" s="275">
        <v>4054080620</v>
      </c>
      <c r="C17" s="323" t="s">
        <v>1521</v>
      </c>
      <c r="D17" s="275"/>
      <c r="E17" s="275" t="str">
        <f t="shared" si="0"/>
        <v>Rétirédanslesdélais</v>
      </c>
      <c r="F17" s="301">
        <v>45450</v>
      </c>
      <c r="G17" s="338" t="s">
        <v>1522</v>
      </c>
      <c r="H17" s="331" t="s">
        <v>52</v>
      </c>
      <c r="I17" s="329"/>
      <c r="J17" s="329"/>
      <c r="K17" s="330"/>
    </row>
    <row r="18" spans="1:11" ht="18.75" customHeight="1" x14ac:dyDescent="0.25">
      <c r="A18" s="266">
        <v>14</v>
      </c>
      <c r="B18" s="275">
        <v>2737656680</v>
      </c>
      <c r="C18" s="323" t="s">
        <v>1523</v>
      </c>
      <c r="D18" s="275"/>
      <c r="E18" s="275" t="str">
        <f t="shared" si="0"/>
        <v>Rétirédanslesdélais</v>
      </c>
      <c r="F18" s="301">
        <v>45446</v>
      </c>
      <c r="G18" s="324"/>
      <c r="H18" s="328"/>
      <c r="I18" s="329"/>
      <c r="J18" s="329"/>
      <c r="K18" s="330"/>
    </row>
    <row r="19" spans="1:11" ht="18.75" customHeight="1" x14ac:dyDescent="0.25">
      <c r="A19" s="266">
        <v>15</v>
      </c>
      <c r="B19" s="275">
        <v>4054054710</v>
      </c>
      <c r="C19" s="323" t="s">
        <v>21</v>
      </c>
      <c r="D19" s="275"/>
      <c r="E19" s="275" t="str">
        <f t="shared" si="0"/>
        <v>Rétirédanslesdélais</v>
      </c>
      <c r="F19" s="301">
        <v>45446</v>
      </c>
      <c r="G19" s="324"/>
      <c r="H19" s="328"/>
      <c r="I19" s="329"/>
      <c r="J19" s="329"/>
      <c r="K19" s="330"/>
    </row>
    <row r="20" spans="1:11" ht="18.75" x14ac:dyDescent="0.25">
      <c r="A20" s="266">
        <v>16</v>
      </c>
      <c r="B20" s="275">
        <v>4054054690</v>
      </c>
      <c r="C20" s="323" t="s">
        <v>21</v>
      </c>
      <c r="D20" s="275"/>
      <c r="E20" s="275" t="str">
        <f t="shared" si="0"/>
        <v>Rétirédanslesdélais</v>
      </c>
      <c r="F20" s="301">
        <v>45446</v>
      </c>
      <c r="G20" s="324"/>
      <c r="H20" s="332"/>
      <c r="I20" s="333"/>
      <c r="J20" s="333"/>
      <c r="K20" s="334"/>
    </row>
    <row r="23" spans="1:11" ht="15.75" x14ac:dyDescent="0.25">
      <c r="B23" s="322"/>
    </row>
  </sheetData>
  <autoFilter ref="A4:K8" xr:uid="{4990FBFD-B240-49B0-838F-2EB6A21B18BB}">
    <filterColumn colId="7" showButton="0"/>
    <filterColumn colId="8" showButton="0"/>
    <filterColumn colId="9" showButton="0"/>
    <sortState xmlns:xlrd2="http://schemas.microsoft.com/office/spreadsheetml/2017/richdata2" ref="A5:K20">
      <sortCondition ref="C4:C8"/>
    </sortState>
  </autoFilter>
  <mergeCells count="3">
    <mergeCell ref="E1:F1"/>
    <mergeCell ref="A2:B2"/>
    <mergeCell ref="H4:K4"/>
  </mergeCells>
  <conditionalFormatting sqref="B1:B3">
    <cfRule type="duplicateValues" dxfId="535" priority="19"/>
    <cfRule type="duplicateValues" dxfId="534" priority="20"/>
    <cfRule type="duplicateValues" dxfId="533" priority="21"/>
    <cfRule type="duplicateValues" dxfId="532" priority="22"/>
  </conditionalFormatting>
  <conditionalFormatting sqref="B1:B24 B33:B1048576">
    <cfRule type="duplicateValues" dxfId="531" priority="8"/>
  </conditionalFormatting>
  <conditionalFormatting sqref="B24 B1:B22 B33:B1048576">
    <cfRule type="duplicateValues" dxfId="530" priority="9"/>
    <cfRule type="duplicateValues" dxfId="529" priority="10"/>
  </conditionalFormatting>
  <conditionalFormatting sqref="B33:B1048576 B1:B3">
    <cfRule type="duplicateValues" dxfId="528" priority="16"/>
    <cfRule type="duplicateValues" dxfId="527" priority="17"/>
    <cfRule type="duplicateValues" dxfId="526" priority="18"/>
  </conditionalFormatting>
  <conditionalFormatting sqref="B5:E19">
    <cfRule type="containsText" dxfId="525" priority="11" operator="containsText" text="En Attente d'un Retrait Tardif">
      <formula>NOT(ISERROR(SEARCH("En Attente d'un Retrait Tardif",B5)))</formula>
    </cfRule>
    <cfRule type="containsText" dxfId="524" priority="12" operator="containsText" text="Rétiré dans les délais">
      <formula>NOT(ISERROR(SEARCH("Rétiré dans les délais",B5)))</formula>
    </cfRule>
  </conditionalFormatting>
  <conditionalFormatting sqref="B20:E20">
    <cfRule type="containsText" dxfId="523" priority="6" operator="containsText" text="En Attente d'un Retrait Tardif">
      <formula>NOT(ISERROR(SEARCH("En Attente d'un Retrait Tardif",B20)))</formula>
    </cfRule>
    <cfRule type="containsText" dxfId="522" priority="7" operator="containsText" text="Rétiré dans les délais">
      <formula>NOT(ISERROR(SEARCH("Rétiré dans les délais",B20)))</formula>
    </cfRule>
  </conditionalFormatting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7E2E-0682-411B-A9E6-15F1761046B4}">
  <sheetPr codeName="Feuil70">
    <tabColor theme="5" tint="-0.249977111117893"/>
  </sheetPr>
  <dimension ref="A1:K14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1.42578125" style="292" customWidth="1"/>
    <col min="5" max="5" width="38" customWidth="1"/>
    <col min="6" max="6" width="19.140625" customWidth="1"/>
    <col min="7" max="7" width="35.140625" customWidth="1"/>
    <col min="8" max="11" width="12.42578125" customWidth="1"/>
  </cols>
  <sheetData>
    <row r="1" spans="1:11" ht="16.5" thickBot="1" x14ac:dyDescent="0.3">
      <c r="A1" s="98" t="s">
        <v>1524</v>
      </c>
      <c r="B1" s="98"/>
      <c r="C1" s="288"/>
      <c r="D1" s="288"/>
      <c r="E1" s="729"/>
      <c r="F1" s="729"/>
    </row>
    <row r="2" spans="1:11" ht="24" thickBot="1" x14ac:dyDescent="0.3">
      <c r="A2" s="730" t="s">
        <v>0</v>
      </c>
      <c r="B2" s="730"/>
      <c r="C2" s="25"/>
      <c r="D2" s="25"/>
      <c r="E2" s="314">
        <v>45421</v>
      </c>
      <c r="F2" s="315">
        <f ca="1">TODAY()</f>
        <v>46096</v>
      </c>
      <c r="G2" s="5">
        <f ca="1">F2-E2</f>
        <v>675</v>
      </c>
    </row>
    <row r="3" spans="1:11" x14ac:dyDescent="0.25">
      <c r="E3" s="105"/>
    </row>
    <row r="4" spans="1:11" ht="17.25" x14ac:dyDescent="0.25">
      <c r="A4" s="290" t="s">
        <v>1</v>
      </c>
      <c r="B4" s="317" t="s">
        <v>2</v>
      </c>
      <c r="C4" s="317" t="s">
        <v>5</v>
      </c>
      <c r="D4" s="290" t="s">
        <v>1065</v>
      </c>
      <c r="E4" s="290" t="s">
        <v>7</v>
      </c>
      <c r="F4" s="290" t="s">
        <v>1514</v>
      </c>
      <c r="G4" s="290" t="s">
        <v>1515</v>
      </c>
      <c r="H4" s="750" t="s">
        <v>11</v>
      </c>
      <c r="I4" s="750"/>
      <c r="J4" s="750"/>
      <c r="K4" s="750"/>
    </row>
    <row r="5" spans="1:11" ht="18.75" customHeight="1" x14ac:dyDescent="0.25">
      <c r="A5" s="278">
        <v>1</v>
      </c>
      <c r="B5" s="275">
        <v>4054007572</v>
      </c>
      <c r="C5" s="275" t="s">
        <v>1148</v>
      </c>
      <c r="D5" s="275"/>
      <c r="E5" s="275" t="str">
        <f t="shared" ref="E5:E12" si="0">IF(F5="",IF($G$2&lt;=15,"EnattentedeRetrait","EnAttented'unRetraitTardif"),IF(F5-$E$2&lt;=15,"Rétirédanslesdélais",IF(F5-$E$2&gt;15,"Rétirétardivement-30000FCFAamende")))</f>
        <v>Rétirétardivement-30000FCFAamende</v>
      </c>
      <c r="F5" s="301">
        <v>45441</v>
      </c>
      <c r="G5" s="300" t="s">
        <v>1525</v>
      </c>
      <c r="H5" s="751"/>
      <c r="I5" s="752"/>
      <c r="J5" s="752"/>
      <c r="K5" s="753"/>
    </row>
    <row r="6" spans="1:11" ht="18.75" customHeight="1" x14ac:dyDescent="0.25">
      <c r="A6" s="278">
        <v>2</v>
      </c>
      <c r="B6" s="337">
        <v>4054021670</v>
      </c>
      <c r="C6" s="275" t="s">
        <v>1507</v>
      </c>
      <c r="D6" s="275"/>
      <c r="E6" s="275" t="str">
        <f t="shared" si="0"/>
        <v>Rétirétardivement-30000FCFAamende</v>
      </c>
      <c r="F6" s="301">
        <v>45456</v>
      </c>
      <c r="G6" s="300"/>
      <c r="H6" s="754"/>
      <c r="I6" s="755"/>
      <c r="J6" s="755"/>
      <c r="K6" s="756"/>
    </row>
    <row r="7" spans="1:11" ht="18.75" customHeight="1" x14ac:dyDescent="0.25">
      <c r="A7" s="278">
        <v>3</v>
      </c>
      <c r="B7" s="337">
        <v>4054021679</v>
      </c>
      <c r="C7" s="275" t="s">
        <v>1507</v>
      </c>
      <c r="D7" s="275"/>
      <c r="E7" s="275" t="str">
        <f t="shared" si="0"/>
        <v>Rétirétardivement-30000FCFAamende</v>
      </c>
      <c r="F7" s="301">
        <v>45456</v>
      </c>
      <c r="G7" s="300"/>
      <c r="H7" s="754"/>
      <c r="I7" s="755"/>
      <c r="J7" s="755"/>
      <c r="K7" s="756"/>
    </row>
    <row r="8" spans="1:11" ht="18.75" customHeight="1" x14ac:dyDescent="0.25">
      <c r="A8" s="278">
        <v>4</v>
      </c>
      <c r="B8" s="337">
        <v>4054021680</v>
      </c>
      <c r="C8" s="275" t="s">
        <v>1507</v>
      </c>
      <c r="D8" s="275"/>
      <c r="E8" s="275" t="str">
        <f t="shared" si="0"/>
        <v>Rétirétardivement-30000FCFAamende</v>
      </c>
      <c r="F8" s="301">
        <v>45439</v>
      </c>
      <c r="G8" s="300"/>
      <c r="H8" s="754"/>
      <c r="I8" s="755"/>
      <c r="J8" s="755"/>
      <c r="K8" s="756"/>
    </row>
    <row r="9" spans="1:11" ht="17.25" customHeight="1" x14ac:dyDescent="0.25">
      <c r="A9" s="278">
        <v>5</v>
      </c>
      <c r="B9" s="337">
        <v>4054021689</v>
      </c>
      <c r="C9" s="275" t="s">
        <v>1507</v>
      </c>
      <c r="D9" s="275"/>
      <c r="E9" s="275" t="str">
        <f t="shared" si="0"/>
        <v>Rétirétardivement-30000FCFAamende</v>
      </c>
      <c r="F9" s="301">
        <v>45456</v>
      </c>
      <c r="G9" s="300"/>
      <c r="H9" s="754"/>
      <c r="I9" s="755"/>
      <c r="J9" s="755"/>
      <c r="K9" s="756"/>
    </row>
    <row r="10" spans="1:11" ht="17.25" customHeight="1" x14ac:dyDescent="0.25">
      <c r="A10" s="278">
        <v>6</v>
      </c>
      <c r="B10" s="337">
        <v>4054043090</v>
      </c>
      <c r="C10" s="275" t="s">
        <v>1481</v>
      </c>
      <c r="D10" s="275"/>
      <c r="E10" s="275" t="str">
        <f t="shared" si="0"/>
        <v>Rétirétardivement-30000FCFAamende</v>
      </c>
      <c r="F10" s="301">
        <v>45454</v>
      </c>
      <c r="G10" s="300"/>
      <c r="H10" s="754"/>
      <c r="I10" s="755"/>
      <c r="J10" s="755"/>
      <c r="K10" s="756"/>
    </row>
    <row r="11" spans="1:11" ht="17.25" customHeight="1" x14ac:dyDescent="0.25">
      <c r="A11" s="278">
        <v>7</v>
      </c>
      <c r="B11" s="275">
        <v>4121148590</v>
      </c>
      <c r="C11" s="275" t="s">
        <v>53</v>
      </c>
      <c r="D11" s="275"/>
      <c r="E11" s="275" t="str">
        <f t="shared" si="0"/>
        <v>Rétirédanslesdélais</v>
      </c>
      <c r="F11" s="301">
        <v>45428</v>
      </c>
      <c r="G11" s="300"/>
      <c r="H11" s="754"/>
      <c r="I11" s="755"/>
      <c r="J11" s="755"/>
      <c r="K11" s="756"/>
    </row>
    <row r="12" spans="1:11" ht="17.25" customHeight="1" x14ac:dyDescent="0.25">
      <c r="A12" s="278">
        <v>8</v>
      </c>
      <c r="B12" s="275">
        <v>4121173290</v>
      </c>
      <c r="C12" s="275" t="s">
        <v>1157</v>
      </c>
      <c r="D12" s="275"/>
      <c r="E12" s="275" t="str">
        <f t="shared" si="0"/>
        <v>Rétirédanslesdélais</v>
      </c>
      <c r="F12" s="301">
        <v>45434</v>
      </c>
      <c r="G12" s="300"/>
      <c r="H12" s="757"/>
      <c r="I12" s="758"/>
      <c r="J12" s="758"/>
      <c r="K12" s="759"/>
    </row>
    <row r="14" spans="1:11" s="292" customFormat="1" x14ac:dyDescent="0.25">
      <c r="A14"/>
      <c r="B14"/>
      <c r="E14"/>
      <c r="F14"/>
      <c r="G14"/>
      <c r="H14"/>
      <c r="I14"/>
      <c r="J14"/>
      <c r="K14"/>
    </row>
  </sheetData>
  <autoFilter ref="A4:K8" xr:uid="{4990FBFD-B240-49B0-838F-2EB6A21B18BB}">
    <filterColumn colId="7" showButton="0"/>
    <filterColumn colId="8" showButton="0"/>
    <filterColumn colId="9" showButton="0"/>
  </autoFilter>
  <mergeCells count="4">
    <mergeCell ref="E1:F1"/>
    <mergeCell ref="A2:B2"/>
    <mergeCell ref="H4:K4"/>
    <mergeCell ref="H5:K12"/>
  </mergeCells>
  <conditionalFormatting sqref="B1:B3">
    <cfRule type="duplicateValues" dxfId="521" priority="16"/>
    <cfRule type="duplicateValues" dxfId="520" priority="17"/>
    <cfRule type="duplicateValues" dxfId="519" priority="18"/>
    <cfRule type="duplicateValues" dxfId="518" priority="19"/>
  </conditionalFormatting>
  <conditionalFormatting sqref="B1:B19 B28:B1048576">
    <cfRule type="duplicateValues" dxfId="517" priority="1"/>
  </conditionalFormatting>
  <conditionalFormatting sqref="B32:B1048576 B1:B3">
    <cfRule type="duplicateValues" dxfId="516" priority="11"/>
    <cfRule type="duplicateValues" dxfId="515" priority="14"/>
    <cfRule type="duplicateValues" dxfId="514" priority="15"/>
  </conditionalFormatting>
  <conditionalFormatting sqref="B5:E12">
    <cfRule type="containsText" dxfId="513" priority="7" operator="containsText" text="En Attente d'un Retrait Tardif">
      <formula>NOT(ISERROR(SEARCH("En Attente d'un Retrait Tardif",B5)))</formula>
    </cfRule>
    <cfRule type="containsText" dxfId="512" priority="8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1169-F108-4DF3-86A1-6C4ABA424F9E}">
  <sheetPr codeName="Feuil71">
    <tabColor theme="5" tint="-0.249977111117893"/>
  </sheetPr>
  <dimension ref="A1:K14"/>
  <sheetViews>
    <sheetView zoomScaleNormal="100" workbookViewId="0">
      <selection activeCell="C5" sqref="C5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5.85546875" style="292" customWidth="1"/>
    <col min="5" max="5" width="38" customWidth="1"/>
    <col min="6" max="6" width="19.140625" customWidth="1"/>
    <col min="7" max="7" width="35.140625" customWidth="1"/>
    <col min="8" max="8" width="18.140625" customWidth="1"/>
    <col min="9" max="11" width="10.85546875" customWidth="1"/>
  </cols>
  <sheetData>
    <row r="1" spans="1:11" ht="16.5" thickBot="1" x14ac:dyDescent="0.3">
      <c r="A1" s="98" t="s">
        <v>1526</v>
      </c>
      <c r="B1" s="98"/>
      <c r="C1" s="288"/>
      <c r="D1" s="288"/>
      <c r="E1" s="729"/>
      <c r="F1" s="729"/>
    </row>
    <row r="2" spans="1:11" ht="24" thickBot="1" x14ac:dyDescent="0.3">
      <c r="A2" s="730" t="s">
        <v>0</v>
      </c>
      <c r="B2" s="730"/>
      <c r="C2" s="25"/>
      <c r="D2" s="25"/>
      <c r="E2" s="314">
        <v>45435</v>
      </c>
      <c r="F2" s="315">
        <f ca="1">TODAY()</f>
        <v>46096</v>
      </c>
      <c r="G2" s="5">
        <f ca="1">F2-E2</f>
        <v>661</v>
      </c>
    </row>
    <row r="3" spans="1:11" x14ac:dyDescent="0.25">
      <c r="E3" s="105"/>
    </row>
    <row r="4" spans="1:11" ht="17.25" x14ac:dyDescent="0.25">
      <c r="A4" s="318" t="s">
        <v>1</v>
      </c>
      <c r="B4" s="319" t="s">
        <v>2</v>
      </c>
      <c r="C4" s="320" t="s">
        <v>5</v>
      </c>
      <c r="D4" s="318" t="s">
        <v>1065</v>
      </c>
      <c r="E4" s="318" t="s">
        <v>7</v>
      </c>
      <c r="F4" s="321" t="s">
        <v>1514</v>
      </c>
      <c r="G4" s="318" t="s">
        <v>1515</v>
      </c>
      <c r="H4" s="733" t="s">
        <v>11</v>
      </c>
      <c r="I4" s="733"/>
      <c r="J4" s="733"/>
      <c r="K4" s="733"/>
    </row>
    <row r="5" spans="1:11" ht="18.75" customHeight="1" x14ac:dyDescent="0.25">
      <c r="A5" s="278">
        <v>1</v>
      </c>
      <c r="B5" s="275">
        <v>4054044750</v>
      </c>
      <c r="C5" s="275" t="s">
        <v>37</v>
      </c>
      <c r="D5" s="275"/>
      <c r="E5" s="275" t="str">
        <f t="shared" ref="E5:E13" si="0">IF(F5="",IF($G$2&lt;=15,"EnattentedeRetrait","EnAttented'unRetraitTardif"),IF(F5-$E$2&lt;=15,"Rétirédanslesdélais",IF(F5-$E$2&gt;15,"Rétirétardivement-30000FCFAamende")))</f>
        <v>Rétirédanslesdélais</v>
      </c>
      <c r="F5" s="301">
        <v>45442</v>
      </c>
      <c r="G5" s="300"/>
      <c r="H5" s="760"/>
      <c r="I5" s="760"/>
      <c r="J5" s="760"/>
      <c r="K5" s="760"/>
    </row>
    <row r="6" spans="1:11" ht="18.75" customHeight="1" x14ac:dyDescent="0.25">
      <c r="A6" s="278">
        <v>2</v>
      </c>
      <c r="B6" s="339">
        <v>4054027811</v>
      </c>
      <c r="C6" s="275" t="s">
        <v>1371</v>
      </c>
      <c r="D6" s="275"/>
      <c r="E6" s="275" t="str">
        <f t="shared" si="0"/>
        <v>Rétirédanslesdélais</v>
      </c>
      <c r="F6" s="301">
        <v>45441</v>
      </c>
      <c r="G6" s="300" t="s">
        <v>1527</v>
      </c>
      <c r="H6" s="760"/>
      <c r="I6" s="760"/>
      <c r="J6" s="760"/>
      <c r="K6" s="760"/>
    </row>
    <row r="7" spans="1:11" ht="18.75" customHeight="1" x14ac:dyDescent="0.25">
      <c r="A7" s="278">
        <v>3</v>
      </c>
      <c r="B7" s="339">
        <v>4054037320</v>
      </c>
      <c r="C7" s="275" t="s">
        <v>1371</v>
      </c>
      <c r="D7" s="275"/>
      <c r="E7" s="275" t="str">
        <f t="shared" si="0"/>
        <v>Rétirédanslesdélais</v>
      </c>
      <c r="F7" s="301">
        <v>45441</v>
      </c>
      <c r="G7" s="300"/>
      <c r="H7" s="760"/>
      <c r="I7" s="760"/>
      <c r="J7" s="760"/>
      <c r="K7" s="760"/>
    </row>
    <row r="8" spans="1:11" ht="18.75" customHeight="1" x14ac:dyDescent="0.25">
      <c r="A8" s="278">
        <v>4</v>
      </c>
      <c r="B8" s="339">
        <v>4054057300</v>
      </c>
      <c r="C8" s="275" t="s">
        <v>40</v>
      </c>
      <c r="D8" s="275"/>
      <c r="E8" s="275" t="str">
        <f t="shared" si="0"/>
        <v>Rétirédanslesdélais</v>
      </c>
      <c r="F8" s="301">
        <v>45448</v>
      </c>
      <c r="G8" s="300"/>
      <c r="H8" s="760"/>
      <c r="I8" s="760"/>
      <c r="J8" s="760"/>
      <c r="K8" s="760"/>
    </row>
    <row r="9" spans="1:11" ht="17.25" customHeight="1" x14ac:dyDescent="0.25">
      <c r="A9" s="278">
        <v>5</v>
      </c>
      <c r="B9" s="339">
        <v>4054062390</v>
      </c>
      <c r="C9" s="275" t="s">
        <v>1370</v>
      </c>
      <c r="D9" s="275"/>
      <c r="E9" s="275" t="str">
        <f t="shared" si="0"/>
        <v>Rétirédanslesdélais</v>
      </c>
      <c r="F9" s="301">
        <v>45436</v>
      </c>
      <c r="G9" s="300"/>
      <c r="H9" s="760"/>
      <c r="I9" s="760"/>
      <c r="J9" s="760"/>
      <c r="K9" s="760"/>
    </row>
    <row r="10" spans="1:11" ht="17.25" customHeight="1" x14ac:dyDescent="0.25">
      <c r="A10" s="278">
        <v>6</v>
      </c>
      <c r="B10" s="339">
        <v>4054070460</v>
      </c>
      <c r="C10" s="275" t="s">
        <v>1370</v>
      </c>
      <c r="D10" s="275"/>
      <c r="E10" s="275" t="str">
        <f t="shared" si="0"/>
        <v>Rétirédanslesdélais</v>
      </c>
      <c r="F10" s="301">
        <v>45436</v>
      </c>
      <c r="G10" s="300"/>
      <c r="H10" s="760"/>
      <c r="I10" s="760"/>
      <c r="J10" s="760"/>
      <c r="K10" s="760"/>
    </row>
    <row r="11" spans="1:11" ht="17.25" customHeight="1" x14ac:dyDescent="0.25">
      <c r="A11" s="278">
        <v>7</v>
      </c>
      <c r="B11" s="339">
        <v>4054076110</v>
      </c>
      <c r="C11" s="275" t="s">
        <v>1075</v>
      </c>
      <c r="D11" s="275"/>
      <c r="E11" s="275" t="str">
        <f t="shared" si="0"/>
        <v>Rétirédanslesdélais</v>
      </c>
      <c r="F11" s="301">
        <v>45447</v>
      </c>
      <c r="G11" s="300"/>
      <c r="H11" s="760"/>
      <c r="I11" s="760"/>
      <c r="J11" s="760"/>
      <c r="K11" s="760"/>
    </row>
    <row r="12" spans="1:11" ht="17.25" customHeight="1" x14ac:dyDescent="0.25">
      <c r="A12" s="278">
        <v>8</v>
      </c>
      <c r="B12" s="339">
        <v>4054083600</v>
      </c>
      <c r="C12" s="275" t="s">
        <v>1499</v>
      </c>
      <c r="D12" s="275"/>
      <c r="E12" s="275" t="str">
        <f t="shared" si="0"/>
        <v>Rétirédanslesdélais</v>
      </c>
      <c r="F12" s="301">
        <v>45443</v>
      </c>
      <c r="G12" s="300"/>
      <c r="H12" s="760"/>
      <c r="I12" s="760"/>
      <c r="J12" s="760"/>
      <c r="K12" s="760"/>
    </row>
    <row r="13" spans="1:11" ht="18.75" customHeight="1" x14ac:dyDescent="0.25">
      <c r="A13" s="278">
        <v>9</v>
      </c>
      <c r="B13" s="339">
        <v>4054080670</v>
      </c>
      <c r="C13" s="275" t="s">
        <v>40</v>
      </c>
      <c r="D13" s="275"/>
      <c r="E13" s="275" t="str">
        <f t="shared" si="0"/>
        <v>Rétirédanslesdélais</v>
      </c>
      <c r="F13" s="301">
        <v>45448</v>
      </c>
      <c r="G13" s="300"/>
      <c r="H13" s="760"/>
      <c r="I13" s="760"/>
      <c r="J13" s="760"/>
      <c r="K13" s="760"/>
    </row>
    <row r="14" spans="1:11" s="292" customFormat="1" x14ac:dyDescent="0.25">
      <c r="A14"/>
      <c r="B14"/>
      <c r="E14"/>
      <c r="F14"/>
      <c r="G14"/>
      <c r="H14"/>
      <c r="I14"/>
      <c r="J14"/>
      <c r="K14"/>
    </row>
  </sheetData>
  <autoFilter ref="A4:K8" xr:uid="{4990FBFD-B240-49B0-838F-2EB6A21B18BB}">
    <filterColumn colId="7" showButton="0"/>
    <filterColumn colId="8" showButton="0"/>
    <filterColumn colId="9" showButton="0"/>
  </autoFilter>
  <mergeCells count="4">
    <mergeCell ref="E1:F1"/>
    <mergeCell ref="A2:B2"/>
    <mergeCell ref="H4:K4"/>
    <mergeCell ref="H5:K13"/>
  </mergeCells>
  <conditionalFormatting sqref="B1:B3">
    <cfRule type="duplicateValues" dxfId="511" priority="17"/>
    <cfRule type="duplicateValues" dxfId="510" priority="18"/>
    <cfRule type="duplicateValues" dxfId="509" priority="19"/>
    <cfRule type="duplicateValues" dxfId="508" priority="20"/>
  </conditionalFormatting>
  <conditionalFormatting sqref="B1:B1048576">
    <cfRule type="duplicateValues" dxfId="507" priority="1"/>
  </conditionalFormatting>
  <conditionalFormatting sqref="B22:B1048576 B1:B3">
    <cfRule type="duplicateValues" dxfId="506" priority="12"/>
    <cfRule type="duplicateValues" dxfId="505" priority="15"/>
    <cfRule type="duplicateValues" dxfId="504" priority="16"/>
  </conditionalFormatting>
  <conditionalFormatting sqref="B5:E13">
    <cfRule type="containsText" dxfId="503" priority="8" operator="containsText" text="En Attente d'un Retrait Tardif">
      <formula>NOT(ISERROR(SEARCH("En Attente d'un Retrait Tardif",B5)))</formula>
    </cfRule>
    <cfRule type="containsText" dxfId="502" priority="9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78E6-B6DD-46D3-AB44-95742AF1D6AD}">
  <sheetPr codeName="Feuil72">
    <tabColor theme="5" tint="-0.249977111117893"/>
  </sheetPr>
  <dimension ref="A1:K14"/>
  <sheetViews>
    <sheetView zoomScaleNormal="100" workbookViewId="0">
      <selection activeCell="E31" sqref="E3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1.42578125" style="292" customWidth="1"/>
    <col min="5" max="5" width="38" customWidth="1"/>
    <col min="6" max="6" width="19.140625" customWidth="1"/>
    <col min="7" max="7" width="35.140625" customWidth="1"/>
    <col min="8" max="11" width="14.5703125" customWidth="1"/>
  </cols>
  <sheetData>
    <row r="1" spans="1:11" ht="16.5" thickBot="1" x14ac:dyDescent="0.3">
      <c r="A1" s="98" t="s">
        <v>1528</v>
      </c>
      <c r="B1" s="98"/>
      <c r="C1" s="288"/>
      <c r="D1" s="288"/>
      <c r="E1" s="729"/>
      <c r="F1" s="729"/>
    </row>
    <row r="2" spans="1:11" ht="24" thickBot="1" x14ac:dyDescent="0.3">
      <c r="A2" s="730" t="s">
        <v>0</v>
      </c>
      <c r="B2" s="730"/>
      <c r="C2" s="25"/>
      <c r="D2" s="25"/>
      <c r="E2" s="314">
        <v>45407</v>
      </c>
      <c r="F2" s="315">
        <f ca="1">TODAY()</f>
        <v>46096</v>
      </c>
      <c r="G2" s="5">
        <f ca="1">F2-E2</f>
        <v>689</v>
      </c>
    </row>
    <row r="3" spans="1:11" x14ac:dyDescent="0.25">
      <c r="E3" s="105"/>
    </row>
    <row r="4" spans="1:11" ht="17.25" x14ac:dyDescent="0.25">
      <c r="A4" s="290" t="s">
        <v>1</v>
      </c>
      <c r="B4" s="290" t="s">
        <v>2</v>
      </c>
      <c r="C4" s="290" t="s">
        <v>5</v>
      </c>
      <c r="D4" s="290" t="s">
        <v>1065</v>
      </c>
      <c r="E4" s="290" t="s">
        <v>7</v>
      </c>
      <c r="F4" s="290" t="s">
        <v>1514</v>
      </c>
      <c r="G4" s="290" t="s">
        <v>1515</v>
      </c>
      <c r="H4" s="750" t="s">
        <v>11</v>
      </c>
      <c r="I4" s="750"/>
      <c r="J4" s="750"/>
      <c r="K4" s="750"/>
    </row>
    <row r="5" spans="1:11" ht="18.75" customHeight="1" x14ac:dyDescent="0.25">
      <c r="A5" s="278">
        <v>1</v>
      </c>
      <c r="B5" s="316">
        <v>4054040710</v>
      </c>
      <c r="C5" s="310" t="s">
        <v>1518</v>
      </c>
      <c r="D5" s="313"/>
      <c r="E5" s="275" t="str">
        <f>IF(F5="",IF($G$2&lt;=15,"EnattentedeRetrait","EnAttented'unRetraitTardif"),IF(F5-$E$2&lt;=15,"Rétirédanslesdélais",IF(F5-$E$2&gt;15,"Rétirétardivement-30000FCFAamende")))</f>
        <v>Rétirétardivement-30000FCFAamende</v>
      </c>
      <c r="F5" s="301">
        <v>45429</v>
      </c>
      <c r="G5" s="300" t="s">
        <v>1210</v>
      </c>
      <c r="H5" s="761"/>
      <c r="I5" s="761"/>
      <c r="J5" s="761"/>
      <c r="K5" s="761"/>
    </row>
    <row r="6" spans="1:11" ht="18.75" customHeight="1" x14ac:dyDescent="0.25">
      <c r="A6" s="278">
        <v>2</v>
      </c>
      <c r="B6" s="316">
        <v>4121138430</v>
      </c>
      <c r="C6" s="310" t="s">
        <v>1529</v>
      </c>
      <c r="D6" s="313"/>
      <c r="E6" s="275" t="str">
        <f>IF(F6="",IF($G$2&lt;=15,"EnattentedeRetrait","EnAttented'unRetraitTardif"),IF(F6-$E$2&lt;=15,"Rétirédanslesdélais",IF(F6-$E$2&gt;15,"Rétirétardivement-30000FCFAamende")))</f>
        <v>Rétirédanslesdélais</v>
      </c>
      <c r="F6" s="301">
        <v>45408</v>
      </c>
      <c r="G6" s="300" t="s">
        <v>1210</v>
      </c>
      <c r="H6" s="761"/>
      <c r="I6" s="761"/>
      <c r="J6" s="761"/>
      <c r="K6" s="761"/>
    </row>
    <row r="7" spans="1:11" ht="18.75" customHeight="1" x14ac:dyDescent="0.25">
      <c r="A7" s="278">
        <v>3</v>
      </c>
      <c r="B7" s="316">
        <v>4121159900</v>
      </c>
      <c r="C7" s="310" t="s">
        <v>1530</v>
      </c>
      <c r="D7" s="313"/>
      <c r="E7" s="275" t="str">
        <f>IF(F7="",IF($G$2&lt;=15,"EnattentedeRetrait","EnAttented'unRetraitTardif"),IF(F7-$E$2&lt;=15,"Rétirédanslesdélais",IF(F7-$E$2&gt;15,"Rétirétardivement-30000FCFAamende")))</f>
        <v>Rétirédanslesdélais</v>
      </c>
      <c r="F7" s="301">
        <v>45412</v>
      </c>
      <c r="G7" s="300" t="s">
        <v>1210</v>
      </c>
      <c r="H7" s="761"/>
      <c r="I7" s="761"/>
      <c r="J7" s="761"/>
      <c r="K7" s="761"/>
    </row>
    <row r="8" spans="1:11" ht="18.75" customHeight="1" x14ac:dyDescent="0.25">
      <c r="A8" s="278">
        <v>4</v>
      </c>
      <c r="B8" s="316">
        <v>4121168790</v>
      </c>
      <c r="C8" s="310" t="s">
        <v>1331</v>
      </c>
      <c r="D8" s="313"/>
      <c r="E8" s="275" t="str">
        <f>IF(F8="",IF($G$2&lt;=15,"EnattentedeRetrait","EnAttented'unRetraitTardif"),IF(F8-$E$2&lt;=15,"Rétirédanslesdélais",IF(F8-$E$2&gt;15,"Rétirétardivement-30000FCFAamende")))</f>
        <v>Rétirédanslesdélais</v>
      </c>
      <c r="F8" s="301">
        <v>45418</v>
      </c>
      <c r="G8" s="300" t="s">
        <v>1210</v>
      </c>
      <c r="H8" s="761"/>
      <c r="I8" s="761"/>
      <c r="J8" s="761"/>
      <c r="K8" s="761"/>
    </row>
    <row r="9" spans="1:11" x14ac:dyDescent="0.25">
      <c r="A9" s="292"/>
      <c r="B9" s="292"/>
    </row>
    <row r="10" spans="1:11" x14ac:dyDescent="0.25">
      <c r="A10" s="292"/>
      <c r="B10" s="292"/>
    </row>
    <row r="14" spans="1:11" s="292" customFormat="1" x14ac:dyDescent="0.25">
      <c r="A14"/>
      <c r="B14"/>
      <c r="E14"/>
      <c r="F14"/>
      <c r="G14"/>
      <c r="H14"/>
      <c r="I14"/>
      <c r="J14"/>
      <c r="K14"/>
    </row>
  </sheetData>
  <autoFilter ref="A4:K8" xr:uid="{4990FBFD-B240-49B0-838F-2EB6A21B18BB}">
    <filterColumn colId="7" showButton="0"/>
    <filterColumn colId="8" showButton="0"/>
    <filterColumn colId="9" showButton="0"/>
  </autoFilter>
  <mergeCells count="4">
    <mergeCell ref="E1:F1"/>
    <mergeCell ref="A2:B2"/>
    <mergeCell ref="H4:K4"/>
    <mergeCell ref="H5:K8"/>
  </mergeCells>
  <conditionalFormatting sqref="B1:B3">
    <cfRule type="duplicateValues" dxfId="501" priority="10"/>
    <cfRule type="duplicateValues" dxfId="500" priority="11"/>
    <cfRule type="duplicateValues" dxfId="499" priority="12"/>
    <cfRule type="duplicateValues" dxfId="498" priority="13"/>
  </conditionalFormatting>
  <conditionalFormatting sqref="B10 C5:C8 E5:E8">
    <cfRule type="containsText" dxfId="497" priority="4" operator="containsText" text="En Attente d'un Retrait Tardif">
      <formula>NOT(ISERROR(SEARCH("En Attente d'un Retrait Tardif",B5)))</formula>
    </cfRule>
  </conditionalFormatting>
  <conditionalFormatting sqref="B32:B1048576 B1:B3 B9:B10">
    <cfRule type="duplicateValues" dxfId="496" priority="3"/>
  </conditionalFormatting>
  <conditionalFormatting sqref="B32:B1048576 B9 B1:B3">
    <cfRule type="duplicateValues" dxfId="495" priority="6"/>
    <cfRule type="duplicateValues" dxfId="494" priority="9"/>
  </conditionalFormatting>
  <conditionalFormatting sqref="C5:C8 E5:E8 B10">
    <cfRule type="containsText" dxfId="493" priority="5" operator="containsText" text="Rétiré dans les délais">
      <formula>NOT(ISERROR(SEARCH("Rétiré dans les délais",B5)))</formula>
    </cfRule>
  </conditionalFormatting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BA84-188B-4FB6-82DE-2B9D99EF6950}">
  <sheetPr codeName="Feuil73">
    <tabColor theme="9" tint="0.59999389629810485"/>
  </sheetPr>
  <dimension ref="A1:K24"/>
  <sheetViews>
    <sheetView zoomScaleNormal="100" workbookViewId="0">
      <selection activeCell="G51" sqref="G51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1.42578125" style="292" customWidth="1"/>
    <col min="5" max="5" width="38" customWidth="1"/>
    <col min="6" max="6" width="19.140625" customWidth="1"/>
    <col min="7" max="7" width="35.140625" customWidth="1"/>
    <col min="8" max="11" width="14.5703125" customWidth="1"/>
  </cols>
  <sheetData>
    <row r="1" spans="1:11" ht="16.5" thickBot="1" x14ac:dyDescent="0.3">
      <c r="A1" s="762" t="s">
        <v>1531</v>
      </c>
      <c r="B1" s="762"/>
      <c r="C1" s="288"/>
      <c r="D1" s="288"/>
      <c r="E1" s="729"/>
      <c r="F1" s="729"/>
    </row>
    <row r="2" spans="1:11" ht="24" thickBot="1" x14ac:dyDescent="0.3">
      <c r="A2" s="730" t="s">
        <v>0</v>
      </c>
      <c r="B2" s="730"/>
      <c r="C2" s="25"/>
      <c r="D2" s="25"/>
      <c r="E2" s="13">
        <v>45399</v>
      </c>
      <c r="F2" s="4">
        <f ca="1">TODAY()</f>
        <v>46096</v>
      </c>
      <c r="G2" s="5">
        <f ca="1">F2-E2</f>
        <v>697</v>
      </c>
    </row>
    <row r="3" spans="1:11" x14ac:dyDescent="0.25">
      <c r="E3" s="105"/>
    </row>
    <row r="4" spans="1:11" ht="17.25" x14ac:dyDescent="0.25">
      <c r="A4" s="290" t="s">
        <v>1</v>
      </c>
      <c r="B4" s="290" t="s">
        <v>2</v>
      </c>
      <c r="C4" s="290" t="s">
        <v>5</v>
      </c>
      <c r="D4" s="290" t="s">
        <v>1065</v>
      </c>
      <c r="E4" s="290" t="s">
        <v>7</v>
      </c>
      <c r="F4" s="290" t="s">
        <v>1514</v>
      </c>
      <c r="G4" s="290" t="s">
        <v>1515</v>
      </c>
      <c r="H4" s="750" t="s">
        <v>11</v>
      </c>
      <c r="I4" s="750"/>
      <c r="J4" s="750"/>
      <c r="K4" s="750"/>
    </row>
    <row r="5" spans="1:11" ht="18.75" customHeight="1" x14ac:dyDescent="0.25">
      <c r="A5" s="278">
        <v>1</v>
      </c>
      <c r="B5" s="349">
        <v>4054005930</v>
      </c>
      <c r="C5" s="310" t="s">
        <v>1122</v>
      </c>
      <c r="D5" s="313" t="s">
        <v>17</v>
      </c>
      <c r="E5" s="275" t="str">
        <f t="shared" ref="E5:E18" si="0">IF(F5="",IF($G$2&lt;=15,"EnattentedeRetrait","EnAttented'unRetraitTardif"),IF(F5-$E$2&lt;=15,"Rétirédanslesdélais",IF(F5-$E$2&gt;15,"Rétirétardivement-30000FCFAamende")))</f>
        <v>Rétirédanslesdélais</v>
      </c>
      <c r="F5" s="301">
        <v>45406</v>
      </c>
      <c r="G5" s="300">
        <v>22000</v>
      </c>
      <c r="H5" s="763"/>
      <c r="I5" s="761"/>
      <c r="J5" s="761"/>
      <c r="K5" s="761"/>
    </row>
    <row r="6" spans="1:11" ht="18.75" customHeight="1" x14ac:dyDescent="0.25">
      <c r="A6" s="278">
        <v>2</v>
      </c>
      <c r="B6" s="349">
        <v>4054007570</v>
      </c>
      <c r="C6" s="310" t="s">
        <v>1148</v>
      </c>
      <c r="D6" s="313" t="s">
        <v>1412</v>
      </c>
      <c r="E6" s="275" t="str">
        <f t="shared" si="0"/>
        <v>Rétirédanslesdélais</v>
      </c>
      <c r="F6" s="301">
        <v>45411</v>
      </c>
      <c r="G6" s="300"/>
      <c r="H6" s="761"/>
      <c r="I6" s="761"/>
      <c r="J6" s="761"/>
      <c r="K6" s="761"/>
    </row>
    <row r="7" spans="1:11" ht="18.75" customHeight="1" x14ac:dyDescent="0.25">
      <c r="A7" s="278">
        <v>3</v>
      </c>
      <c r="B7" s="349">
        <v>4054007578</v>
      </c>
      <c r="C7" s="310" t="s">
        <v>1148</v>
      </c>
      <c r="D7" s="313" t="s">
        <v>1412</v>
      </c>
      <c r="E7" s="275" t="str">
        <f t="shared" si="0"/>
        <v>Rétirédanslesdélais</v>
      </c>
      <c r="F7" s="301">
        <v>45411</v>
      </c>
      <c r="G7" s="300"/>
      <c r="H7" s="761"/>
      <c r="I7" s="761"/>
      <c r="J7" s="761"/>
      <c r="K7" s="761"/>
    </row>
    <row r="8" spans="1:11" ht="18.75" customHeight="1" x14ac:dyDescent="0.25">
      <c r="A8" s="278">
        <v>4</v>
      </c>
      <c r="B8" s="349">
        <v>4054007571</v>
      </c>
      <c r="C8" s="310" t="s">
        <v>1148</v>
      </c>
      <c r="D8" s="313" t="s">
        <v>1412</v>
      </c>
      <c r="E8" s="275" t="str">
        <f t="shared" si="0"/>
        <v>Rétirédanslesdélais</v>
      </c>
      <c r="F8" s="301">
        <v>45411</v>
      </c>
      <c r="G8" s="300"/>
      <c r="H8" s="761"/>
      <c r="I8" s="761"/>
      <c r="J8" s="761"/>
      <c r="K8" s="761"/>
    </row>
    <row r="9" spans="1:11" ht="18.75" customHeight="1" x14ac:dyDescent="0.25">
      <c r="A9" s="278">
        <v>5</v>
      </c>
      <c r="B9" s="349">
        <v>4054021280</v>
      </c>
      <c r="C9" s="310" t="s">
        <v>1348</v>
      </c>
      <c r="D9" s="313" t="s">
        <v>17</v>
      </c>
      <c r="E9" s="275" t="str">
        <f t="shared" si="0"/>
        <v>Rétirétardivement-30000FCFAamende</v>
      </c>
      <c r="F9" s="301">
        <v>45436</v>
      </c>
      <c r="G9" s="300"/>
      <c r="H9" s="761"/>
      <c r="I9" s="761"/>
      <c r="J9" s="761"/>
      <c r="K9" s="761"/>
    </row>
    <row r="10" spans="1:11" ht="18.75" customHeight="1" x14ac:dyDescent="0.25">
      <c r="A10" s="278">
        <v>6</v>
      </c>
      <c r="B10" s="349">
        <v>4121138400</v>
      </c>
      <c r="C10" s="310" t="s">
        <v>1157</v>
      </c>
      <c r="D10" s="313" t="s">
        <v>17</v>
      </c>
      <c r="E10" s="275" t="str">
        <f t="shared" si="0"/>
        <v>Rétirédanslesdélais</v>
      </c>
      <c r="F10" s="301">
        <v>45408</v>
      </c>
      <c r="G10" s="300"/>
      <c r="H10" s="761"/>
      <c r="I10" s="761"/>
      <c r="J10" s="761"/>
      <c r="K10" s="761"/>
    </row>
    <row r="11" spans="1:11" s="23" customFormat="1" ht="18.75" customHeight="1" x14ac:dyDescent="0.25">
      <c r="A11" s="278">
        <v>7</v>
      </c>
      <c r="B11" s="349">
        <v>4121139870</v>
      </c>
      <c r="C11" s="310" t="s">
        <v>1122</v>
      </c>
      <c r="D11" s="313" t="s">
        <v>17</v>
      </c>
      <c r="E11" s="275" t="str">
        <f t="shared" si="0"/>
        <v>Rétirédanslesdélais</v>
      </c>
      <c r="F11" s="301">
        <v>45406</v>
      </c>
      <c r="G11" s="300" t="s">
        <v>1532</v>
      </c>
      <c r="H11" s="761"/>
      <c r="I11" s="761"/>
      <c r="J11" s="761"/>
      <c r="K11" s="761"/>
    </row>
    <row r="12" spans="1:11" s="23" customFormat="1" ht="18.75" customHeight="1" x14ac:dyDescent="0.25">
      <c r="A12" s="278">
        <v>8</v>
      </c>
      <c r="B12" s="349">
        <v>4121145090</v>
      </c>
      <c r="C12" s="310" t="s">
        <v>1144</v>
      </c>
      <c r="D12" s="313" t="s">
        <v>17</v>
      </c>
      <c r="E12" s="275" t="str">
        <f t="shared" si="0"/>
        <v>Rétirédanslesdélais</v>
      </c>
      <c r="F12" s="301">
        <v>44673</v>
      </c>
      <c r="G12" s="300"/>
      <c r="H12" s="761"/>
      <c r="I12" s="761"/>
      <c r="J12" s="761"/>
      <c r="K12" s="761"/>
    </row>
    <row r="13" spans="1:11" ht="18.75" customHeight="1" x14ac:dyDescent="0.25">
      <c r="A13" s="278">
        <v>9</v>
      </c>
      <c r="B13" s="349">
        <v>4121159320</v>
      </c>
      <c r="C13" s="310" t="s">
        <v>1533</v>
      </c>
      <c r="D13" s="313" t="s">
        <v>1412</v>
      </c>
      <c r="E13" s="275" t="str">
        <f t="shared" si="0"/>
        <v>Rétirédanslesdélais</v>
      </c>
      <c r="F13" s="301">
        <v>45404</v>
      </c>
      <c r="G13" s="300"/>
      <c r="H13" s="761"/>
      <c r="I13" s="761"/>
      <c r="J13" s="761"/>
      <c r="K13" s="761"/>
    </row>
    <row r="14" spans="1:11" ht="18.75" customHeight="1" x14ac:dyDescent="0.25">
      <c r="A14" s="278">
        <v>10</v>
      </c>
      <c r="B14" s="349">
        <v>4121172910</v>
      </c>
      <c r="C14" s="310" t="s">
        <v>1534</v>
      </c>
      <c r="D14" s="313" t="s">
        <v>1412</v>
      </c>
      <c r="E14" s="275" t="str">
        <f t="shared" si="0"/>
        <v>Rétirétardivement-30000FCFAamende</v>
      </c>
      <c r="F14" s="301">
        <v>45415</v>
      </c>
      <c r="G14" s="300"/>
      <c r="H14" s="761"/>
      <c r="I14" s="761"/>
      <c r="J14" s="761"/>
      <c r="K14" s="761"/>
    </row>
    <row r="15" spans="1:11" ht="18.75" customHeight="1" x14ac:dyDescent="0.25">
      <c r="A15" s="278">
        <v>11</v>
      </c>
      <c r="B15" s="349">
        <v>4121173070</v>
      </c>
      <c r="C15" s="310" t="s">
        <v>1414</v>
      </c>
      <c r="D15" s="313" t="s">
        <v>17</v>
      </c>
      <c r="E15" s="275" t="str">
        <f t="shared" si="0"/>
        <v>Rétirétardivement-30000FCFAamende</v>
      </c>
      <c r="F15" s="301">
        <v>45420</v>
      </c>
      <c r="G15" s="300"/>
      <c r="H15" s="761"/>
      <c r="I15" s="761"/>
      <c r="J15" s="761"/>
      <c r="K15" s="761"/>
    </row>
    <row r="16" spans="1:11" ht="18.75" customHeight="1" x14ac:dyDescent="0.25">
      <c r="A16" s="278">
        <v>12</v>
      </c>
      <c r="B16" s="312">
        <v>4121173170</v>
      </c>
      <c r="C16" s="310" t="s">
        <v>46</v>
      </c>
      <c r="D16" s="313" t="s">
        <v>17</v>
      </c>
      <c r="E16" s="275" t="str">
        <f t="shared" si="0"/>
        <v>Rétirédanslesdélais</v>
      </c>
      <c r="F16" s="301">
        <v>45405</v>
      </c>
      <c r="G16" s="300"/>
      <c r="H16" s="761"/>
      <c r="I16" s="761"/>
      <c r="J16" s="761"/>
      <c r="K16" s="761"/>
    </row>
    <row r="17" spans="1:11" ht="18.75" customHeight="1" x14ac:dyDescent="0.25">
      <c r="A17" s="278">
        <v>13</v>
      </c>
      <c r="B17" s="312">
        <v>4121173180</v>
      </c>
      <c r="C17" s="310" t="s">
        <v>39</v>
      </c>
      <c r="D17" s="313" t="s">
        <v>17</v>
      </c>
      <c r="E17" s="275" t="str">
        <f t="shared" si="0"/>
        <v>Rétirédanslesdélais</v>
      </c>
      <c r="F17" s="301">
        <v>45405</v>
      </c>
      <c r="G17" s="300"/>
      <c r="H17" s="761"/>
      <c r="I17" s="761"/>
      <c r="J17" s="761"/>
      <c r="K17" s="761"/>
    </row>
    <row r="18" spans="1:11" ht="18.75" customHeight="1" x14ac:dyDescent="0.25">
      <c r="A18" s="278">
        <v>14</v>
      </c>
      <c r="B18" s="312">
        <v>4121173190</v>
      </c>
      <c r="C18" s="310" t="s">
        <v>39</v>
      </c>
      <c r="D18" s="313" t="s">
        <v>17</v>
      </c>
      <c r="E18" s="275" t="str">
        <f t="shared" si="0"/>
        <v>Rétirédanslesdélais</v>
      </c>
      <c r="F18" s="301">
        <v>45405</v>
      </c>
      <c r="G18" s="300"/>
      <c r="H18" s="761"/>
      <c r="I18" s="761"/>
      <c r="J18" s="761"/>
      <c r="K18" s="761"/>
    </row>
    <row r="19" spans="1:11" x14ac:dyDescent="0.25">
      <c r="A19" s="292"/>
      <c r="B19" s="292"/>
    </row>
    <row r="20" spans="1:11" x14ac:dyDescent="0.25">
      <c r="A20" s="292"/>
      <c r="B20" s="292"/>
    </row>
    <row r="24" spans="1:11" s="292" customFormat="1" x14ac:dyDescent="0.25">
      <c r="A24"/>
      <c r="B24"/>
      <c r="E24"/>
      <c r="F24"/>
      <c r="G24"/>
      <c r="H24"/>
      <c r="I24"/>
      <c r="J24"/>
      <c r="K24"/>
    </row>
  </sheetData>
  <autoFilter ref="A4:K18" xr:uid="{4990FBFD-B240-49B0-838F-2EB6A21B18BB}">
    <filterColumn colId="7" showButton="0"/>
    <filterColumn colId="8" showButton="0"/>
    <filterColumn colId="9" showButton="0"/>
  </autoFilter>
  <mergeCells count="5">
    <mergeCell ref="A1:B1"/>
    <mergeCell ref="E1:F1"/>
    <mergeCell ref="A2:B2"/>
    <mergeCell ref="H4:K4"/>
    <mergeCell ref="H5:K18"/>
  </mergeCells>
  <conditionalFormatting sqref="B1:B3">
    <cfRule type="duplicateValues" dxfId="492" priority="10"/>
    <cfRule type="duplicateValues" dxfId="491" priority="11"/>
    <cfRule type="duplicateValues" dxfId="490" priority="12"/>
    <cfRule type="duplicateValues" dxfId="489" priority="13"/>
  </conditionalFormatting>
  <conditionalFormatting sqref="B20">
    <cfRule type="containsText" dxfId="488" priority="4" operator="containsText" text="En Attente d'un Retrait Tardif">
      <formula>NOT(ISERROR(SEARCH("En Attente d'un Retrait Tardif",B20)))</formula>
    </cfRule>
    <cfRule type="containsText" dxfId="487" priority="5" operator="containsText" text="Rétiré dans les délais">
      <formula>NOT(ISERROR(SEARCH("Rétiré dans les délais",B20)))</formula>
    </cfRule>
  </conditionalFormatting>
  <conditionalFormatting sqref="B42:B1048576 B1:B3 B19:B20">
    <cfRule type="duplicateValues" dxfId="486" priority="3"/>
  </conditionalFormatting>
  <conditionalFormatting sqref="B42:B1048576 B19 B1:B3">
    <cfRule type="duplicateValues" dxfId="485" priority="6"/>
    <cfRule type="duplicateValues" dxfId="484" priority="9"/>
  </conditionalFormatting>
  <conditionalFormatting sqref="C5:C18">
    <cfRule type="containsText" dxfId="483" priority="1" operator="containsText" text="En Attente d'un Retrait Tardif">
      <formula>NOT(ISERROR(SEARCH("En Attente d'un Retrait Tardif",C5)))</formula>
    </cfRule>
    <cfRule type="containsText" dxfId="482" priority="2" operator="containsText" text="Rétiré dans les délais">
      <formula>NOT(ISERROR(SEARCH("Rétiré dans les délais",C5)))</formula>
    </cfRule>
  </conditionalFormatting>
  <conditionalFormatting sqref="E5:E18">
    <cfRule type="containsText" dxfId="481" priority="7" operator="containsText" text="En Attente d'un Retrait Tardif">
      <formula>NOT(ISERROR(SEARCH("En Attente d'un Retrait Tardif",E5)))</formula>
    </cfRule>
    <cfRule type="containsText" dxfId="480" priority="8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BB9B-EBCA-45F9-9211-9D2972BC71A2}">
  <sheetPr codeName="Feuil74">
    <tabColor theme="9" tint="0.39997558519241921"/>
  </sheetPr>
  <dimension ref="A1:K30"/>
  <sheetViews>
    <sheetView zoomScaleNormal="100" workbookViewId="0">
      <selection activeCell="B5" sqref="B5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3.85546875" style="292" customWidth="1"/>
    <col min="4" max="4" width="11.42578125" style="292" customWidth="1"/>
    <col min="5" max="5" width="38" customWidth="1"/>
    <col min="6" max="6" width="19.140625" customWidth="1"/>
    <col min="7" max="7" width="35.140625" customWidth="1"/>
    <col min="8" max="11" width="14.5703125" customWidth="1"/>
  </cols>
  <sheetData>
    <row r="1" spans="1:11" ht="16.5" thickBot="1" x14ac:dyDescent="0.3">
      <c r="A1" s="98" t="s">
        <v>1535</v>
      </c>
      <c r="B1" s="98"/>
      <c r="C1" s="288"/>
      <c r="D1" s="288"/>
      <c r="E1" s="729"/>
      <c r="F1" s="729"/>
    </row>
    <row r="2" spans="1:11" ht="24" thickBot="1" x14ac:dyDescent="0.3">
      <c r="A2" s="730" t="s">
        <v>0</v>
      </c>
      <c r="B2" s="730"/>
      <c r="C2" s="25"/>
      <c r="D2" s="25"/>
      <c r="E2" s="314">
        <v>45421</v>
      </c>
      <c r="F2" s="315">
        <f ca="1">TODAY()</f>
        <v>46096</v>
      </c>
      <c r="G2" s="5">
        <f ca="1">F2-E2</f>
        <v>675</v>
      </c>
    </row>
    <row r="3" spans="1:11" x14ac:dyDescent="0.25">
      <c r="E3" s="105"/>
    </row>
    <row r="4" spans="1:11" ht="17.25" x14ac:dyDescent="0.25">
      <c r="A4" s="290" t="s">
        <v>1</v>
      </c>
      <c r="B4" s="290" t="s">
        <v>2</v>
      </c>
      <c r="C4" s="290" t="s">
        <v>5</v>
      </c>
      <c r="D4" s="290" t="s">
        <v>1065</v>
      </c>
      <c r="E4" s="290" t="s">
        <v>7</v>
      </c>
      <c r="F4" s="290" t="s">
        <v>1514</v>
      </c>
      <c r="G4" s="290" t="s">
        <v>1515</v>
      </c>
      <c r="H4" s="750" t="s">
        <v>11</v>
      </c>
      <c r="I4" s="750"/>
      <c r="J4" s="750"/>
      <c r="K4" s="750"/>
    </row>
    <row r="5" spans="1:11" ht="18.75" customHeight="1" x14ac:dyDescent="0.25">
      <c r="A5" s="278">
        <v>1</v>
      </c>
      <c r="B5" s="275">
        <v>2147259000</v>
      </c>
      <c r="C5" s="275" t="s">
        <v>1261</v>
      </c>
      <c r="D5" s="313"/>
      <c r="E5" s="275" t="str">
        <f t="shared" ref="E5:E30" si="0">IF(F5="",IF($G$2&lt;=15,"EnattentedeRetrait","EnAttented'unRetraitTardif"),IF(F5-$E$2&lt;=15,"Rétirédanslesdélais",IF(F5-$E$2&gt;15,"Rétirétardivement-30000FCFAamende")))</f>
        <v>Rétirédanslesdélais</v>
      </c>
      <c r="F5" s="301">
        <v>45426</v>
      </c>
      <c r="G5" s="300"/>
      <c r="H5" s="760"/>
      <c r="I5" s="760"/>
      <c r="J5" s="760"/>
      <c r="K5" s="760"/>
    </row>
    <row r="6" spans="1:11" ht="18.75" customHeight="1" x14ac:dyDescent="0.25">
      <c r="A6" s="278">
        <v>2</v>
      </c>
      <c r="B6" s="275">
        <v>4054005940</v>
      </c>
      <c r="C6" s="275" t="s">
        <v>1262</v>
      </c>
      <c r="D6" s="313"/>
      <c r="E6" s="275" t="str">
        <f t="shared" si="0"/>
        <v>Rétirédanslesdélais</v>
      </c>
      <c r="F6" s="301">
        <v>45426</v>
      </c>
      <c r="G6" s="300"/>
      <c r="H6" s="760"/>
      <c r="I6" s="760"/>
      <c r="J6" s="760"/>
      <c r="K6" s="760"/>
    </row>
    <row r="7" spans="1:11" ht="18.75" customHeight="1" x14ac:dyDescent="0.25">
      <c r="A7" s="278">
        <v>3</v>
      </c>
      <c r="B7" s="275">
        <v>4054005948</v>
      </c>
      <c r="C7" s="275" t="s">
        <v>1262</v>
      </c>
      <c r="D7" s="313"/>
      <c r="E7" s="275" t="str">
        <f t="shared" si="0"/>
        <v>Rétirédanslesdélais</v>
      </c>
      <c r="F7" s="301">
        <v>45426</v>
      </c>
      <c r="G7" s="300"/>
      <c r="H7" s="760"/>
      <c r="I7" s="760"/>
      <c r="J7" s="760"/>
      <c r="K7" s="760"/>
    </row>
    <row r="8" spans="1:11" ht="18.75" customHeight="1" x14ac:dyDescent="0.25">
      <c r="A8" s="278">
        <v>4</v>
      </c>
      <c r="B8" s="275">
        <v>4054005949</v>
      </c>
      <c r="C8" s="275" t="s">
        <v>1262</v>
      </c>
      <c r="D8" s="313"/>
      <c r="E8" s="275" t="str">
        <f t="shared" si="0"/>
        <v>Rétirédanslesdélais</v>
      </c>
      <c r="F8" s="301">
        <v>45426</v>
      </c>
      <c r="G8" s="300"/>
      <c r="H8" s="760"/>
      <c r="I8" s="760"/>
      <c r="J8" s="760"/>
      <c r="K8" s="760"/>
    </row>
    <row r="9" spans="1:11" ht="17.25" customHeight="1" x14ac:dyDescent="0.25">
      <c r="A9" s="278">
        <v>5</v>
      </c>
      <c r="B9" s="275">
        <v>4054011230</v>
      </c>
      <c r="C9" s="275" t="s">
        <v>1262</v>
      </c>
      <c r="D9" s="313"/>
      <c r="E9" s="275" t="str">
        <f t="shared" si="0"/>
        <v>Rétirédanslesdélais</v>
      </c>
      <c r="F9" s="301">
        <v>45426</v>
      </c>
      <c r="G9" s="300"/>
      <c r="H9" s="760"/>
      <c r="I9" s="760"/>
      <c r="J9" s="760"/>
      <c r="K9" s="760"/>
    </row>
    <row r="10" spans="1:11" ht="17.25" customHeight="1" x14ac:dyDescent="0.25">
      <c r="A10" s="278">
        <v>6</v>
      </c>
      <c r="B10" s="275">
        <v>4054011239</v>
      </c>
      <c r="C10" s="275" t="s">
        <v>1262</v>
      </c>
      <c r="D10" s="313"/>
      <c r="E10" s="275" t="str">
        <f t="shared" si="0"/>
        <v>Rétirédanslesdélais</v>
      </c>
      <c r="F10" s="301">
        <v>45426</v>
      </c>
      <c r="G10" s="300"/>
      <c r="H10" s="760"/>
      <c r="I10" s="760"/>
      <c r="J10" s="760"/>
      <c r="K10" s="760"/>
    </row>
    <row r="11" spans="1:11" ht="17.25" customHeight="1" x14ac:dyDescent="0.25">
      <c r="A11" s="278">
        <v>7</v>
      </c>
      <c r="B11" s="275">
        <v>4054012230</v>
      </c>
      <c r="C11" s="275" t="s">
        <v>1371</v>
      </c>
      <c r="D11" s="313"/>
      <c r="E11" s="275" t="str">
        <f t="shared" si="0"/>
        <v>Rétirédanslesdélais</v>
      </c>
      <c r="F11" s="301">
        <v>45427</v>
      </c>
      <c r="G11" s="300"/>
      <c r="H11" s="760"/>
      <c r="I11" s="760"/>
      <c r="J11" s="760"/>
      <c r="K11" s="760"/>
    </row>
    <row r="12" spans="1:11" ht="17.25" customHeight="1" x14ac:dyDescent="0.25">
      <c r="A12" s="278">
        <v>8</v>
      </c>
      <c r="B12" s="275">
        <v>4054012239</v>
      </c>
      <c r="C12" s="275" t="s">
        <v>1371</v>
      </c>
      <c r="D12" s="313"/>
      <c r="E12" s="275" t="str">
        <f t="shared" si="0"/>
        <v>Rétirédanslesdélais</v>
      </c>
      <c r="F12" s="301">
        <v>45427</v>
      </c>
      <c r="G12" s="300"/>
      <c r="H12" s="760"/>
      <c r="I12" s="760"/>
      <c r="J12" s="760"/>
      <c r="K12" s="760"/>
    </row>
    <row r="13" spans="1:11" ht="17.25" customHeight="1" x14ac:dyDescent="0.25">
      <c r="A13" s="278">
        <v>9</v>
      </c>
      <c r="B13" s="275">
        <v>4054012730</v>
      </c>
      <c r="C13" s="275" t="s">
        <v>1372</v>
      </c>
      <c r="D13" s="313"/>
      <c r="E13" s="275" t="str">
        <f t="shared" si="0"/>
        <v>Rétirédanslesdélais</v>
      </c>
      <c r="F13" s="301">
        <v>45426</v>
      </c>
      <c r="G13" s="300"/>
      <c r="H13" s="760"/>
      <c r="I13" s="760"/>
      <c r="J13" s="760"/>
      <c r="K13" s="760"/>
    </row>
    <row r="14" spans="1:11" s="292" customFormat="1" ht="17.25" customHeight="1" x14ac:dyDescent="0.2">
      <c r="A14" s="278">
        <v>10</v>
      </c>
      <c r="B14" s="275">
        <v>4054013000</v>
      </c>
      <c r="C14" s="275" t="s">
        <v>1262</v>
      </c>
      <c r="D14" s="313"/>
      <c r="E14" s="275" t="str">
        <f t="shared" si="0"/>
        <v>Rétirédanslesdélais</v>
      </c>
      <c r="F14" s="301">
        <v>45426</v>
      </c>
      <c r="G14" s="300"/>
      <c r="H14" s="760"/>
      <c r="I14" s="760"/>
      <c r="J14" s="760"/>
      <c r="K14" s="760"/>
    </row>
    <row r="15" spans="1:11" ht="17.25" customHeight="1" x14ac:dyDescent="0.25">
      <c r="A15" s="278">
        <v>11</v>
      </c>
      <c r="B15" s="275">
        <v>4054013009</v>
      </c>
      <c r="C15" s="275" t="s">
        <v>1262</v>
      </c>
      <c r="D15" s="313"/>
      <c r="E15" s="275" t="str">
        <f t="shared" si="0"/>
        <v>Rétirédanslesdélais</v>
      </c>
      <c r="F15" s="301">
        <v>45426</v>
      </c>
      <c r="G15" s="300"/>
      <c r="H15" s="760"/>
      <c r="I15" s="760"/>
      <c r="J15" s="760"/>
      <c r="K15" s="760"/>
    </row>
    <row r="16" spans="1:11" ht="17.25" customHeight="1" x14ac:dyDescent="0.25">
      <c r="A16" s="278">
        <v>12</v>
      </c>
      <c r="B16" s="275">
        <v>4054013080</v>
      </c>
      <c r="C16" s="275" t="s">
        <v>1363</v>
      </c>
      <c r="D16" s="313"/>
      <c r="E16" s="275" t="str">
        <f t="shared" si="0"/>
        <v>Rétirédanslesdélais</v>
      </c>
      <c r="F16" s="301">
        <v>45426</v>
      </c>
      <c r="G16" s="300"/>
      <c r="H16" s="760"/>
      <c r="I16" s="760"/>
      <c r="J16" s="760"/>
      <c r="K16" s="760"/>
    </row>
    <row r="17" spans="1:11" ht="17.25" customHeight="1" x14ac:dyDescent="0.25">
      <c r="A17" s="278">
        <v>13</v>
      </c>
      <c r="B17" s="275">
        <v>4054018380</v>
      </c>
      <c r="C17" s="275" t="s">
        <v>1536</v>
      </c>
      <c r="D17" s="313"/>
      <c r="E17" s="275" t="str">
        <f t="shared" si="0"/>
        <v>Rétirédanslesdélais</v>
      </c>
      <c r="F17" s="301">
        <v>45426</v>
      </c>
      <c r="G17" s="300"/>
      <c r="H17" s="760"/>
      <c r="I17" s="760"/>
      <c r="J17" s="760"/>
      <c r="K17" s="760"/>
    </row>
    <row r="18" spans="1:11" ht="17.25" customHeight="1" x14ac:dyDescent="0.25">
      <c r="A18" s="278">
        <v>14</v>
      </c>
      <c r="B18" s="275">
        <v>4054018790</v>
      </c>
      <c r="C18" s="275" t="s">
        <v>1421</v>
      </c>
      <c r="D18" s="313"/>
      <c r="E18" s="275" t="str">
        <f t="shared" si="0"/>
        <v>Rétirédanslesdélais</v>
      </c>
      <c r="F18" s="301">
        <v>45427</v>
      </c>
      <c r="G18" s="300"/>
      <c r="H18" s="760"/>
      <c r="I18" s="760"/>
      <c r="J18" s="760"/>
      <c r="K18" s="760"/>
    </row>
    <row r="19" spans="1:11" ht="17.25" customHeight="1" x14ac:dyDescent="0.25">
      <c r="A19" s="278">
        <v>15</v>
      </c>
      <c r="B19" s="275">
        <v>4054019380</v>
      </c>
      <c r="C19" s="275" t="s">
        <v>1308</v>
      </c>
      <c r="D19" s="313"/>
      <c r="E19" s="275" t="str">
        <f t="shared" si="0"/>
        <v>Rétirédanslesdélais</v>
      </c>
      <c r="F19" s="301">
        <v>45426</v>
      </c>
      <c r="G19" s="300"/>
      <c r="H19" s="760"/>
      <c r="I19" s="760"/>
      <c r="J19" s="760"/>
      <c r="K19" s="760"/>
    </row>
    <row r="20" spans="1:11" ht="17.25" customHeight="1" x14ac:dyDescent="0.25">
      <c r="A20" s="278">
        <v>16</v>
      </c>
      <c r="B20" s="275">
        <v>4054024580</v>
      </c>
      <c r="C20" s="275" t="s">
        <v>1308</v>
      </c>
      <c r="D20" s="313"/>
      <c r="E20" s="275" t="str">
        <f t="shared" si="0"/>
        <v>Rétirédanslesdélais</v>
      </c>
      <c r="F20" s="301">
        <v>45426</v>
      </c>
      <c r="G20" s="300"/>
      <c r="H20" s="760"/>
      <c r="I20" s="760"/>
      <c r="J20" s="760"/>
      <c r="K20" s="760"/>
    </row>
    <row r="21" spans="1:11" ht="17.25" customHeight="1" x14ac:dyDescent="0.25">
      <c r="A21" s="278">
        <v>17</v>
      </c>
      <c r="B21" s="275">
        <v>4054027810</v>
      </c>
      <c r="C21" s="275" t="s">
        <v>1371</v>
      </c>
      <c r="D21" s="313"/>
      <c r="E21" s="275" t="str">
        <f t="shared" si="0"/>
        <v>Rétirédanslesdélais</v>
      </c>
      <c r="F21" s="301">
        <v>45427</v>
      </c>
      <c r="G21" s="300"/>
      <c r="H21" s="760"/>
      <c r="I21" s="760"/>
      <c r="J21" s="760"/>
      <c r="K21" s="760"/>
    </row>
    <row r="22" spans="1:11" ht="17.25" customHeight="1" x14ac:dyDescent="0.25">
      <c r="A22" s="278">
        <v>18</v>
      </c>
      <c r="B22" s="275">
        <v>4054027820</v>
      </c>
      <c r="C22" s="275" t="s">
        <v>1371</v>
      </c>
      <c r="D22" s="313"/>
      <c r="E22" s="275" t="str">
        <f t="shared" si="0"/>
        <v>Rétirédanslesdélais</v>
      </c>
      <c r="F22" s="301">
        <v>45427</v>
      </c>
      <c r="G22" s="300"/>
      <c r="H22" s="760"/>
      <c r="I22" s="760"/>
      <c r="J22" s="760"/>
      <c r="K22" s="760"/>
    </row>
    <row r="23" spans="1:11" ht="17.25" customHeight="1" x14ac:dyDescent="0.25">
      <c r="A23" s="278">
        <v>19</v>
      </c>
      <c r="B23" s="275">
        <v>4054027830</v>
      </c>
      <c r="C23" s="275" t="s">
        <v>1371</v>
      </c>
      <c r="D23" s="313"/>
      <c r="E23" s="275" t="str">
        <f t="shared" si="0"/>
        <v>Rétirédanslesdélais</v>
      </c>
      <c r="F23" s="301">
        <v>45427</v>
      </c>
      <c r="G23" s="300"/>
      <c r="H23" s="760"/>
      <c r="I23" s="760"/>
      <c r="J23" s="760"/>
      <c r="K23" s="760"/>
    </row>
    <row r="24" spans="1:11" ht="17.25" customHeight="1" x14ac:dyDescent="0.25">
      <c r="A24" s="278">
        <v>20</v>
      </c>
      <c r="B24" s="275">
        <v>4054033630</v>
      </c>
      <c r="C24" s="275" t="s">
        <v>1308</v>
      </c>
      <c r="D24" s="313"/>
      <c r="E24" s="275" t="str">
        <f t="shared" si="0"/>
        <v>Rétirédanslesdélais</v>
      </c>
      <c r="F24" s="301">
        <v>45426</v>
      </c>
      <c r="G24" s="300"/>
      <c r="H24" s="760"/>
      <c r="I24" s="760"/>
      <c r="J24" s="760"/>
      <c r="K24" s="760"/>
    </row>
    <row r="25" spans="1:11" ht="17.25" customHeight="1" x14ac:dyDescent="0.25">
      <c r="A25" s="278">
        <v>21</v>
      </c>
      <c r="B25" s="275">
        <v>4054033890</v>
      </c>
      <c r="C25" s="275" t="s">
        <v>1442</v>
      </c>
      <c r="D25" s="313"/>
      <c r="E25" s="275" t="str">
        <f t="shared" si="0"/>
        <v>Rétirédanslesdélais</v>
      </c>
      <c r="F25" s="301">
        <v>45429</v>
      </c>
      <c r="G25" s="300"/>
      <c r="H25" s="760"/>
      <c r="I25" s="760"/>
      <c r="J25" s="760"/>
      <c r="K25" s="760"/>
    </row>
    <row r="26" spans="1:11" ht="17.25" customHeight="1" x14ac:dyDescent="0.25">
      <c r="A26" s="278">
        <v>22</v>
      </c>
      <c r="B26" s="275">
        <v>4054033950</v>
      </c>
      <c r="C26" s="275" t="s">
        <v>1442</v>
      </c>
      <c r="D26" s="313"/>
      <c r="E26" s="275" t="str">
        <f t="shared" si="0"/>
        <v>Rétirédanslesdélais</v>
      </c>
      <c r="F26" s="301">
        <v>45426</v>
      </c>
      <c r="G26" s="300"/>
      <c r="H26" s="760"/>
      <c r="I26" s="760"/>
      <c r="J26" s="760"/>
      <c r="K26" s="760"/>
    </row>
    <row r="27" spans="1:11" ht="17.25" customHeight="1" x14ac:dyDescent="0.25">
      <c r="A27" s="278">
        <v>23</v>
      </c>
      <c r="B27" s="275">
        <v>4054038290</v>
      </c>
      <c r="C27" s="275" t="s">
        <v>1504</v>
      </c>
      <c r="D27" s="313"/>
      <c r="E27" s="275" t="str">
        <f t="shared" si="0"/>
        <v>Rétirédanslesdélais</v>
      </c>
      <c r="F27" s="301">
        <v>45436</v>
      </c>
      <c r="G27" s="300"/>
      <c r="H27" s="760"/>
      <c r="I27" s="760"/>
      <c r="J27" s="760"/>
      <c r="K27" s="760"/>
    </row>
    <row r="28" spans="1:11" ht="17.25" customHeight="1" x14ac:dyDescent="0.25">
      <c r="A28" s="278">
        <v>24</v>
      </c>
      <c r="B28" s="275">
        <v>4054040830</v>
      </c>
      <c r="C28" s="275" t="s">
        <v>1141</v>
      </c>
      <c r="D28" s="313"/>
      <c r="E28" s="275" t="str">
        <f t="shared" si="0"/>
        <v>Rétirédanslesdélais</v>
      </c>
      <c r="F28" s="301">
        <v>45426</v>
      </c>
      <c r="G28" s="300"/>
      <c r="H28" s="760"/>
      <c r="I28" s="760"/>
      <c r="J28" s="760"/>
      <c r="K28" s="760"/>
    </row>
    <row r="29" spans="1:11" ht="17.25" x14ac:dyDescent="0.25">
      <c r="A29" s="278">
        <v>25</v>
      </c>
      <c r="B29" s="275">
        <v>4054042120</v>
      </c>
      <c r="C29" s="275" t="s">
        <v>1450</v>
      </c>
      <c r="D29" s="313"/>
      <c r="E29" s="275" t="str">
        <f t="shared" si="0"/>
        <v>Rétirédanslesdélais</v>
      </c>
      <c r="F29" s="301">
        <v>45433</v>
      </c>
      <c r="G29" s="300"/>
      <c r="H29" s="760"/>
      <c r="I29" s="760"/>
      <c r="J29" s="760"/>
      <c r="K29" s="760"/>
    </row>
    <row r="30" spans="1:11" ht="17.25" x14ac:dyDescent="0.25">
      <c r="A30" s="278">
        <v>26</v>
      </c>
      <c r="B30" s="275">
        <v>4121171520</v>
      </c>
      <c r="C30" s="275" t="s">
        <v>1537</v>
      </c>
      <c r="D30" s="313"/>
      <c r="E30" s="275" t="str">
        <f t="shared" si="0"/>
        <v>Rétirédanslesdélais</v>
      </c>
      <c r="F30" s="301">
        <v>45434</v>
      </c>
      <c r="G30" s="300"/>
      <c r="H30" s="760"/>
      <c r="I30" s="760"/>
      <c r="J30" s="760"/>
      <c r="K30" s="760"/>
    </row>
  </sheetData>
  <autoFilter ref="A4:K30" xr:uid="{4990FBFD-B240-49B0-838F-2EB6A21B18BB}">
    <filterColumn colId="7" showButton="0"/>
    <filterColumn colId="8" showButton="0"/>
    <filterColumn colId="9" showButton="0"/>
  </autoFilter>
  <mergeCells count="4">
    <mergeCell ref="H5:K30"/>
    <mergeCell ref="E1:F1"/>
    <mergeCell ref="A2:B2"/>
    <mergeCell ref="H4:K4"/>
  </mergeCells>
  <conditionalFormatting sqref="B1:B3">
    <cfRule type="duplicateValues" dxfId="479" priority="14"/>
    <cfRule type="duplicateValues" dxfId="478" priority="15"/>
    <cfRule type="duplicateValues" dxfId="477" priority="16"/>
    <cfRule type="duplicateValues" dxfId="476" priority="17"/>
  </conditionalFormatting>
  <conditionalFormatting sqref="B1:B34 B43:B1048576">
    <cfRule type="duplicateValues" dxfId="475" priority="1"/>
  </conditionalFormatting>
  <conditionalFormatting sqref="B32:B34 B1:B3 B43:B1048576">
    <cfRule type="duplicateValues" dxfId="474" priority="9"/>
    <cfRule type="duplicateValues" dxfId="473" priority="12"/>
    <cfRule type="duplicateValues" dxfId="472" priority="13"/>
  </conditionalFormatting>
  <conditionalFormatting sqref="B5:C30">
    <cfRule type="containsText" dxfId="471" priority="5" operator="containsText" text="En Attente d'un Retrait Tardif">
      <formula>NOT(ISERROR(SEARCH("En Attente d'un Retrait Tardif",B5)))</formula>
    </cfRule>
    <cfRule type="containsText" dxfId="470" priority="6" operator="containsText" text="Rétiré dans les délais">
      <formula>NOT(ISERROR(SEARCH("Rétiré dans les délais",B5)))</formula>
    </cfRule>
  </conditionalFormatting>
  <conditionalFormatting sqref="E5:E30">
    <cfRule type="containsText" dxfId="469" priority="10" operator="containsText" text="En Attente d'un Retrait Tardif">
      <formula>NOT(ISERROR(SEARCH("En Attente d'un Retrait Tardif",E5)))</formula>
    </cfRule>
    <cfRule type="containsText" dxfId="468" priority="11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F4E2-B68B-474E-BD4F-CFCD3A5F15E7}">
  <sheetPr codeName="Feuil75">
    <tabColor theme="9" tint="0.39997558519241921"/>
  </sheetPr>
  <dimension ref="A1:K32"/>
  <sheetViews>
    <sheetView zoomScaleNormal="100" workbookViewId="0">
      <selection activeCell="C23" sqref="C23"/>
    </sheetView>
  </sheetViews>
  <sheetFormatPr baseColWidth="10" defaultColWidth="11.42578125" defaultRowHeight="15" x14ac:dyDescent="0.25"/>
  <cols>
    <col min="1" max="1" width="6.42578125" customWidth="1"/>
    <col min="2" max="2" width="18.42578125" customWidth="1"/>
    <col min="3" max="3" width="41.42578125" style="292" customWidth="1"/>
    <col min="4" max="4" width="22.42578125" style="292" customWidth="1"/>
    <col min="5" max="5" width="42.42578125" customWidth="1"/>
    <col min="6" max="6" width="19.140625" customWidth="1"/>
    <col min="7" max="7" width="40" customWidth="1"/>
    <col min="8" max="11" width="14.5703125" customWidth="1"/>
  </cols>
  <sheetData>
    <row r="1" spans="1:11" ht="16.5" thickBot="1" x14ac:dyDescent="0.3">
      <c r="A1" s="762" t="s">
        <v>1538</v>
      </c>
      <c r="B1" s="762"/>
      <c r="C1" s="288"/>
      <c r="D1" s="288"/>
      <c r="E1" s="729"/>
      <c r="F1" s="729"/>
    </row>
    <row r="2" spans="1:11" ht="24" thickBot="1" x14ac:dyDescent="0.3">
      <c r="A2" s="730" t="s">
        <v>0</v>
      </c>
      <c r="B2" s="730"/>
      <c r="C2" s="25"/>
      <c r="D2" s="25"/>
      <c r="E2" s="13">
        <v>45396</v>
      </c>
      <c r="F2" s="4">
        <f ca="1">TODAY()</f>
        <v>46096</v>
      </c>
      <c r="G2" s="5">
        <f ca="1">F2-E2</f>
        <v>700</v>
      </c>
    </row>
    <row r="3" spans="1:11" x14ac:dyDescent="0.25">
      <c r="E3" s="105"/>
    </row>
    <row r="4" spans="1:11" ht="17.25" x14ac:dyDescent="0.25">
      <c r="A4" s="290" t="s">
        <v>1</v>
      </c>
      <c r="B4" s="290" t="s">
        <v>57</v>
      </c>
      <c r="C4" s="290" t="s">
        <v>58</v>
      </c>
      <c r="D4" s="290" t="s">
        <v>1065</v>
      </c>
      <c r="E4" s="290" t="s">
        <v>7</v>
      </c>
      <c r="F4" s="290" t="s">
        <v>1514</v>
      </c>
      <c r="G4" s="290" t="s">
        <v>1515</v>
      </c>
      <c r="H4" s="750" t="s">
        <v>11</v>
      </c>
      <c r="I4" s="750"/>
      <c r="J4" s="750"/>
      <c r="K4" s="750"/>
    </row>
    <row r="5" spans="1:11" ht="18.75" customHeight="1" x14ac:dyDescent="0.25">
      <c r="A5" s="306">
        <v>1</v>
      </c>
      <c r="B5" s="311">
        <v>2146800291</v>
      </c>
      <c r="C5" s="310" t="s">
        <v>1415</v>
      </c>
      <c r="D5" s="309" t="s">
        <v>17</v>
      </c>
      <c r="E5" s="307" t="str">
        <f t="shared" ref="E5:E26" si="0">IF(F5="",IF($G$2&lt;=15,"EnattentedeRetrait","EnAttented'unRetraitTardif"),IF(F5-$E$2&lt;=15,"Rétirédanslesdélais",IF(F5-$E$2&gt;15,"Rétirétardivement-30000FCFAamende")))</f>
        <v>Rétirédanslesdélais</v>
      </c>
      <c r="F5" s="308">
        <v>45399</v>
      </c>
      <c r="G5" s="309"/>
      <c r="H5" s="764" t="s">
        <v>1539</v>
      </c>
      <c r="I5" s="765"/>
      <c r="J5" s="765"/>
      <c r="K5" s="766"/>
    </row>
    <row r="6" spans="1:11" ht="18.75" customHeight="1" x14ac:dyDescent="0.25">
      <c r="A6" s="278">
        <v>2</v>
      </c>
      <c r="B6" s="312">
        <v>4054002880</v>
      </c>
      <c r="C6" s="310" t="s">
        <v>1371</v>
      </c>
      <c r="D6" s="300" t="s">
        <v>1540</v>
      </c>
      <c r="E6" s="275" t="str">
        <f t="shared" si="0"/>
        <v>Rétirédanslesdélais</v>
      </c>
      <c r="F6" s="301">
        <v>45405</v>
      </c>
      <c r="G6" s="300"/>
      <c r="H6" s="767"/>
      <c r="I6" s="768"/>
      <c r="J6" s="768"/>
      <c r="K6" s="769"/>
    </row>
    <row r="7" spans="1:11" ht="18.75" customHeight="1" x14ac:dyDescent="0.25">
      <c r="A7" s="306">
        <v>3</v>
      </c>
      <c r="B7" s="312">
        <v>4054005050</v>
      </c>
      <c r="C7" s="310" t="s">
        <v>1421</v>
      </c>
      <c r="D7" s="300" t="s">
        <v>17</v>
      </c>
      <c r="E7" s="275" t="str">
        <f t="shared" si="0"/>
        <v>Rétirédanslesdélais</v>
      </c>
      <c r="F7" s="301">
        <v>45401</v>
      </c>
      <c r="G7" s="300"/>
      <c r="H7" s="767"/>
      <c r="I7" s="768"/>
      <c r="J7" s="768"/>
      <c r="K7" s="769"/>
    </row>
    <row r="8" spans="1:11" ht="18.75" customHeight="1" x14ac:dyDescent="0.25">
      <c r="A8" s="278">
        <v>4</v>
      </c>
      <c r="B8" s="312">
        <v>4054005059</v>
      </c>
      <c r="C8" s="310" t="s">
        <v>1421</v>
      </c>
      <c r="D8" s="300" t="s">
        <v>17</v>
      </c>
      <c r="E8" s="275" t="str">
        <f t="shared" si="0"/>
        <v>Rétirédanslesdélais</v>
      </c>
      <c r="F8" s="301">
        <v>45401</v>
      </c>
      <c r="G8" s="300"/>
      <c r="H8" s="767"/>
      <c r="I8" s="768"/>
      <c r="J8" s="768"/>
      <c r="K8" s="769"/>
    </row>
    <row r="9" spans="1:11" ht="18.75" customHeight="1" x14ac:dyDescent="0.25">
      <c r="A9" s="306">
        <v>5</v>
      </c>
      <c r="B9" s="312">
        <v>4054005058</v>
      </c>
      <c r="C9" s="310" t="s">
        <v>1421</v>
      </c>
      <c r="D9" s="300" t="s">
        <v>17</v>
      </c>
      <c r="E9" s="275" t="str">
        <f t="shared" si="0"/>
        <v>Rétirédanslesdélais</v>
      </c>
      <c r="F9" s="301">
        <v>45401</v>
      </c>
      <c r="G9" s="300"/>
      <c r="H9" s="767"/>
      <c r="I9" s="768"/>
      <c r="J9" s="768"/>
      <c r="K9" s="769"/>
    </row>
    <row r="10" spans="1:11" s="23" customFormat="1" ht="18.75" customHeight="1" x14ac:dyDescent="0.25">
      <c r="A10" s="278">
        <v>6</v>
      </c>
      <c r="B10" s="312">
        <v>4054005060</v>
      </c>
      <c r="C10" s="310" t="s">
        <v>1421</v>
      </c>
      <c r="D10" s="300" t="s">
        <v>17</v>
      </c>
      <c r="E10" s="275" t="str">
        <f t="shared" si="0"/>
        <v>Rétirédanslesdélais</v>
      </c>
      <c r="F10" s="301">
        <v>45401</v>
      </c>
      <c r="G10" s="300"/>
      <c r="H10" s="767"/>
      <c r="I10" s="768"/>
      <c r="J10" s="768"/>
      <c r="K10" s="769"/>
    </row>
    <row r="11" spans="1:11" s="23" customFormat="1" ht="18.75" customHeight="1" x14ac:dyDescent="0.25">
      <c r="A11" s="306">
        <v>7</v>
      </c>
      <c r="B11" s="312">
        <v>4054012320</v>
      </c>
      <c r="C11" s="310" t="s">
        <v>1421</v>
      </c>
      <c r="D11" s="300" t="s">
        <v>17</v>
      </c>
      <c r="E11" s="275" t="str">
        <f t="shared" si="0"/>
        <v>Rétirédanslesdélais</v>
      </c>
      <c r="F11" s="301">
        <v>45401</v>
      </c>
      <c r="G11" s="300"/>
      <c r="H11" s="767"/>
      <c r="I11" s="768"/>
      <c r="J11" s="768"/>
      <c r="K11" s="769"/>
    </row>
    <row r="12" spans="1:11" ht="18.75" customHeight="1" x14ac:dyDescent="0.25">
      <c r="A12" s="278">
        <v>8</v>
      </c>
      <c r="B12" s="312">
        <v>4054012340</v>
      </c>
      <c r="C12" s="310" t="s">
        <v>1421</v>
      </c>
      <c r="D12" s="300" t="s">
        <v>17</v>
      </c>
      <c r="E12" s="275" t="str">
        <f t="shared" si="0"/>
        <v>Rétirédanslesdélais</v>
      </c>
      <c r="F12" s="301">
        <v>45401</v>
      </c>
      <c r="G12" s="300"/>
      <c r="H12" s="767"/>
      <c r="I12" s="768"/>
      <c r="J12" s="768"/>
      <c r="K12" s="769"/>
    </row>
    <row r="13" spans="1:11" ht="18.75" customHeight="1" x14ac:dyDescent="0.25">
      <c r="A13" s="306">
        <v>9</v>
      </c>
      <c r="B13" s="312">
        <v>4054012480</v>
      </c>
      <c r="C13" s="310" t="s">
        <v>1371</v>
      </c>
      <c r="D13" s="300" t="s">
        <v>17</v>
      </c>
      <c r="E13" s="275" t="str">
        <f t="shared" si="0"/>
        <v>Rétirédanslesdélais</v>
      </c>
      <c r="F13" s="301">
        <v>45404</v>
      </c>
      <c r="G13" s="300"/>
      <c r="H13" s="767"/>
      <c r="I13" s="768"/>
      <c r="J13" s="768"/>
      <c r="K13" s="769"/>
    </row>
    <row r="14" spans="1:11" ht="18.75" customHeight="1" x14ac:dyDescent="0.25">
      <c r="A14" s="278">
        <v>10</v>
      </c>
      <c r="B14" s="312">
        <v>4054012500</v>
      </c>
      <c r="C14" s="310" t="s">
        <v>1371</v>
      </c>
      <c r="D14" s="300" t="s">
        <v>17</v>
      </c>
      <c r="E14" s="275" t="str">
        <f t="shared" si="0"/>
        <v>Rétirédanslesdélais</v>
      </c>
      <c r="F14" s="301">
        <v>45401</v>
      </c>
      <c r="G14" s="300"/>
      <c r="H14" s="767"/>
      <c r="I14" s="768"/>
      <c r="J14" s="768"/>
      <c r="K14" s="769"/>
    </row>
    <row r="15" spans="1:11" ht="18.75" customHeight="1" x14ac:dyDescent="0.25">
      <c r="A15" s="306">
        <v>11</v>
      </c>
      <c r="B15" s="312">
        <v>4121094030</v>
      </c>
      <c r="C15" s="310" t="s">
        <v>1541</v>
      </c>
      <c r="D15" s="300" t="s">
        <v>17</v>
      </c>
      <c r="E15" s="275" t="str">
        <f t="shared" si="0"/>
        <v>Rétirédanslesdélais</v>
      </c>
      <c r="F15" s="301">
        <v>45401</v>
      </c>
      <c r="G15" s="300" t="s">
        <v>1542</v>
      </c>
      <c r="H15" s="767"/>
      <c r="I15" s="768"/>
      <c r="J15" s="768"/>
      <c r="K15" s="769"/>
    </row>
    <row r="16" spans="1:11" ht="18.75" customHeight="1" x14ac:dyDescent="0.25">
      <c r="A16" s="278">
        <v>12</v>
      </c>
      <c r="B16" s="312">
        <v>4121111020</v>
      </c>
      <c r="C16" s="310" t="s">
        <v>1543</v>
      </c>
      <c r="D16" s="300" t="s">
        <v>17</v>
      </c>
      <c r="E16" s="275" t="str">
        <f t="shared" si="0"/>
        <v>Rétirédanslesdélais</v>
      </c>
      <c r="F16" s="301">
        <v>45400</v>
      </c>
      <c r="G16" s="300"/>
      <c r="H16" s="767"/>
      <c r="I16" s="768"/>
      <c r="J16" s="768"/>
      <c r="K16" s="769"/>
    </row>
    <row r="17" spans="1:11" ht="18.75" customHeight="1" x14ac:dyDescent="0.25">
      <c r="A17" s="306">
        <v>13</v>
      </c>
      <c r="B17" s="312">
        <v>4121111030</v>
      </c>
      <c r="C17" s="310" t="s">
        <v>1543</v>
      </c>
      <c r="D17" s="300" t="s">
        <v>17</v>
      </c>
      <c r="E17" s="275" t="str">
        <f t="shared" si="0"/>
        <v>Rétirédanslesdélais</v>
      </c>
      <c r="F17" s="301">
        <v>45400</v>
      </c>
      <c r="G17" s="300" t="s">
        <v>1544</v>
      </c>
      <c r="H17" s="767"/>
      <c r="I17" s="768"/>
      <c r="J17" s="768"/>
      <c r="K17" s="769"/>
    </row>
    <row r="18" spans="1:11" ht="18.75" customHeight="1" x14ac:dyDescent="0.25">
      <c r="A18" s="278">
        <v>14</v>
      </c>
      <c r="B18" s="312">
        <v>4121147550</v>
      </c>
      <c r="C18" s="310" t="s">
        <v>1363</v>
      </c>
      <c r="D18" s="300" t="s">
        <v>17</v>
      </c>
      <c r="E18" s="275" t="str">
        <f t="shared" si="0"/>
        <v>Rétirédanslesdélais</v>
      </c>
      <c r="F18" s="301">
        <v>45399</v>
      </c>
      <c r="G18" s="300"/>
      <c r="H18" s="767"/>
      <c r="I18" s="768"/>
      <c r="J18" s="768"/>
      <c r="K18" s="769"/>
    </row>
    <row r="19" spans="1:11" ht="18.75" customHeight="1" x14ac:dyDescent="0.25">
      <c r="A19" s="306">
        <v>15</v>
      </c>
      <c r="B19" s="312">
        <v>4121150101</v>
      </c>
      <c r="C19" s="310" t="s">
        <v>1499</v>
      </c>
      <c r="D19" s="300" t="s">
        <v>17</v>
      </c>
      <c r="E19" s="275" t="str">
        <f t="shared" si="0"/>
        <v>Rétirédanslesdélais</v>
      </c>
      <c r="F19" s="301">
        <v>45400</v>
      </c>
      <c r="G19" s="300"/>
      <c r="H19" s="767"/>
      <c r="I19" s="768"/>
      <c r="J19" s="768"/>
      <c r="K19" s="769"/>
    </row>
    <row r="20" spans="1:11" ht="18.75" customHeight="1" x14ac:dyDescent="0.25">
      <c r="A20" s="278">
        <v>16</v>
      </c>
      <c r="B20" s="312">
        <v>4121154890</v>
      </c>
      <c r="C20" s="310" t="s">
        <v>1158</v>
      </c>
      <c r="D20" s="300" t="s">
        <v>17</v>
      </c>
      <c r="E20" s="275" t="str">
        <f t="shared" si="0"/>
        <v>Rétirédanslesdélais</v>
      </c>
      <c r="F20" s="301">
        <v>45399</v>
      </c>
      <c r="G20" s="300"/>
      <c r="H20" s="767"/>
      <c r="I20" s="768"/>
      <c r="J20" s="768"/>
      <c r="K20" s="769"/>
    </row>
    <row r="21" spans="1:11" ht="18.75" customHeight="1" x14ac:dyDescent="0.25">
      <c r="A21" s="306">
        <v>17</v>
      </c>
      <c r="B21" s="312">
        <v>4121166240</v>
      </c>
      <c r="C21" s="310" t="s">
        <v>1450</v>
      </c>
      <c r="D21" s="300" t="s">
        <v>17</v>
      </c>
      <c r="E21" s="275" t="str">
        <f t="shared" si="0"/>
        <v>Rétirédanslesdélais</v>
      </c>
      <c r="F21" s="301">
        <v>45406</v>
      </c>
      <c r="G21" s="300"/>
      <c r="H21" s="767"/>
      <c r="I21" s="768"/>
      <c r="J21" s="768"/>
      <c r="K21" s="769"/>
    </row>
    <row r="22" spans="1:11" ht="18.75" customHeight="1" x14ac:dyDescent="0.25">
      <c r="A22" s="278">
        <v>18</v>
      </c>
      <c r="B22" s="312">
        <v>4121166260</v>
      </c>
      <c r="C22" s="310" t="s">
        <v>1450</v>
      </c>
      <c r="D22" s="300" t="s">
        <v>17</v>
      </c>
      <c r="E22" s="275" t="str">
        <f t="shared" si="0"/>
        <v>Rétirédanslesdélais</v>
      </c>
      <c r="F22" s="301">
        <v>45400</v>
      </c>
      <c r="G22" s="300"/>
      <c r="H22" s="767"/>
      <c r="I22" s="768"/>
      <c r="J22" s="768"/>
      <c r="K22" s="769"/>
    </row>
    <row r="23" spans="1:11" ht="18.75" customHeight="1" x14ac:dyDescent="0.25">
      <c r="A23" s="306">
        <v>19</v>
      </c>
      <c r="B23" s="316">
        <v>4121167120</v>
      </c>
      <c r="C23" s="310" t="s">
        <v>1545</v>
      </c>
      <c r="D23" s="300" t="s">
        <v>17</v>
      </c>
      <c r="E23" s="275" t="str">
        <f t="shared" si="0"/>
        <v>Rétirétardivement-30000FCFAamende</v>
      </c>
      <c r="F23" s="301">
        <v>45418</v>
      </c>
      <c r="G23" s="300"/>
      <c r="H23" s="767"/>
      <c r="I23" s="768"/>
      <c r="J23" s="768"/>
      <c r="K23" s="769"/>
    </row>
    <row r="24" spans="1:11" ht="18.75" customHeight="1" x14ac:dyDescent="0.25">
      <c r="A24" s="278">
        <v>20</v>
      </c>
      <c r="B24" s="312">
        <v>4121169170</v>
      </c>
      <c r="C24" s="310" t="s">
        <v>1069</v>
      </c>
      <c r="D24" s="300" t="s">
        <v>17</v>
      </c>
      <c r="E24" s="275" t="str">
        <f t="shared" si="0"/>
        <v>Rétirétardivement-30000FCFAamende</v>
      </c>
      <c r="F24" s="301">
        <v>45491</v>
      </c>
      <c r="G24" s="300"/>
      <c r="H24" s="767"/>
      <c r="I24" s="768"/>
      <c r="J24" s="768"/>
      <c r="K24" s="769"/>
    </row>
    <row r="25" spans="1:11" ht="18.75" customHeight="1" x14ac:dyDescent="0.25">
      <c r="A25" s="306">
        <v>21</v>
      </c>
      <c r="B25" s="312">
        <v>4121181080</v>
      </c>
      <c r="C25" s="310" t="s">
        <v>1262</v>
      </c>
      <c r="D25" s="300" t="s">
        <v>1540</v>
      </c>
      <c r="E25" s="275" t="str">
        <f t="shared" si="0"/>
        <v>Rétirédanslesdélais</v>
      </c>
      <c r="F25" s="301">
        <v>45401</v>
      </c>
      <c r="G25" s="300"/>
      <c r="H25" s="767"/>
      <c r="I25" s="768"/>
      <c r="J25" s="768"/>
      <c r="K25" s="769"/>
    </row>
    <row r="26" spans="1:11" ht="18.75" customHeight="1" x14ac:dyDescent="0.25">
      <c r="A26" s="278">
        <v>22</v>
      </c>
      <c r="B26" s="312">
        <v>4121181090</v>
      </c>
      <c r="C26" s="310" t="s">
        <v>1262</v>
      </c>
      <c r="D26" s="300" t="s">
        <v>1540</v>
      </c>
      <c r="E26" s="275" t="str">
        <f t="shared" si="0"/>
        <v>Rétirédanslesdélais</v>
      </c>
      <c r="F26" s="301">
        <v>45401</v>
      </c>
      <c r="G26" s="300"/>
      <c r="H26" s="770"/>
      <c r="I26" s="771"/>
      <c r="J26" s="771"/>
      <c r="K26" s="772"/>
    </row>
    <row r="27" spans="1:11" x14ac:dyDescent="0.25">
      <c r="A27" s="292"/>
      <c r="B27" s="292"/>
    </row>
    <row r="28" spans="1:11" x14ac:dyDescent="0.25">
      <c r="A28" s="292"/>
      <c r="B28" s="292"/>
    </row>
    <row r="32" spans="1:11" s="292" customFormat="1" x14ac:dyDescent="0.25">
      <c r="A32"/>
      <c r="B32"/>
      <c r="E32"/>
      <c r="F32"/>
      <c r="G32"/>
      <c r="H32"/>
      <c r="I32"/>
      <c r="J32"/>
      <c r="K32"/>
    </row>
  </sheetData>
  <autoFilter ref="A4:K24" xr:uid="{4990FBFD-B240-49B0-838F-2EB6A21B18BB}">
    <filterColumn colId="7" showButton="0"/>
    <filterColumn colId="8" showButton="0"/>
    <filterColumn colId="9" showButton="0"/>
  </autoFilter>
  <mergeCells count="5">
    <mergeCell ref="H5:K26"/>
    <mergeCell ref="A1:B1"/>
    <mergeCell ref="E1:F1"/>
    <mergeCell ref="A2:B2"/>
    <mergeCell ref="H4:K4"/>
  </mergeCells>
  <conditionalFormatting sqref="B1:B3">
    <cfRule type="duplicateValues" dxfId="467" priority="12"/>
    <cfRule type="duplicateValues" dxfId="466" priority="13"/>
    <cfRule type="duplicateValues" dxfId="465" priority="14"/>
    <cfRule type="duplicateValues" dxfId="464" priority="15"/>
  </conditionalFormatting>
  <conditionalFormatting sqref="B28">
    <cfRule type="containsText" dxfId="463" priority="4" operator="containsText" text="En Attente d'un Retrait Tardif">
      <formula>NOT(ISERROR(SEARCH("En Attente d'un Retrait Tardif",B28)))</formula>
    </cfRule>
    <cfRule type="containsText" dxfId="462" priority="5" operator="containsText" text="Rétiré dans les délais">
      <formula>NOT(ISERROR(SEARCH("Rétiré dans les délais",B28)))</formula>
    </cfRule>
  </conditionalFormatting>
  <conditionalFormatting sqref="B50:B1048576 B1:B3 B27:B28">
    <cfRule type="duplicateValues" dxfId="461" priority="3"/>
  </conditionalFormatting>
  <conditionalFormatting sqref="B50:B1048576 B27 B1:B3">
    <cfRule type="duplicateValues" dxfId="460" priority="8"/>
    <cfRule type="duplicateValues" dxfId="459" priority="11"/>
  </conditionalFormatting>
  <conditionalFormatting sqref="C5:C26">
    <cfRule type="containsText" dxfId="458" priority="1" operator="containsText" text="En Attente d'un Retrait Tardif">
      <formula>NOT(ISERROR(SEARCH("En Attente d'un Retrait Tardif",C5)))</formula>
    </cfRule>
    <cfRule type="containsText" dxfId="457" priority="2" operator="containsText" text="Rétiré dans les délais">
      <formula>NOT(ISERROR(SEARCH("Rétiré dans les délais",C5)))</formula>
    </cfRule>
  </conditionalFormatting>
  <conditionalFormatting sqref="E5:E26">
    <cfRule type="containsText" dxfId="456" priority="9" operator="containsText" text="En Attente d'un Retrait Tardif">
      <formula>NOT(ISERROR(SEARCH("En Attente d'un Retrait Tardif",E5)))</formula>
    </cfRule>
    <cfRule type="containsText" dxfId="455" priority="10" operator="containsText" text="Rétiré dans les délais">
      <formula>NOT(ISERROR(SEARCH("Rétiré dans les délais",E5)))</formula>
    </cfRule>
  </conditionalFormatting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F547-50C5-450F-88D9-6B51E6196BCC}">
  <sheetPr codeName="Feuil76">
    <tabColor theme="9" tint="0.59999389629810485"/>
  </sheetPr>
  <dimension ref="A1:L25"/>
  <sheetViews>
    <sheetView zoomScaleNormal="100" workbookViewId="0">
      <selection activeCell="C18" sqref="C18"/>
    </sheetView>
  </sheetViews>
  <sheetFormatPr baseColWidth="10" defaultColWidth="11.42578125" defaultRowHeight="15" x14ac:dyDescent="0.25"/>
  <cols>
    <col min="1" max="1" width="6.42578125" customWidth="1"/>
    <col min="2" max="2" width="19.28515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  <col min="11" max="11" width="20.7109375" customWidth="1"/>
    <col min="12" max="12" width="32" customWidth="1"/>
  </cols>
  <sheetData>
    <row r="1" spans="1:12" ht="16.5" thickBot="1" x14ac:dyDescent="0.3">
      <c r="A1" s="762" t="s">
        <v>1546</v>
      </c>
      <c r="B1" s="762"/>
      <c r="C1" s="288"/>
      <c r="D1" s="729"/>
      <c r="E1" s="729"/>
    </row>
    <row r="2" spans="1:12" ht="24" thickBot="1" x14ac:dyDescent="0.3">
      <c r="A2" s="730" t="s">
        <v>0</v>
      </c>
      <c r="B2" s="730"/>
      <c r="C2" s="25"/>
      <c r="D2" s="13">
        <v>45378</v>
      </c>
      <c r="E2" s="4">
        <f ca="1">TODAY()</f>
        <v>46096</v>
      </c>
      <c r="F2" s="5">
        <f ca="1">E2-D2</f>
        <v>718</v>
      </c>
    </row>
    <row r="3" spans="1:12" x14ac:dyDescent="0.25">
      <c r="D3" s="105"/>
    </row>
    <row r="4" spans="1:12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1514</v>
      </c>
      <c r="F4" s="290" t="s">
        <v>8</v>
      </c>
      <c r="G4" s="750" t="s">
        <v>11</v>
      </c>
      <c r="H4" s="750"/>
      <c r="I4" s="750"/>
      <c r="J4" s="750"/>
    </row>
    <row r="5" spans="1:12" ht="18.75" x14ac:dyDescent="0.25">
      <c r="A5" s="278">
        <v>1</v>
      </c>
      <c r="B5" s="289">
        <v>4121105260</v>
      </c>
      <c r="C5" s="303" t="s">
        <v>1141</v>
      </c>
      <c r="D5" s="275" t="str">
        <f t="shared" ref="D5:D24" si="0">IF(E5="",IF($F$2&lt;=15,"EnattentedeRetrait","EnAttented'unRetraitTardif"),IF(E5-$D$2&lt;=15,"Rétirédanslesdélais",IF(E5-$D$2&gt;15,"Rétirétardivement-30000FCFAamende")))</f>
        <v>Rétirédanslesdélais</v>
      </c>
      <c r="E5" s="301">
        <v>45384</v>
      </c>
      <c r="F5" s="300"/>
      <c r="G5" s="760"/>
      <c r="H5" s="760"/>
      <c r="I5" s="760"/>
      <c r="J5" s="760"/>
    </row>
    <row r="6" spans="1:12" ht="18.75" x14ac:dyDescent="0.25">
      <c r="A6" s="278">
        <v>2</v>
      </c>
      <c r="B6" s="289">
        <v>4121150310</v>
      </c>
      <c r="C6" s="303" t="s">
        <v>1075</v>
      </c>
      <c r="D6" s="275" t="str">
        <f t="shared" si="0"/>
        <v>Rétirédanslesdélais</v>
      </c>
      <c r="E6" s="301">
        <v>45384</v>
      </c>
      <c r="F6" s="300"/>
      <c r="G6" s="760"/>
      <c r="H6" s="760"/>
      <c r="I6" s="760"/>
      <c r="J6" s="760"/>
    </row>
    <row r="7" spans="1:12" ht="18.75" x14ac:dyDescent="0.25">
      <c r="A7" s="278">
        <v>3</v>
      </c>
      <c r="B7" s="289">
        <v>4121127410</v>
      </c>
      <c r="C7" s="303" t="s">
        <v>37</v>
      </c>
      <c r="D7" s="275" t="str">
        <f t="shared" si="0"/>
        <v>Rétirédanslesdélais</v>
      </c>
      <c r="E7" s="301">
        <v>45385</v>
      </c>
      <c r="F7" s="300"/>
      <c r="G7" s="760"/>
      <c r="H7" s="760"/>
      <c r="I7" s="760"/>
      <c r="J7" s="760"/>
      <c r="K7" s="105"/>
    </row>
    <row r="8" spans="1:12" s="23" customFormat="1" ht="18.75" x14ac:dyDescent="0.25">
      <c r="A8" s="278">
        <v>4</v>
      </c>
      <c r="B8" s="289">
        <v>4121084180</v>
      </c>
      <c r="C8" s="303" t="s">
        <v>1541</v>
      </c>
      <c r="D8" s="275" t="str">
        <f t="shared" si="0"/>
        <v>Rétirédanslesdélais</v>
      </c>
      <c r="E8" s="301">
        <v>45380</v>
      </c>
      <c r="F8" s="300" t="s">
        <v>1547</v>
      </c>
      <c r="G8" s="760"/>
      <c r="H8" s="760"/>
      <c r="I8" s="760"/>
      <c r="J8" s="760"/>
    </row>
    <row r="9" spans="1:12" s="23" customFormat="1" ht="18.75" x14ac:dyDescent="0.25">
      <c r="A9" s="278">
        <v>5</v>
      </c>
      <c r="B9" s="289">
        <v>4121133670</v>
      </c>
      <c r="C9" s="303" t="s">
        <v>1499</v>
      </c>
      <c r="D9" s="275" t="str">
        <f t="shared" si="0"/>
        <v>Rétirédanslesdélais</v>
      </c>
      <c r="E9" s="301">
        <v>45384</v>
      </c>
      <c r="F9" s="300"/>
      <c r="G9" s="774"/>
      <c r="H9" s="760"/>
      <c r="I9" s="760"/>
      <c r="J9" s="760"/>
    </row>
    <row r="10" spans="1:12" ht="18.75" x14ac:dyDescent="0.25">
      <c r="A10" s="278">
        <v>6</v>
      </c>
      <c r="B10" s="289">
        <v>4121111060</v>
      </c>
      <c r="C10" s="303" t="s">
        <v>1548</v>
      </c>
      <c r="D10" s="275" t="str">
        <f t="shared" si="0"/>
        <v>Rétirédanslesdélais</v>
      </c>
      <c r="E10" s="301">
        <v>45387</v>
      </c>
      <c r="F10" s="300"/>
      <c r="G10" s="760"/>
      <c r="H10" s="760"/>
      <c r="I10" s="760"/>
      <c r="J10" s="760"/>
    </row>
    <row r="11" spans="1:12" ht="18.75" x14ac:dyDescent="0.25">
      <c r="A11" s="278">
        <v>7</v>
      </c>
      <c r="B11" s="289">
        <v>4121169280</v>
      </c>
      <c r="C11" s="303" t="s">
        <v>1370</v>
      </c>
      <c r="D11" s="275" t="str">
        <f t="shared" si="0"/>
        <v>Rétirédanslesdélais</v>
      </c>
      <c r="E11" s="301">
        <v>45386</v>
      </c>
      <c r="F11" s="300"/>
      <c r="G11" s="760"/>
      <c r="H11" s="760"/>
      <c r="I11" s="760"/>
      <c r="J11" s="760"/>
    </row>
    <row r="12" spans="1:12" ht="17.25" x14ac:dyDescent="0.25">
      <c r="A12" s="278">
        <v>8</v>
      </c>
      <c r="B12" s="289">
        <v>2146795000</v>
      </c>
      <c r="C12" s="303" t="s">
        <v>1363</v>
      </c>
      <c r="D12" s="275" t="str">
        <f t="shared" si="0"/>
        <v>Rétirédanslesdélais</v>
      </c>
      <c r="E12" s="301">
        <v>45387</v>
      </c>
      <c r="F12" s="300"/>
      <c r="G12" s="773"/>
      <c r="H12" s="773"/>
      <c r="I12" s="773"/>
      <c r="J12" s="773"/>
    </row>
    <row r="13" spans="1:12" ht="18.75" x14ac:dyDescent="0.25">
      <c r="A13" s="278">
        <v>9</v>
      </c>
      <c r="B13" s="289">
        <v>4121145120</v>
      </c>
      <c r="C13" s="303" t="s">
        <v>1499</v>
      </c>
      <c r="D13" s="275" t="str">
        <f t="shared" si="0"/>
        <v>Rétirédanslesdélais</v>
      </c>
      <c r="E13" s="301">
        <v>45384</v>
      </c>
      <c r="F13" s="300"/>
      <c r="G13" s="760"/>
      <c r="H13" s="760"/>
      <c r="I13" s="760"/>
      <c r="J13" s="760"/>
    </row>
    <row r="14" spans="1:12" ht="18.75" x14ac:dyDescent="0.25">
      <c r="A14" s="278">
        <v>10</v>
      </c>
      <c r="B14" s="289">
        <v>4121145130</v>
      </c>
      <c r="C14" s="303" t="s">
        <v>1499</v>
      </c>
      <c r="D14" s="275" t="str">
        <f t="shared" si="0"/>
        <v>Rétirédanslesdélais</v>
      </c>
      <c r="E14" s="301">
        <v>45384</v>
      </c>
      <c r="F14" s="300"/>
      <c r="G14" s="760"/>
      <c r="H14" s="760"/>
      <c r="I14" s="760"/>
      <c r="J14" s="760"/>
    </row>
    <row r="15" spans="1:12" ht="17.25" x14ac:dyDescent="0.25">
      <c r="A15" s="278">
        <v>11</v>
      </c>
      <c r="B15" s="289">
        <v>4114648150</v>
      </c>
      <c r="C15" s="303" t="s">
        <v>1545</v>
      </c>
      <c r="D15" s="275" t="str">
        <f t="shared" si="0"/>
        <v>Rétirétardivement-30000FCFAamende</v>
      </c>
      <c r="E15" s="301">
        <v>45406</v>
      </c>
      <c r="F15" s="300">
        <v>561000</v>
      </c>
      <c r="G15" s="775" t="s">
        <v>1549</v>
      </c>
      <c r="H15" s="775"/>
      <c r="I15" s="775"/>
      <c r="J15" s="775"/>
      <c r="K15" s="23"/>
      <c r="L15" s="202"/>
    </row>
    <row r="16" spans="1:12" ht="18.75" x14ac:dyDescent="0.25">
      <c r="A16" s="278">
        <v>12</v>
      </c>
      <c r="B16" s="289">
        <v>4121148520</v>
      </c>
      <c r="C16" s="303" t="s">
        <v>1545</v>
      </c>
      <c r="D16" s="275" t="str">
        <f t="shared" si="0"/>
        <v>Rétirétardivement-30000FCFAamende</v>
      </c>
      <c r="E16" s="301">
        <v>45405</v>
      </c>
      <c r="F16" s="300"/>
      <c r="G16" s="760"/>
      <c r="H16" s="760"/>
      <c r="I16" s="760"/>
      <c r="J16" s="760"/>
      <c r="K16" s="23"/>
      <c r="L16" s="202"/>
    </row>
    <row r="17" spans="1:11" ht="18.75" x14ac:dyDescent="0.25">
      <c r="A17" s="278">
        <v>13</v>
      </c>
      <c r="B17" s="289">
        <v>4121148529</v>
      </c>
      <c r="C17" s="303" t="s">
        <v>1545</v>
      </c>
      <c r="D17" s="275" t="str">
        <f t="shared" si="0"/>
        <v>Rétirétardivement-30000FCFAamende</v>
      </c>
      <c r="E17" s="301">
        <v>45405</v>
      </c>
      <c r="F17" s="300"/>
      <c r="G17" s="760"/>
      <c r="H17" s="760"/>
      <c r="I17" s="760"/>
      <c r="J17" s="760"/>
    </row>
    <row r="18" spans="1:11" ht="18.75" x14ac:dyDescent="0.25">
      <c r="A18" s="278">
        <v>14</v>
      </c>
      <c r="B18" s="289">
        <v>4121140420</v>
      </c>
      <c r="C18" s="303" t="s">
        <v>1545</v>
      </c>
      <c r="D18" s="275" t="str">
        <f t="shared" si="0"/>
        <v>Rétirétardivement-30000FCFAamende</v>
      </c>
      <c r="E18" s="301">
        <v>45405</v>
      </c>
      <c r="F18" s="300"/>
      <c r="G18" s="760" t="s">
        <v>1550</v>
      </c>
      <c r="H18" s="760"/>
      <c r="I18" s="760"/>
      <c r="J18" s="760"/>
      <c r="K18" s="23"/>
    </row>
    <row r="19" spans="1:11" ht="18.75" x14ac:dyDescent="0.25">
      <c r="A19" s="278">
        <v>15</v>
      </c>
      <c r="B19" s="289">
        <v>2146800230</v>
      </c>
      <c r="C19" s="303" t="s">
        <v>1363</v>
      </c>
      <c r="D19" s="275" t="str">
        <f t="shared" si="0"/>
        <v>Rétirédanslesdélais</v>
      </c>
      <c r="E19" s="301">
        <v>45386</v>
      </c>
      <c r="F19" s="300"/>
      <c r="G19" s="760"/>
      <c r="H19" s="760"/>
      <c r="I19" s="760"/>
      <c r="J19" s="760"/>
    </row>
    <row r="20" spans="1:11" ht="18.75" x14ac:dyDescent="0.25">
      <c r="A20" s="278">
        <v>16</v>
      </c>
      <c r="B20" s="304">
        <v>4121166280</v>
      </c>
      <c r="C20" s="303" t="s">
        <v>1069</v>
      </c>
      <c r="D20" s="275" t="str">
        <f t="shared" si="0"/>
        <v>Rétirédanslesdélais</v>
      </c>
      <c r="E20" s="301">
        <v>45385</v>
      </c>
      <c r="F20" s="300"/>
      <c r="G20" s="760"/>
      <c r="H20" s="760"/>
      <c r="I20" s="760"/>
      <c r="J20" s="760"/>
    </row>
    <row r="21" spans="1:11" ht="18.75" x14ac:dyDescent="0.25">
      <c r="A21" s="278">
        <v>17</v>
      </c>
      <c r="B21" s="289">
        <v>4121150100</v>
      </c>
      <c r="C21" s="303" t="s">
        <v>1499</v>
      </c>
      <c r="D21" s="275" t="str">
        <f t="shared" si="0"/>
        <v>Rétirédanslesdélais</v>
      </c>
      <c r="E21" s="301">
        <v>45384</v>
      </c>
      <c r="F21" s="300"/>
      <c r="G21" s="760"/>
      <c r="H21" s="760"/>
      <c r="I21" s="760"/>
      <c r="J21" s="760"/>
    </row>
    <row r="22" spans="1:11" ht="18.75" x14ac:dyDescent="0.25">
      <c r="A22" s="278">
        <v>18</v>
      </c>
      <c r="B22" s="289">
        <v>2146800290</v>
      </c>
      <c r="C22" s="303" t="s">
        <v>1363</v>
      </c>
      <c r="D22" s="275" t="str">
        <f t="shared" si="0"/>
        <v>Rétirédanslesdélais</v>
      </c>
      <c r="E22" s="301">
        <v>45386</v>
      </c>
      <c r="F22" s="300"/>
      <c r="G22" s="760"/>
      <c r="H22" s="760"/>
      <c r="I22" s="760"/>
      <c r="J22" s="760"/>
    </row>
    <row r="23" spans="1:11" ht="18.75" x14ac:dyDescent="0.25">
      <c r="A23" s="278">
        <v>19</v>
      </c>
      <c r="B23" s="289">
        <v>4121099620</v>
      </c>
      <c r="C23" s="303" t="s">
        <v>1363</v>
      </c>
      <c r="D23" s="275" t="str">
        <f t="shared" si="0"/>
        <v>Rétirédanslesdélais</v>
      </c>
      <c r="E23" s="301">
        <v>45380</v>
      </c>
      <c r="F23" s="300"/>
      <c r="G23" s="760"/>
      <c r="H23" s="760"/>
      <c r="I23" s="760"/>
      <c r="J23" s="760"/>
    </row>
    <row r="24" spans="1:11" ht="18.75" x14ac:dyDescent="0.25">
      <c r="A24" s="278">
        <v>20</v>
      </c>
      <c r="B24" s="289">
        <v>4121163910</v>
      </c>
      <c r="C24" s="303" t="s">
        <v>1551</v>
      </c>
      <c r="D24" s="275" t="str">
        <f t="shared" si="0"/>
        <v>Rétirédanslesdélais</v>
      </c>
      <c r="E24" s="301">
        <v>45384</v>
      </c>
      <c r="F24" s="300"/>
      <c r="G24" s="760"/>
      <c r="H24" s="760"/>
      <c r="I24" s="760"/>
      <c r="J24" s="760"/>
    </row>
    <row r="25" spans="1:11" s="292" customFormat="1" x14ac:dyDescent="0.25">
      <c r="A25"/>
      <c r="B25"/>
      <c r="D25"/>
      <c r="E25"/>
      <c r="F25"/>
      <c r="G25"/>
      <c r="H25"/>
      <c r="I25"/>
      <c r="J25"/>
    </row>
  </sheetData>
  <autoFilter ref="A4:J24" xr:uid="{4990FBFD-B240-49B0-838F-2EB6A21B18BB}">
    <filterColumn colId="6" showButton="0"/>
    <filterColumn colId="7" showButton="0"/>
    <filterColumn colId="8" showButton="0"/>
  </autoFilter>
  <mergeCells count="24">
    <mergeCell ref="G21:J21"/>
    <mergeCell ref="G22:J22"/>
    <mergeCell ref="G13:J13"/>
    <mergeCell ref="G14:J14"/>
    <mergeCell ref="G15:J15"/>
    <mergeCell ref="G16:J16"/>
    <mergeCell ref="G17:J17"/>
    <mergeCell ref="G18:J18"/>
    <mergeCell ref="G24:J24"/>
    <mergeCell ref="G23:J23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  <mergeCell ref="G19:J19"/>
    <mergeCell ref="G20:J20"/>
  </mergeCells>
  <conditionalFormatting sqref="B1:B4">
    <cfRule type="duplicateValues" dxfId="454" priority="10"/>
    <cfRule type="duplicateValues" dxfId="453" priority="11"/>
    <cfRule type="duplicateValues" dxfId="452" priority="12"/>
    <cfRule type="duplicateValues" dxfId="451" priority="13"/>
  </conditionalFormatting>
  <conditionalFormatting sqref="B1:B1048576">
    <cfRule type="duplicateValues" dxfId="450" priority="1"/>
    <cfRule type="duplicateValues" dxfId="449" priority="2"/>
    <cfRule type="duplicateValues" dxfId="448" priority="3"/>
  </conditionalFormatting>
  <conditionalFormatting sqref="B5:B24">
    <cfRule type="containsText" dxfId="447" priority="6" operator="containsText" text="En Attente d'un Retrait Tardif">
      <formula>NOT(ISERROR(SEARCH("En Attente d'un Retrait Tardif",B5)))</formula>
    </cfRule>
    <cfRule type="containsText" dxfId="446" priority="7" operator="containsText" text="Rétiré dans les délais">
      <formula>NOT(ISERROR(SEARCH("Rétiré dans les délais",B5)))</formula>
    </cfRule>
  </conditionalFormatting>
  <conditionalFormatting sqref="B27:B1048576 B1:B4">
    <cfRule type="duplicateValues" dxfId="445" priority="290"/>
    <cfRule type="duplicateValues" dxfId="444" priority="291"/>
  </conditionalFormatting>
  <conditionalFormatting sqref="B27:B1048576 B1:B24">
    <cfRule type="duplicateValues" dxfId="443" priority="287"/>
  </conditionalFormatting>
  <conditionalFormatting sqref="D5:D24">
    <cfRule type="containsText" dxfId="442" priority="8" operator="containsText" text="En Attente d'un Retrait Tardif">
      <formula>NOT(ISERROR(SEARCH("En Attente d'un Retrait Tardif",D5)))</formula>
    </cfRule>
    <cfRule type="containsText" dxfId="441" priority="9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256C-3800-447A-BD74-95B2F8F71B7B}">
  <sheetPr codeName="Feuil77">
    <tabColor theme="9" tint="0.59999389629810485"/>
  </sheetPr>
  <dimension ref="A1:J30"/>
  <sheetViews>
    <sheetView zoomScaleNormal="100" workbookViewId="0">
      <selection activeCell="C19" sqref="C19"/>
    </sheetView>
  </sheetViews>
  <sheetFormatPr baseColWidth="10" defaultColWidth="11.42578125" defaultRowHeight="15" x14ac:dyDescent="0.25"/>
  <cols>
    <col min="1" max="1" width="6.42578125" customWidth="1"/>
    <col min="2" max="2" width="17.140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2" t="s">
        <v>1552</v>
      </c>
      <c r="B1" s="762"/>
      <c r="C1" s="288"/>
      <c r="D1" s="729"/>
      <c r="E1" s="729"/>
    </row>
    <row r="2" spans="1:10" ht="24" thickBot="1" x14ac:dyDescent="0.3">
      <c r="A2" s="730" t="s">
        <v>0</v>
      </c>
      <c r="B2" s="730"/>
      <c r="C2" s="25"/>
      <c r="D2" s="13">
        <v>45364</v>
      </c>
      <c r="E2" s="4">
        <f ca="1">TODAY()</f>
        <v>46096</v>
      </c>
      <c r="F2" s="5">
        <f ca="1">E2-D2</f>
        <v>732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1514</v>
      </c>
      <c r="F4" s="290" t="s">
        <v>8</v>
      </c>
      <c r="G4" s="750" t="s">
        <v>11</v>
      </c>
      <c r="H4" s="750"/>
      <c r="I4" s="750"/>
      <c r="J4" s="750"/>
    </row>
    <row r="5" spans="1:10" ht="18.75" x14ac:dyDescent="0.25">
      <c r="A5" s="278">
        <v>1</v>
      </c>
      <c r="B5" s="289">
        <v>4121146560</v>
      </c>
      <c r="C5" s="295" t="s">
        <v>1553</v>
      </c>
      <c r="D5" s="275" t="str">
        <f t="shared" ref="D5:D22" si="0">IF(E5="",IF($F$2&lt;=15,"EnattentedeRetrait","EnAttented'unRetraitTardif"),IF(E5-$D$2&lt;=15,"Rétirédanslesdélais",IF(E5-$D$2&gt;15,"Rétirétardivement-30000FCFAamende")))</f>
        <v>Rétirédanslesdélais</v>
      </c>
      <c r="E5" s="301">
        <v>45369</v>
      </c>
      <c r="F5" s="300"/>
      <c r="G5" s="760"/>
      <c r="H5" s="760"/>
      <c r="I5" s="760"/>
      <c r="J5" s="760"/>
    </row>
    <row r="6" spans="1:10" ht="18.75" x14ac:dyDescent="0.25">
      <c r="A6" s="278">
        <v>2</v>
      </c>
      <c r="B6" s="289">
        <v>4121146540</v>
      </c>
      <c r="C6" s="295" t="s">
        <v>1553</v>
      </c>
      <c r="D6" s="275" t="str">
        <f t="shared" si="0"/>
        <v>Rétirédanslesdélais</v>
      </c>
      <c r="E6" s="301">
        <v>45369</v>
      </c>
      <c r="F6" s="300"/>
      <c r="G6" s="760"/>
      <c r="H6" s="760"/>
      <c r="I6" s="760"/>
      <c r="J6" s="760"/>
    </row>
    <row r="7" spans="1:10" ht="18.75" x14ac:dyDescent="0.25">
      <c r="A7" s="278">
        <v>3</v>
      </c>
      <c r="B7" s="289">
        <v>4121133540</v>
      </c>
      <c r="C7" s="295" t="s">
        <v>1075</v>
      </c>
      <c r="D7" s="275" t="str">
        <f t="shared" si="0"/>
        <v>Rétirédanslesdélais</v>
      </c>
      <c r="E7" s="301">
        <v>45366</v>
      </c>
      <c r="F7" s="300"/>
      <c r="G7" s="760"/>
      <c r="H7" s="760"/>
      <c r="I7" s="760"/>
      <c r="J7" s="760"/>
    </row>
    <row r="8" spans="1:10" s="23" customFormat="1" ht="18.75" x14ac:dyDescent="0.25">
      <c r="A8" s="278">
        <v>4</v>
      </c>
      <c r="B8" s="289">
        <v>4121133530</v>
      </c>
      <c r="C8" s="295" t="s">
        <v>1075</v>
      </c>
      <c r="D8" s="275" t="str">
        <f t="shared" si="0"/>
        <v>Rétirédanslesdélais</v>
      </c>
      <c r="E8" s="301">
        <v>45366</v>
      </c>
      <c r="F8" s="300"/>
      <c r="G8" s="760"/>
      <c r="H8" s="760"/>
      <c r="I8" s="760"/>
      <c r="J8" s="760"/>
    </row>
    <row r="9" spans="1:10" s="23" customFormat="1" ht="18.75" x14ac:dyDescent="0.25">
      <c r="A9" s="278">
        <v>5</v>
      </c>
      <c r="B9" s="289">
        <v>4121131570</v>
      </c>
      <c r="C9" s="295" t="s">
        <v>1479</v>
      </c>
      <c r="D9" s="275" t="str">
        <f t="shared" si="0"/>
        <v>Rétirédanslesdélais</v>
      </c>
      <c r="E9" s="301">
        <v>45372</v>
      </c>
      <c r="F9" s="300"/>
      <c r="G9" s="774"/>
      <c r="H9" s="760"/>
      <c r="I9" s="760"/>
      <c r="J9" s="760"/>
    </row>
    <row r="10" spans="1:10" ht="18.75" x14ac:dyDescent="0.25">
      <c r="A10" s="278">
        <v>6</v>
      </c>
      <c r="B10" s="289">
        <v>4121127460</v>
      </c>
      <c r="C10" s="295" t="s">
        <v>53</v>
      </c>
      <c r="D10" s="275" t="str">
        <f t="shared" si="0"/>
        <v>Rétirédanslesdélais</v>
      </c>
      <c r="E10" s="301">
        <v>45370</v>
      </c>
      <c r="F10" s="300"/>
      <c r="G10" s="760" t="s">
        <v>1554</v>
      </c>
      <c r="H10" s="760"/>
      <c r="I10" s="760"/>
      <c r="J10" s="760"/>
    </row>
    <row r="11" spans="1:10" ht="18.75" x14ac:dyDescent="0.25">
      <c r="A11" s="278">
        <v>7</v>
      </c>
      <c r="B11" s="289">
        <v>4121127400</v>
      </c>
      <c r="C11" s="295" t="s">
        <v>53</v>
      </c>
      <c r="D11" s="275" t="str">
        <f t="shared" si="0"/>
        <v>Rétirédanslesdélais</v>
      </c>
      <c r="E11" s="301">
        <v>45370</v>
      </c>
      <c r="F11" s="300"/>
      <c r="G11" s="760" t="s">
        <v>1554</v>
      </c>
      <c r="H11" s="760"/>
      <c r="I11" s="760"/>
      <c r="J11" s="760"/>
    </row>
    <row r="12" spans="1:10" ht="17.25" x14ac:dyDescent="0.25">
      <c r="A12" s="278">
        <v>8</v>
      </c>
      <c r="B12" s="289">
        <v>4121126930</v>
      </c>
      <c r="C12" s="295" t="s">
        <v>61</v>
      </c>
      <c r="D12" s="275" t="str">
        <f t="shared" si="0"/>
        <v>Rétirédanslesdélais</v>
      </c>
      <c r="E12" s="301">
        <v>45369</v>
      </c>
      <c r="F12" s="300"/>
      <c r="G12" s="773"/>
      <c r="H12" s="773"/>
      <c r="I12" s="773"/>
      <c r="J12" s="773"/>
    </row>
    <row r="13" spans="1:10" ht="18.75" x14ac:dyDescent="0.25">
      <c r="A13" s="278">
        <v>9</v>
      </c>
      <c r="B13" s="289">
        <v>4121126890</v>
      </c>
      <c r="C13" s="295" t="s">
        <v>62</v>
      </c>
      <c r="D13" s="275" t="str">
        <f t="shared" si="0"/>
        <v>Rétirédanslesdélais</v>
      </c>
      <c r="E13" s="301">
        <v>45369</v>
      </c>
      <c r="F13" s="300"/>
      <c r="G13" s="760"/>
      <c r="H13" s="760"/>
      <c r="I13" s="760"/>
      <c r="J13" s="760"/>
    </row>
    <row r="14" spans="1:10" ht="18.75" x14ac:dyDescent="0.25">
      <c r="A14" s="278">
        <v>10</v>
      </c>
      <c r="B14" s="289">
        <v>4121126880</v>
      </c>
      <c r="C14" s="295" t="s">
        <v>62</v>
      </c>
      <c r="D14" s="275" t="str">
        <f t="shared" si="0"/>
        <v>Rétirédanslesdélais</v>
      </c>
      <c r="E14" s="301">
        <v>45369</v>
      </c>
      <c r="F14" s="300"/>
      <c r="G14" s="760"/>
      <c r="H14" s="760"/>
      <c r="I14" s="760"/>
      <c r="J14" s="760"/>
    </row>
    <row r="15" spans="1:10" ht="18.75" x14ac:dyDescent="0.25">
      <c r="A15" s="278">
        <v>11</v>
      </c>
      <c r="B15" s="289">
        <v>4121123420</v>
      </c>
      <c r="C15" s="295" t="s">
        <v>53</v>
      </c>
      <c r="D15" s="275" t="str">
        <f t="shared" si="0"/>
        <v>Rétirédanslesdélais</v>
      </c>
      <c r="E15" s="301">
        <v>45370</v>
      </c>
      <c r="F15" s="300"/>
      <c r="G15" s="760"/>
      <c r="H15" s="760"/>
      <c r="I15" s="760"/>
      <c r="J15" s="760"/>
    </row>
    <row r="16" spans="1:10" ht="18.75" x14ac:dyDescent="0.25">
      <c r="A16" s="278">
        <v>12</v>
      </c>
      <c r="B16" s="289">
        <v>4121123010</v>
      </c>
      <c r="C16" s="295" t="s">
        <v>63</v>
      </c>
      <c r="D16" s="275" t="str">
        <f t="shared" si="0"/>
        <v>Rétirédanslesdélais</v>
      </c>
      <c r="E16" s="301">
        <v>45370</v>
      </c>
      <c r="F16" s="300"/>
      <c r="G16" s="760"/>
      <c r="H16" s="760"/>
      <c r="I16" s="760"/>
      <c r="J16" s="760"/>
    </row>
    <row r="17" spans="1:10" ht="18.75" x14ac:dyDescent="0.25">
      <c r="A17" s="278">
        <v>13</v>
      </c>
      <c r="B17" s="289">
        <v>4121121800</v>
      </c>
      <c r="C17" s="295" t="s">
        <v>1555</v>
      </c>
      <c r="D17" s="275" t="str">
        <f t="shared" si="0"/>
        <v>Rétirétardivement-30000FCFAamende</v>
      </c>
      <c r="E17" s="301">
        <v>45391</v>
      </c>
      <c r="F17" s="300"/>
      <c r="G17" s="760"/>
      <c r="H17" s="760"/>
      <c r="I17" s="760"/>
      <c r="J17" s="760"/>
    </row>
    <row r="18" spans="1:10" ht="18.75" x14ac:dyDescent="0.25">
      <c r="A18" s="278">
        <v>14</v>
      </c>
      <c r="B18" s="289">
        <v>4121117520</v>
      </c>
      <c r="C18" s="295" t="s">
        <v>63</v>
      </c>
      <c r="D18" s="275" t="str">
        <f t="shared" si="0"/>
        <v>Rétirédanslesdélais</v>
      </c>
      <c r="E18" s="301">
        <v>45370</v>
      </c>
      <c r="F18" s="300"/>
      <c r="G18" s="760"/>
      <c r="H18" s="760"/>
      <c r="I18" s="760"/>
      <c r="J18" s="760"/>
    </row>
    <row r="19" spans="1:10" ht="18.75" x14ac:dyDescent="0.25">
      <c r="A19" s="278">
        <v>15</v>
      </c>
      <c r="B19" s="289">
        <v>4121105370</v>
      </c>
      <c r="C19" s="295" t="s">
        <v>1394</v>
      </c>
      <c r="D19" s="275" t="str">
        <f t="shared" si="0"/>
        <v>Rétirédanslesdélais</v>
      </c>
      <c r="E19" s="301">
        <v>45369</v>
      </c>
      <c r="F19" s="300"/>
      <c r="G19" s="760"/>
      <c r="H19" s="760"/>
      <c r="I19" s="760"/>
      <c r="J19" s="760"/>
    </row>
    <row r="20" spans="1:10" ht="18.75" x14ac:dyDescent="0.25">
      <c r="A20" s="278">
        <v>16</v>
      </c>
      <c r="B20" s="289">
        <v>4121092691</v>
      </c>
      <c r="C20" s="295" t="s">
        <v>1345</v>
      </c>
      <c r="D20" s="275" t="str">
        <f t="shared" si="0"/>
        <v>Rétirédanslesdélais</v>
      </c>
      <c r="E20" s="301">
        <v>45379</v>
      </c>
      <c r="F20" s="300">
        <v>286000</v>
      </c>
      <c r="G20" s="760"/>
      <c r="H20" s="760"/>
      <c r="I20" s="760"/>
      <c r="J20" s="760"/>
    </row>
    <row r="21" spans="1:10" ht="18.75" x14ac:dyDescent="0.25">
      <c r="A21" s="278">
        <v>17</v>
      </c>
      <c r="B21" s="289">
        <v>2146075891</v>
      </c>
      <c r="C21" s="295" t="s">
        <v>43</v>
      </c>
      <c r="D21" s="275" t="str">
        <f t="shared" si="0"/>
        <v>Rétirédanslesdélais</v>
      </c>
      <c r="E21" s="301">
        <v>45369</v>
      </c>
      <c r="F21" s="300"/>
      <c r="G21" s="760"/>
      <c r="H21" s="760"/>
      <c r="I21" s="760"/>
      <c r="J21" s="760"/>
    </row>
    <row r="22" spans="1:10" ht="18.75" x14ac:dyDescent="0.25">
      <c r="A22" s="278">
        <v>18</v>
      </c>
      <c r="B22" s="289">
        <v>2145718201</v>
      </c>
      <c r="C22" s="295" t="s">
        <v>53</v>
      </c>
      <c r="D22" s="275" t="str">
        <f t="shared" si="0"/>
        <v>Rétirédanslesdélais</v>
      </c>
      <c r="E22" s="301">
        <v>45370</v>
      </c>
      <c r="F22" s="300">
        <v>2464000</v>
      </c>
      <c r="G22" s="760" t="s">
        <v>1556</v>
      </c>
      <c r="H22" s="760"/>
      <c r="I22" s="760"/>
      <c r="J22" s="760"/>
    </row>
    <row r="24" spans="1:10" x14ac:dyDescent="0.25">
      <c r="C24" s="294"/>
    </row>
    <row r="25" spans="1:10" x14ac:dyDescent="0.25">
      <c r="A25" s="292"/>
      <c r="B25" s="292"/>
    </row>
    <row r="26" spans="1:10" x14ac:dyDescent="0.25">
      <c r="A26" s="292"/>
      <c r="B26" s="292"/>
    </row>
    <row r="30" spans="1:10" s="292" customFormat="1" x14ac:dyDescent="0.25">
      <c r="A30"/>
      <c r="B30"/>
      <c r="D30"/>
      <c r="E30"/>
      <c r="F30"/>
      <c r="G30"/>
      <c r="H30"/>
      <c r="I30"/>
      <c r="J30"/>
    </row>
  </sheetData>
  <autoFilter ref="A4:J22" xr:uid="{4990FBFD-B240-49B0-838F-2EB6A21B18BB}">
    <filterColumn colId="6" showButton="0"/>
    <filterColumn colId="7" showButton="0"/>
    <filterColumn colId="8" showButton="0"/>
  </autoFilter>
  <mergeCells count="22">
    <mergeCell ref="G19:J19"/>
    <mergeCell ref="G20:J20"/>
    <mergeCell ref="G21:J21"/>
    <mergeCell ref="G22:J22"/>
    <mergeCell ref="G13:J13"/>
    <mergeCell ref="G14:J14"/>
    <mergeCell ref="G15:J15"/>
    <mergeCell ref="G16:J16"/>
    <mergeCell ref="G17:J17"/>
    <mergeCell ref="G18:J18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440" priority="10"/>
    <cfRule type="duplicateValues" dxfId="439" priority="11"/>
    <cfRule type="duplicateValues" dxfId="438" priority="12"/>
    <cfRule type="duplicateValues" dxfId="437" priority="13"/>
  </conditionalFormatting>
  <conditionalFormatting sqref="B5:B22">
    <cfRule type="containsText" dxfId="436" priority="4" operator="containsText" text="En Attente d'un Retrait Tardif">
      <formula>NOT(ISERROR(SEARCH("En Attente d'un Retrait Tardif",B5)))</formula>
    </cfRule>
    <cfRule type="containsText" dxfId="435" priority="5" operator="containsText" text="Rétiré dans les délais">
      <formula>NOT(ISERROR(SEARCH("Rétiré dans les délais",B5)))</formula>
    </cfRule>
  </conditionalFormatting>
  <conditionalFormatting sqref="B26">
    <cfRule type="containsText" dxfId="434" priority="2" operator="containsText" text="En Attente d'un Retrait Tardif">
      <formula>NOT(ISERROR(SEARCH("En Attente d'un Retrait Tardif",B26)))</formula>
    </cfRule>
    <cfRule type="containsText" dxfId="433" priority="3" operator="containsText" text="Rétiré dans les délais">
      <formula>NOT(ISERROR(SEARCH("Rétiré dans les délais",B26)))</formula>
    </cfRule>
  </conditionalFormatting>
  <conditionalFormatting sqref="B48:B1048576 B1:B26">
    <cfRule type="duplicateValues" dxfId="432" priority="1"/>
  </conditionalFormatting>
  <conditionalFormatting sqref="B48:B1048576 B23:B25 B1:B4">
    <cfRule type="duplicateValues" dxfId="431" priority="6"/>
    <cfRule type="duplicateValues" dxfId="430" priority="9"/>
  </conditionalFormatting>
  <conditionalFormatting sqref="D5:D22">
    <cfRule type="containsText" dxfId="429" priority="7" operator="containsText" text="En Attente d'un Retrait Tardif">
      <formula>NOT(ISERROR(SEARCH("En Attente d'un Retrait Tardif",D5)))</formula>
    </cfRule>
    <cfRule type="containsText" dxfId="428" priority="8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FF20-E16E-4D51-BA2D-50EA1C9EB24F}">
  <sheetPr codeName="Feuil78">
    <tabColor theme="9" tint="0.59999389629810485"/>
  </sheetPr>
  <dimension ref="A1:J19"/>
  <sheetViews>
    <sheetView zoomScaleNormal="100" workbookViewId="0">
      <selection activeCell="C16" sqref="C16"/>
    </sheetView>
  </sheetViews>
  <sheetFormatPr baseColWidth="10" defaultColWidth="11.42578125" defaultRowHeight="15" x14ac:dyDescent="0.25"/>
  <cols>
    <col min="1" max="1" width="6.42578125" customWidth="1"/>
    <col min="2" max="2" width="19.28515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2" t="s">
        <v>1557</v>
      </c>
      <c r="B1" s="762"/>
      <c r="C1" s="288"/>
      <c r="D1" s="729"/>
      <c r="E1" s="729"/>
    </row>
    <row r="2" spans="1:10" ht="24" thickBot="1" x14ac:dyDescent="0.3">
      <c r="A2" s="730" t="s">
        <v>0</v>
      </c>
      <c r="B2" s="730"/>
      <c r="C2" s="25"/>
      <c r="D2" s="13">
        <v>45378</v>
      </c>
      <c r="E2" s="4">
        <f ca="1">TODAY()</f>
        <v>46096</v>
      </c>
      <c r="F2" s="5">
        <f ca="1">E2-D2</f>
        <v>718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1514</v>
      </c>
      <c r="F4" s="290" t="s">
        <v>8</v>
      </c>
      <c r="G4" s="750" t="s">
        <v>11</v>
      </c>
      <c r="H4" s="750"/>
      <c r="I4" s="750"/>
      <c r="J4" s="750"/>
    </row>
    <row r="5" spans="1:10" ht="18.75" x14ac:dyDescent="0.25">
      <c r="A5" s="278">
        <v>1</v>
      </c>
      <c r="B5" s="289">
        <v>4121159880</v>
      </c>
      <c r="C5" s="303" t="s">
        <v>1530</v>
      </c>
      <c r="D5" s="275" t="str">
        <f t="shared" ref="D5:D16" si="0">IF(E5="",IF($F$2&lt;=15,"EnattentedeRetrait","EnAttented'unRetraitTardif"),IF(E5-$D$2&lt;=15,"Rétirédanslesdélais",IF(E5-$D$2&gt;15,"Rétirétardivement-30000FCFAamende")))</f>
        <v>Rétirédanslesdélais</v>
      </c>
      <c r="E5" s="301">
        <v>45390</v>
      </c>
      <c r="F5" s="300"/>
      <c r="G5" s="760"/>
      <c r="H5" s="760"/>
      <c r="I5" s="760"/>
      <c r="J5" s="760"/>
    </row>
    <row r="6" spans="1:10" ht="18.75" x14ac:dyDescent="0.25">
      <c r="A6" s="278">
        <v>2</v>
      </c>
      <c r="B6" s="289">
        <v>4121159910</v>
      </c>
      <c r="C6" s="303" t="s">
        <v>1530</v>
      </c>
      <c r="D6" s="275" t="str">
        <f t="shared" si="0"/>
        <v>Rétirédanslesdélais</v>
      </c>
      <c r="E6" s="301">
        <v>45390</v>
      </c>
      <c r="F6" s="300"/>
      <c r="G6" s="760"/>
      <c r="H6" s="760"/>
      <c r="I6" s="760"/>
      <c r="J6" s="760"/>
    </row>
    <row r="7" spans="1:10" ht="18.75" x14ac:dyDescent="0.25">
      <c r="A7" s="278">
        <v>3</v>
      </c>
      <c r="B7" s="289">
        <v>4121147770</v>
      </c>
      <c r="C7" s="303" t="s">
        <v>1157</v>
      </c>
      <c r="D7" s="275" t="str">
        <f t="shared" si="0"/>
        <v>Rétirédanslesdélais</v>
      </c>
      <c r="E7" s="301">
        <v>45385</v>
      </c>
      <c r="F7" s="300"/>
      <c r="G7" s="760"/>
      <c r="H7" s="760"/>
      <c r="I7" s="760"/>
      <c r="J7" s="760"/>
    </row>
    <row r="8" spans="1:10" s="23" customFormat="1" ht="18.75" x14ac:dyDescent="0.25">
      <c r="A8" s="278">
        <v>4</v>
      </c>
      <c r="B8" s="289">
        <v>4121164050</v>
      </c>
      <c r="C8" s="303" t="s">
        <v>1558</v>
      </c>
      <c r="D8" s="275" t="str">
        <f t="shared" si="0"/>
        <v>Rétirédanslesdélais</v>
      </c>
      <c r="E8" s="301">
        <v>45387</v>
      </c>
      <c r="F8" s="300"/>
      <c r="G8" s="760"/>
      <c r="H8" s="760"/>
      <c r="I8" s="760"/>
      <c r="J8" s="760"/>
    </row>
    <row r="9" spans="1:10" s="23" customFormat="1" ht="18.75" x14ac:dyDescent="0.25">
      <c r="A9" s="278">
        <v>5</v>
      </c>
      <c r="B9" s="289">
        <v>4121159310</v>
      </c>
      <c r="C9" s="303" t="s">
        <v>1331</v>
      </c>
      <c r="D9" s="275" t="str">
        <f t="shared" si="0"/>
        <v>Rétirédanslesdélais</v>
      </c>
      <c r="E9" s="301">
        <v>45393</v>
      </c>
      <c r="F9" s="300"/>
      <c r="G9" s="774"/>
      <c r="H9" s="760"/>
      <c r="I9" s="760"/>
      <c r="J9" s="760"/>
    </row>
    <row r="10" spans="1:10" ht="18.75" x14ac:dyDescent="0.25">
      <c r="A10" s="278">
        <v>6</v>
      </c>
      <c r="B10" s="289">
        <v>4121173150</v>
      </c>
      <c r="C10" s="303" t="s">
        <v>46</v>
      </c>
      <c r="D10" s="275" t="str">
        <f t="shared" si="0"/>
        <v>Rétirédanslesdélais</v>
      </c>
      <c r="E10" s="301">
        <v>45385</v>
      </c>
      <c r="F10" s="300"/>
      <c r="G10" s="760"/>
      <c r="H10" s="760"/>
      <c r="I10" s="760"/>
      <c r="J10" s="760"/>
    </row>
    <row r="11" spans="1:10" ht="18.75" x14ac:dyDescent="0.25">
      <c r="A11" s="278">
        <v>7</v>
      </c>
      <c r="B11" s="289">
        <v>4121169230</v>
      </c>
      <c r="C11" s="303" t="s">
        <v>46</v>
      </c>
      <c r="D11" s="275" t="str">
        <f t="shared" si="0"/>
        <v>Rétirédanslesdélais</v>
      </c>
      <c r="E11" s="301">
        <v>45385</v>
      </c>
      <c r="F11" s="300"/>
      <c r="G11" s="760"/>
      <c r="H11" s="760"/>
      <c r="I11" s="760"/>
      <c r="J11" s="760"/>
    </row>
    <row r="12" spans="1:10" ht="17.25" x14ac:dyDescent="0.25">
      <c r="A12" s="278">
        <v>8</v>
      </c>
      <c r="B12" s="289">
        <v>4121173130</v>
      </c>
      <c r="C12" s="303" t="s">
        <v>39</v>
      </c>
      <c r="D12" s="275" t="str">
        <f t="shared" si="0"/>
        <v>Rétirédanslesdélais</v>
      </c>
      <c r="E12" s="301">
        <v>45385</v>
      </c>
      <c r="F12" s="300"/>
      <c r="G12" s="773"/>
      <c r="H12" s="773"/>
      <c r="I12" s="773"/>
      <c r="J12" s="773"/>
    </row>
    <row r="13" spans="1:10" ht="18.75" x14ac:dyDescent="0.25">
      <c r="A13" s="278">
        <v>9</v>
      </c>
      <c r="B13" s="289">
        <v>4121117530</v>
      </c>
      <c r="C13" s="303" t="s">
        <v>1144</v>
      </c>
      <c r="D13" s="275" t="str">
        <f t="shared" si="0"/>
        <v>Rétirédanslesdélais</v>
      </c>
      <c r="E13" s="301">
        <v>45385</v>
      </c>
      <c r="F13" s="300">
        <v>363000</v>
      </c>
      <c r="G13" s="760" t="s">
        <v>1559</v>
      </c>
      <c r="H13" s="760"/>
      <c r="I13" s="760"/>
      <c r="J13" s="760"/>
    </row>
    <row r="14" spans="1:10" ht="18.75" x14ac:dyDescent="0.25">
      <c r="A14" s="278">
        <v>10</v>
      </c>
      <c r="B14" s="289">
        <v>4121167150</v>
      </c>
      <c r="C14" s="303" t="s">
        <v>1450</v>
      </c>
      <c r="D14" s="275" t="str">
        <f t="shared" si="0"/>
        <v>Rétirédanslesdélais</v>
      </c>
      <c r="E14" s="301">
        <v>45387</v>
      </c>
      <c r="F14" s="300">
        <v>22000</v>
      </c>
      <c r="G14" s="760" t="s">
        <v>1560</v>
      </c>
      <c r="H14" s="760"/>
      <c r="I14" s="760"/>
      <c r="J14" s="760"/>
    </row>
    <row r="15" spans="1:10" ht="17.25" x14ac:dyDescent="0.25">
      <c r="A15" s="278">
        <v>11</v>
      </c>
      <c r="B15" s="289">
        <v>4121139830</v>
      </c>
      <c r="C15" s="303" t="s">
        <v>1122</v>
      </c>
      <c r="D15" s="275" t="str">
        <f t="shared" si="0"/>
        <v>Rétirédanslesdélais</v>
      </c>
      <c r="E15" s="301">
        <v>45384</v>
      </c>
      <c r="F15" s="300"/>
      <c r="G15" s="775"/>
      <c r="H15" s="775"/>
      <c r="I15" s="775"/>
      <c r="J15" s="775"/>
    </row>
    <row r="16" spans="1:10" ht="18.75" x14ac:dyDescent="0.25">
      <c r="A16" s="278">
        <v>12</v>
      </c>
      <c r="B16" s="289">
        <v>4121161250</v>
      </c>
      <c r="C16" s="303" t="s">
        <v>1545</v>
      </c>
      <c r="D16" s="275" t="str">
        <f t="shared" si="0"/>
        <v>Rétirédanslesdélais</v>
      </c>
      <c r="E16" s="301">
        <v>45391</v>
      </c>
      <c r="F16" s="300"/>
      <c r="G16" s="760"/>
      <c r="H16" s="760"/>
      <c r="I16" s="760"/>
      <c r="J16" s="760"/>
    </row>
    <row r="19" spans="1:10" s="292" customFormat="1" x14ac:dyDescent="0.25">
      <c r="A19"/>
      <c r="B19"/>
      <c r="D19"/>
      <c r="E19"/>
      <c r="F19"/>
      <c r="G19"/>
      <c r="H19"/>
      <c r="I19"/>
      <c r="J19"/>
    </row>
  </sheetData>
  <autoFilter ref="A4:J16" xr:uid="{4990FBFD-B240-49B0-838F-2EB6A21B18BB}">
    <filterColumn colId="6" showButton="0"/>
    <filterColumn colId="7" showButton="0"/>
    <filterColumn colId="8" showButton="0"/>
  </autoFilter>
  <mergeCells count="16">
    <mergeCell ref="G6:J6"/>
    <mergeCell ref="A1:B1"/>
    <mergeCell ref="D1:E1"/>
    <mergeCell ref="A2:B2"/>
    <mergeCell ref="G4:J4"/>
    <mergeCell ref="G5:J5"/>
    <mergeCell ref="G13:J13"/>
    <mergeCell ref="G14:J14"/>
    <mergeCell ref="G15:J15"/>
    <mergeCell ref="G16:J16"/>
    <mergeCell ref="G7:J7"/>
    <mergeCell ref="G8:J8"/>
    <mergeCell ref="G9:J9"/>
    <mergeCell ref="G10:J10"/>
    <mergeCell ref="G11:J11"/>
    <mergeCell ref="G12:J12"/>
  </mergeCells>
  <conditionalFormatting sqref="B1:B4">
    <cfRule type="duplicateValues" dxfId="427" priority="6"/>
    <cfRule type="duplicateValues" dxfId="426" priority="7"/>
    <cfRule type="duplicateValues" dxfId="425" priority="8"/>
    <cfRule type="duplicateValues" dxfId="424" priority="9"/>
  </conditionalFormatting>
  <conditionalFormatting sqref="B1:B1048576">
    <cfRule type="duplicateValues" dxfId="423" priority="1"/>
  </conditionalFormatting>
  <conditionalFormatting sqref="B5:B16">
    <cfRule type="containsText" dxfId="422" priority="2" operator="containsText" text="En Attente d'un Retrait Tardif">
      <formula>NOT(ISERROR(SEARCH("En Attente d'un Retrait Tardif",B5)))</formula>
    </cfRule>
    <cfRule type="containsText" dxfId="421" priority="3" operator="containsText" text="Rétiré dans les délais">
      <formula>NOT(ISERROR(SEARCH("Rétiré dans les délais",B5)))</formula>
    </cfRule>
  </conditionalFormatting>
  <conditionalFormatting sqref="B21:B1048576 B1:B4">
    <cfRule type="duplicateValues" dxfId="420" priority="11"/>
    <cfRule type="duplicateValues" dxfId="419" priority="12"/>
  </conditionalFormatting>
  <conditionalFormatting sqref="B21:B1048576 B1:B16">
    <cfRule type="duplicateValues" dxfId="418" priority="10"/>
  </conditionalFormatting>
  <conditionalFormatting sqref="D5:D16">
    <cfRule type="containsText" dxfId="417" priority="4" operator="containsText" text="En Attente d'un Retrait Tardif">
      <formula>NOT(ISERROR(SEARCH("En Attente d'un Retrait Tardif",D5)))</formula>
    </cfRule>
    <cfRule type="containsText" dxfId="416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6E94-C07E-476D-9DF9-C7EAD0F9D5F5}">
  <sheetPr codeName="Feuil79">
    <tabColor theme="9" tint="0.59999389629810485"/>
  </sheetPr>
  <dimension ref="A1:J25"/>
  <sheetViews>
    <sheetView zoomScaleNormal="100" workbookViewId="0">
      <selection activeCell="C31" sqref="C31"/>
    </sheetView>
  </sheetViews>
  <sheetFormatPr baseColWidth="10" defaultColWidth="11.42578125" defaultRowHeight="15" x14ac:dyDescent="0.25"/>
  <cols>
    <col min="1" max="1" width="6.42578125" customWidth="1"/>
    <col min="2" max="2" width="17.140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2" t="s">
        <v>1561</v>
      </c>
      <c r="B1" s="762"/>
      <c r="C1" s="288"/>
      <c r="D1" s="729"/>
      <c r="E1" s="729"/>
    </row>
    <row r="2" spans="1:10" ht="24" thickBot="1" x14ac:dyDescent="0.3">
      <c r="A2" s="730" t="s">
        <v>0</v>
      </c>
      <c r="B2" s="730"/>
      <c r="C2" s="25"/>
      <c r="D2" s="13">
        <v>45350</v>
      </c>
      <c r="E2" s="4">
        <f ca="1">TODAY()</f>
        <v>46096</v>
      </c>
      <c r="F2" s="5">
        <f ca="1">E2-D2</f>
        <v>746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1514</v>
      </c>
      <c r="F4" s="290" t="s">
        <v>8</v>
      </c>
      <c r="G4" s="750" t="s">
        <v>11</v>
      </c>
      <c r="H4" s="750"/>
      <c r="I4" s="750"/>
      <c r="J4" s="750"/>
    </row>
    <row r="5" spans="1:10" ht="18.75" x14ac:dyDescent="0.25">
      <c r="A5" s="278">
        <v>1</v>
      </c>
      <c r="B5" s="289">
        <v>2145320280</v>
      </c>
      <c r="C5" s="295" t="s">
        <v>1562</v>
      </c>
      <c r="D5" s="275" t="str">
        <f t="shared" ref="D5:D16" si="0">IF(E5="",IF($F$2&lt;=15,"EnattentedeRetrait","EnAttented'unRetraitTardif"),IF(E5-$D$2&lt;=15,"Rétirédanslesdélais",IF(E5-$D$2&gt;15,"Rétirétardivement-30000FCFAamende")))</f>
        <v>Rétirédanslesdélais</v>
      </c>
      <c r="E5" s="301">
        <v>45352</v>
      </c>
      <c r="F5" s="300"/>
      <c r="G5" s="777" t="s">
        <v>65</v>
      </c>
      <c r="H5" s="777"/>
      <c r="I5" s="777"/>
      <c r="J5" s="777"/>
    </row>
    <row r="6" spans="1:10" ht="18.75" x14ac:dyDescent="0.25">
      <c r="A6" s="278">
        <v>2</v>
      </c>
      <c r="B6" s="289">
        <v>2145718200</v>
      </c>
      <c r="C6" s="295" t="s">
        <v>53</v>
      </c>
      <c r="D6" s="275" t="str">
        <f t="shared" si="0"/>
        <v>Rétirédanslesdélais</v>
      </c>
      <c r="E6" s="301">
        <v>45352</v>
      </c>
      <c r="F6" s="300"/>
      <c r="G6" s="776" t="s">
        <v>1205</v>
      </c>
      <c r="H6" s="777"/>
      <c r="I6" s="777"/>
      <c r="J6" s="777"/>
    </row>
    <row r="7" spans="1:10" ht="18.75" x14ac:dyDescent="0.25">
      <c r="A7" s="278">
        <v>3</v>
      </c>
      <c r="B7" s="289">
        <v>2146075890</v>
      </c>
      <c r="C7" s="295" t="s">
        <v>1562</v>
      </c>
      <c r="D7" s="275" t="str">
        <f t="shared" si="0"/>
        <v>Rétirédanslesdélais</v>
      </c>
      <c r="E7" s="301">
        <v>45352</v>
      </c>
      <c r="F7" s="300"/>
      <c r="G7" s="777" t="s">
        <v>65</v>
      </c>
      <c r="H7" s="777"/>
      <c r="I7" s="777"/>
      <c r="J7" s="777"/>
    </row>
    <row r="8" spans="1:10" s="23" customFormat="1" ht="18.75" x14ac:dyDescent="0.25">
      <c r="A8" s="278">
        <v>4</v>
      </c>
      <c r="B8" s="289">
        <v>4114751390</v>
      </c>
      <c r="C8" s="295" t="s">
        <v>1563</v>
      </c>
      <c r="D8" s="275" t="str">
        <f t="shared" si="0"/>
        <v>Rétirédanslesdélais</v>
      </c>
      <c r="E8" s="301">
        <v>45359</v>
      </c>
      <c r="F8" s="300">
        <v>66000</v>
      </c>
      <c r="G8" s="760"/>
      <c r="H8" s="760"/>
      <c r="I8" s="760"/>
      <c r="J8" s="760"/>
    </row>
    <row r="9" spans="1:10" s="23" customFormat="1" ht="18.75" x14ac:dyDescent="0.25">
      <c r="A9" s="278">
        <v>5</v>
      </c>
      <c r="B9" s="289">
        <v>4114751399</v>
      </c>
      <c r="C9" s="295" t="s">
        <v>1563</v>
      </c>
      <c r="D9" s="275" t="str">
        <f t="shared" si="0"/>
        <v>Rétirédanslesdélais</v>
      </c>
      <c r="E9" s="301">
        <v>45359</v>
      </c>
      <c r="F9" s="300">
        <v>66000</v>
      </c>
      <c r="G9" s="774"/>
      <c r="H9" s="760"/>
      <c r="I9" s="760"/>
      <c r="J9" s="760"/>
    </row>
    <row r="10" spans="1:10" ht="18.75" x14ac:dyDescent="0.25">
      <c r="A10" s="278">
        <v>6</v>
      </c>
      <c r="B10" s="289">
        <v>4114752170</v>
      </c>
      <c r="C10" s="295" t="s">
        <v>1564</v>
      </c>
      <c r="D10" s="275" t="str">
        <f t="shared" si="0"/>
        <v>Rétirédanslesdélais</v>
      </c>
      <c r="E10" s="301">
        <v>45351</v>
      </c>
      <c r="F10" s="300"/>
      <c r="G10" s="777" t="s">
        <v>66</v>
      </c>
      <c r="H10" s="777"/>
      <c r="I10" s="777"/>
      <c r="J10" s="777"/>
    </row>
    <row r="11" spans="1:10" ht="18.75" x14ac:dyDescent="0.25">
      <c r="A11" s="278">
        <v>7</v>
      </c>
      <c r="B11" s="289">
        <v>4121087790</v>
      </c>
      <c r="C11" s="295" t="s">
        <v>1565</v>
      </c>
      <c r="D11" s="275" t="str">
        <f t="shared" si="0"/>
        <v>Rétirédanslesdélais</v>
      </c>
      <c r="E11" s="301">
        <v>45359</v>
      </c>
      <c r="F11" s="300">
        <v>528000</v>
      </c>
      <c r="G11" s="760"/>
      <c r="H11" s="760"/>
      <c r="I11" s="760"/>
      <c r="J11" s="760"/>
    </row>
    <row r="12" spans="1:10" ht="17.25" x14ac:dyDescent="0.25">
      <c r="A12" s="278">
        <v>8</v>
      </c>
      <c r="B12" s="289">
        <v>4121092690</v>
      </c>
      <c r="C12" s="295" t="s">
        <v>1566</v>
      </c>
      <c r="D12" s="275" t="str">
        <f t="shared" si="0"/>
        <v>Rétirétardivement-30000FCFAamende</v>
      </c>
      <c r="E12" s="301">
        <v>45373</v>
      </c>
      <c r="F12" s="300"/>
      <c r="G12" s="773" t="s">
        <v>1567</v>
      </c>
      <c r="H12" s="773"/>
      <c r="I12" s="773"/>
      <c r="J12" s="773"/>
    </row>
    <row r="13" spans="1:10" ht="18.75" x14ac:dyDescent="0.25">
      <c r="A13" s="278">
        <v>9</v>
      </c>
      <c r="B13" s="289">
        <v>4121106860</v>
      </c>
      <c r="C13" s="295" t="s">
        <v>1568</v>
      </c>
      <c r="D13" s="275" t="str">
        <f t="shared" si="0"/>
        <v>Rétirédanslesdélais</v>
      </c>
      <c r="E13" s="301">
        <v>45355</v>
      </c>
      <c r="F13" s="300"/>
      <c r="G13" s="777"/>
      <c r="H13" s="777"/>
      <c r="I13" s="777"/>
      <c r="J13" s="777"/>
    </row>
    <row r="14" spans="1:10" ht="18.75" x14ac:dyDescent="0.25">
      <c r="A14" s="278">
        <v>10</v>
      </c>
      <c r="B14" s="289">
        <v>4121116770</v>
      </c>
      <c r="C14" s="295" t="s">
        <v>67</v>
      </c>
      <c r="D14" s="275" t="str">
        <f t="shared" si="0"/>
        <v>Rétirétardivement-30000FCFAamende</v>
      </c>
      <c r="E14" s="301">
        <v>45372</v>
      </c>
      <c r="F14" s="300"/>
      <c r="G14" s="760" t="s">
        <v>65</v>
      </c>
      <c r="H14" s="760"/>
      <c r="I14" s="760"/>
      <c r="J14" s="760"/>
    </row>
    <row r="15" spans="1:10" ht="18.75" x14ac:dyDescent="0.25">
      <c r="A15" s="278">
        <v>11</v>
      </c>
      <c r="B15" s="289">
        <v>4121116860</v>
      </c>
      <c r="C15" s="295" t="s">
        <v>1569</v>
      </c>
      <c r="D15" s="275" t="str">
        <f t="shared" si="0"/>
        <v>Rétirédanslesdélais</v>
      </c>
      <c r="E15" s="301">
        <v>45356</v>
      </c>
      <c r="F15" s="300"/>
      <c r="G15" s="760"/>
      <c r="H15" s="760"/>
      <c r="I15" s="760"/>
      <c r="J15" s="760"/>
    </row>
    <row r="16" spans="1:10" ht="18.75" x14ac:dyDescent="0.25">
      <c r="A16" s="278">
        <v>12</v>
      </c>
      <c r="B16" s="289">
        <v>4121118580</v>
      </c>
      <c r="C16" s="295" t="s">
        <v>1570</v>
      </c>
      <c r="D16" s="275" t="str">
        <f t="shared" si="0"/>
        <v>Rétirédanslesdélais</v>
      </c>
      <c r="E16" s="301">
        <v>45352</v>
      </c>
      <c r="F16" s="300"/>
      <c r="G16" s="760"/>
      <c r="H16" s="760"/>
      <c r="I16" s="760"/>
      <c r="J16" s="760"/>
    </row>
    <row r="25" spans="3:3" x14ac:dyDescent="0.25">
      <c r="C25" s="294"/>
    </row>
  </sheetData>
  <autoFilter ref="A4:J16" xr:uid="{4990FBFD-B240-49B0-838F-2EB6A21B18BB}">
    <filterColumn colId="6" showButton="0"/>
    <filterColumn colId="7" showButton="0"/>
    <filterColumn colId="8" showButton="0"/>
  </autoFilter>
  <mergeCells count="16">
    <mergeCell ref="G13:J13"/>
    <mergeCell ref="G14:J14"/>
    <mergeCell ref="G15:J15"/>
    <mergeCell ref="G16:J16"/>
    <mergeCell ref="G7:J7"/>
    <mergeCell ref="G8:J8"/>
    <mergeCell ref="G9:J9"/>
    <mergeCell ref="G10:J10"/>
    <mergeCell ref="G11:J11"/>
    <mergeCell ref="G12:J12"/>
    <mergeCell ref="G6:J6"/>
    <mergeCell ref="A1:B1"/>
    <mergeCell ref="D1:E1"/>
    <mergeCell ref="A2:B2"/>
    <mergeCell ref="G4:J4"/>
    <mergeCell ref="G5:J5"/>
  </mergeCells>
  <conditionalFormatting sqref="B1:B4">
    <cfRule type="duplicateValues" dxfId="415" priority="7"/>
    <cfRule type="duplicateValues" dxfId="414" priority="8"/>
    <cfRule type="duplicateValues" dxfId="413" priority="9"/>
    <cfRule type="duplicateValues" dxfId="412" priority="10"/>
  </conditionalFormatting>
  <conditionalFormatting sqref="B5:B16">
    <cfRule type="containsText" dxfId="411" priority="1" operator="containsText" text="En Attente d'un Retrait Tardif">
      <formula>NOT(ISERROR(SEARCH("En Attente d'un Retrait Tardif",B5)))</formula>
    </cfRule>
    <cfRule type="containsText" dxfId="410" priority="2" operator="containsText" text="Rétiré dans les délais">
      <formula>NOT(ISERROR(SEARCH("Rétiré dans les délais",B5)))</formula>
    </cfRule>
  </conditionalFormatting>
  <conditionalFormatting sqref="B17:B1048576 B1:B4">
    <cfRule type="duplicateValues" dxfId="409" priority="3"/>
    <cfRule type="duplicateValues" dxfId="408" priority="6"/>
  </conditionalFormatting>
  <conditionalFormatting sqref="D5:D16">
    <cfRule type="containsText" dxfId="407" priority="4" operator="containsText" text="En Attente d'un Retrait Tardif">
      <formula>NOT(ISERROR(SEARCH("En Attente d'un Retrait Tardif",D5)))</formula>
    </cfRule>
    <cfRule type="containsText" dxfId="406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8EA3-1948-4BF0-858C-6DA8FD4C60D1}">
  <sheetPr codeName="Feuil80">
    <tabColor theme="9" tint="0.59999389629810485"/>
  </sheetPr>
  <dimension ref="A1:J37"/>
  <sheetViews>
    <sheetView zoomScaleNormal="100" workbookViewId="0">
      <selection activeCell="F6" sqref="F6"/>
    </sheetView>
  </sheetViews>
  <sheetFormatPr baseColWidth="10" defaultColWidth="11.42578125" defaultRowHeight="15" x14ac:dyDescent="0.25"/>
  <cols>
    <col min="1" max="1" width="6.42578125" customWidth="1"/>
    <col min="2" max="2" width="17.140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2" t="s">
        <v>1571</v>
      </c>
      <c r="B1" s="762"/>
      <c r="C1" s="288"/>
      <c r="D1" s="729"/>
      <c r="E1" s="729"/>
    </row>
    <row r="2" spans="1:10" ht="24" thickBot="1" x14ac:dyDescent="0.3">
      <c r="A2" s="730" t="s">
        <v>0</v>
      </c>
      <c r="B2" s="730"/>
      <c r="C2" s="25"/>
      <c r="D2" s="13">
        <v>45352</v>
      </c>
      <c r="E2" s="4">
        <f ca="1">TODAY()</f>
        <v>46096</v>
      </c>
      <c r="F2" s="5">
        <f ca="1">E2-D2</f>
        <v>744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1514</v>
      </c>
      <c r="F4" s="290" t="s">
        <v>8</v>
      </c>
      <c r="G4" s="750" t="s">
        <v>11</v>
      </c>
      <c r="H4" s="750"/>
      <c r="I4" s="750"/>
      <c r="J4" s="750"/>
    </row>
    <row r="5" spans="1:10" ht="18.75" x14ac:dyDescent="0.25">
      <c r="A5" s="278">
        <v>1</v>
      </c>
      <c r="B5" s="289">
        <v>2146322440</v>
      </c>
      <c r="C5" s="295" t="s">
        <v>1572</v>
      </c>
      <c r="D5" s="275" t="str">
        <f t="shared" ref="D5:D18" si="0">IF(E5="",IF($F$2&lt;=15,"EnattentedeRetrait","EnAttented'unRetraitTardif"),IF(E5-$D$2&lt;=15,"Rétirédanslesdélais",IF(E5-$D$2&gt;15,"Rétirétardivement-30000FCFAamende")))</f>
        <v>Rétirédanslesdélais</v>
      </c>
      <c r="E5" s="301">
        <v>45357</v>
      </c>
      <c r="F5" s="300"/>
      <c r="G5" s="760"/>
      <c r="H5" s="760"/>
      <c r="I5" s="760"/>
      <c r="J5" s="760"/>
    </row>
    <row r="6" spans="1:10" ht="18.75" x14ac:dyDescent="0.25">
      <c r="A6" s="278">
        <v>2</v>
      </c>
      <c r="B6" s="289">
        <v>4121084200</v>
      </c>
      <c r="C6" s="295" t="s">
        <v>1573</v>
      </c>
      <c r="D6" s="275" t="str">
        <f t="shared" si="0"/>
        <v>Rétirédanslesdélais</v>
      </c>
      <c r="E6" s="301">
        <v>45357</v>
      </c>
      <c r="F6" s="300"/>
      <c r="G6" s="774"/>
      <c r="H6" s="760"/>
      <c r="I6" s="760"/>
      <c r="J6" s="760"/>
    </row>
    <row r="7" spans="1:10" ht="18.75" x14ac:dyDescent="0.25">
      <c r="A7" s="278">
        <v>3</v>
      </c>
      <c r="B7" s="289">
        <v>4121084220</v>
      </c>
      <c r="C7" s="295" t="s">
        <v>1573</v>
      </c>
      <c r="D7" s="275" t="str">
        <f t="shared" si="0"/>
        <v>Rétirédanslesdélais</v>
      </c>
      <c r="E7" s="301">
        <v>45357</v>
      </c>
      <c r="F7" s="300"/>
      <c r="G7" s="760"/>
      <c r="H7" s="760"/>
      <c r="I7" s="760"/>
      <c r="J7" s="760"/>
    </row>
    <row r="8" spans="1:10" s="23" customFormat="1" ht="18.75" x14ac:dyDescent="0.25">
      <c r="A8" s="278">
        <v>4</v>
      </c>
      <c r="B8" s="289">
        <v>4121099600</v>
      </c>
      <c r="C8" s="295" t="s">
        <v>1573</v>
      </c>
      <c r="D8" s="275" t="str">
        <f t="shared" si="0"/>
        <v>Rétirédanslesdélais</v>
      </c>
      <c r="E8" s="301">
        <v>45357</v>
      </c>
      <c r="F8" s="300"/>
      <c r="G8" s="760"/>
      <c r="H8" s="760"/>
      <c r="I8" s="760"/>
      <c r="J8" s="760"/>
    </row>
    <row r="9" spans="1:10" s="23" customFormat="1" ht="18.75" x14ac:dyDescent="0.25">
      <c r="A9" s="278">
        <v>5</v>
      </c>
      <c r="B9" s="289">
        <v>4121099660</v>
      </c>
      <c r="C9" s="295" t="s">
        <v>1573</v>
      </c>
      <c r="D9" s="275" t="str">
        <f t="shared" si="0"/>
        <v>Rétirédanslesdélais</v>
      </c>
      <c r="E9" s="301">
        <v>45357</v>
      </c>
      <c r="F9" s="300"/>
      <c r="G9" s="774"/>
      <c r="H9" s="760"/>
      <c r="I9" s="760"/>
      <c r="J9" s="760"/>
    </row>
    <row r="10" spans="1:10" ht="18.75" x14ac:dyDescent="0.25">
      <c r="A10" s="278">
        <v>6</v>
      </c>
      <c r="B10" s="289">
        <v>4121099710</v>
      </c>
      <c r="C10" s="295" t="s">
        <v>1573</v>
      </c>
      <c r="D10" s="275" t="str">
        <f t="shared" si="0"/>
        <v>Rétirédanslesdélais</v>
      </c>
      <c r="E10" s="301">
        <v>45357</v>
      </c>
      <c r="F10" s="300"/>
      <c r="G10" s="760"/>
      <c r="H10" s="760"/>
      <c r="I10" s="760"/>
      <c r="J10" s="760"/>
    </row>
    <row r="11" spans="1:10" ht="18.75" x14ac:dyDescent="0.25">
      <c r="A11" s="278">
        <v>7</v>
      </c>
      <c r="B11" s="289">
        <v>4121122840</v>
      </c>
      <c r="C11" s="295" t="s">
        <v>1573</v>
      </c>
      <c r="D11" s="275" t="str">
        <f t="shared" si="0"/>
        <v>Rétirédanslesdélais</v>
      </c>
      <c r="E11" s="301">
        <v>45357</v>
      </c>
      <c r="F11" s="300"/>
      <c r="G11" s="760"/>
      <c r="H11" s="760"/>
      <c r="I11" s="760"/>
      <c r="J11" s="760"/>
    </row>
    <row r="12" spans="1:10" ht="17.25" x14ac:dyDescent="0.25">
      <c r="A12" s="278">
        <v>8</v>
      </c>
      <c r="B12" s="289">
        <v>4121122880</v>
      </c>
      <c r="C12" s="295" t="s">
        <v>1573</v>
      </c>
      <c r="D12" s="275" t="str">
        <f t="shared" si="0"/>
        <v>Rétirédanslesdélais</v>
      </c>
      <c r="E12" s="301">
        <v>45357</v>
      </c>
      <c r="F12" s="300"/>
      <c r="G12" s="773"/>
      <c r="H12" s="773"/>
      <c r="I12" s="773"/>
      <c r="J12" s="773"/>
    </row>
    <row r="13" spans="1:10" ht="18.75" x14ac:dyDescent="0.25">
      <c r="A13" s="278">
        <v>9</v>
      </c>
      <c r="B13" s="289">
        <v>4121124790</v>
      </c>
      <c r="C13" s="295" t="s">
        <v>1214</v>
      </c>
      <c r="D13" s="275" t="str">
        <f t="shared" si="0"/>
        <v>Rétirédanslesdélais</v>
      </c>
      <c r="E13" s="301">
        <v>45357</v>
      </c>
      <c r="F13" s="300"/>
      <c r="G13" s="760"/>
      <c r="H13" s="760"/>
      <c r="I13" s="760"/>
      <c r="J13" s="760"/>
    </row>
    <row r="14" spans="1:10" ht="18.75" x14ac:dyDescent="0.25">
      <c r="A14" s="278">
        <v>10</v>
      </c>
      <c r="B14" s="289">
        <v>4121130900</v>
      </c>
      <c r="C14" s="295" t="s">
        <v>1574</v>
      </c>
      <c r="D14" s="275" t="str">
        <f t="shared" si="0"/>
        <v>Rétirédanslesdélais</v>
      </c>
      <c r="E14" s="301">
        <v>45358</v>
      </c>
      <c r="F14" s="300"/>
      <c r="G14" s="760"/>
      <c r="H14" s="760"/>
      <c r="I14" s="760"/>
      <c r="J14" s="760"/>
    </row>
    <row r="15" spans="1:10" ht="18.75" x14ac:dyDescent="0.25">
      <c r="A15" s="278">
        <v>11</v>
      </c>
      <c r="B15" s="289">
        <v>4121133320</v>
      </c>
      <c r="C15" s="295" t="s">
        <v>1574</v>
      </c>
      <c r="D15" s="275" t="str">
        <f t="shared" si="0"/>
        <v>Rétirédanslesdélais</v>
      </c>
      <c r="E15" s="301">
        <v>45358</v>
      </c>
      <c r="F15" s="300"/>
      <c r="G15" s="760"/>
      <c r="H15" s="760"/>
      <c r="I15" s="760"/>
      <c r="J15" s="760"/>
    </row>
    <row r="16" spans="1:10" ht="18.75" x14ac:dyDescent="0.25">
      <c r="A16" s="278">
        <v>12</v>
      </c>
      <c r="B16" s="289">
        <v>4121122900</v>
      </c>
      <c r="C16" s="295" t="s">
        <v>1573</v>
      </c>
      <c r="D16" s="275" t="str">
        <f t="shared" si="0"/>
        <v>Rétirédanslesdélais</v>
      </c>
      <c r="E16" s="301">
        <v>45357</v>
      </c>
      <c r="F16" s="300"/>
      <c r="G16" s="760"/>
      <c r="H16" s="760"/>
      <c r="I16" s="760"/>
      <c r="J16" s="760"/>
    </row>
    <row r="17" spans="1:10" ht="18.75" x14ac:dyDescent="0.25">
      <c r="A17" s="278">
        <v>13</v>
      </c>
      <c r="B17" s="289">
        <v>4121122920</v>
      </c>
      <c r="C17" s="295" t="s">
        <v>1573</v>
      </c>
      <c r="D17" s="275" t="str">
        <f t="shared" si="0"/>
        <v>Rétirédanslesdélais</v>
      </c>
      <c r="E17" s="301">
        <v>45357</v>
      </c>
      <c r="F17" s="300"/>
      <c r="G17" s="760"/>
      <c r="H17" s="760"/>
      <c r="I17" s="760"/>
      <c r="J17" s="760"/>
    </row>
    <row r="18" spans="1:10" ht="18.75" x14ac:dyDescent="0.25">
      <c r="A18" s="278">
        <v>14</v>
      </c>
      <c r="B18" s="289">
        <v>4121122890</v>
      </c>
      <c r="C18" s="295" t="s">
        <v>1573</v>
      </c>
      <c r="D18" s="275" t="str">
        <f t="shared" si="0"/>
        <v>Rétirédanslesdélais</v>
      </c>
      <c r="E18" s="301">
        <v>45357</v>
      </c>
      <c r="F18" s="300"/>
      <c r="G18" s="760"/>
      <c r="H18" s="760"/>
      <c r="I18" s="760"/>
      <c r="J18" s="760"/>
    </row>
    <row r="24" spans="1:10" x14ac:dyDescent="0.25">
      <c r="C24" s="294"/>
    </row>
    <row r="25" spans="1:10" x14ac:dyDescent="0.25">
      <c r="A25" s="292"/>
      <c r="B25" s="292"/>
    </row>
    <row r="26" spans="1:10" x14ac:dyDescent="0.25">
      <c r="A26" s="292"/>
      <c r="B26" s="292"/>
    </row>
    <row r="27" spans="1:10" x14ac:dyDescent="0.25">
      <c r="A27" s="292"/>
      <c r="B27" s="292"/>
    </row>
    <row r="28" spans="1:10" x14ac:dyDescent="0.25">
      <c r="A28" s="292"/>
      <c r="B28" s="292"/>
    </row>
    <row r="29" spans="1:10" x14ac:dyDescent="0.25">
      <c r="A29" s="292"/>
      <c r="B29" s="292"/>
    </row>
    <row r="30" spans="1:10" x14ac:dyDescent="0.25">
      <c r="A30" s="292"/>
      <c r="B30" s="292"/>
    </row>
    <row r="31" spans="1:10" x14ac:dyDescent="0.25">
      <c r="A31" s="292"/>
      <c r="B31" s="292"/>
    </row>
    <row r="32" spans="1:10" x14ac:dyDescent="0.25">
      <c r="A32" s="292"/>
      <c r="B32" s="292"/>
    </row>
    <row r="33" spans="1:2" x14ac:dyDescent="0.25">
      <c r="A33" s="292"/>
      <c r="B33" s="292"/>
    </row>
    <row r="34" spans="1:2" x14ac:dyDescent="0.25">
      <c r="A34" s="292"/>
      <c r="B34" s="292"/>
    </row>
    <row r="35" spans="1:2" x14ac:dyDescent="0.25">
      <c r="A35" s="292"/>
      <c r="B35" s="292"/>
    </row>
    <row r="36" spans="1:2" x14ac:dyDescent="0.25">
      <c r="A36" s="292"/>
      <c r="B36" s="292"/>
    </row>
    <row r="37" spans="1:2" x14ac:dyDescent="0.25">
      <c r="A37" s="292"/>
      <c r="B37" s="292"/>
    </row>
  </sheetData>
  <autoFilter ref="A4:J15" xr:uid="{4990FBFD-B240-49B0-838F-2EB6A21B18BB}">
    <filterColumn colId="6" showButton="0"/>
    <filterColumn colId="7" showButton="0"/>
    <filterColumn colId="8" showButton="0"/>
  </autoFilter>
  <mergeCells count="18"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6:J6"/>
    <mergeCell ref="A1:B1"/>
    <mergeCell ref="D1:E1"/>
    <mergeCell ref="A2:B2"/>
    <mergeCell ref="G4:J4"/>
    <mergeCell ref="G5:J5"/>
  </mergeCells>
  <conditionalFormatting sqref="B1:B4">
    <cfRule type="duplicateValues" dxfId="405" priority="10"/>
    <cfRule type="duplicateValues" dxfId="404" priority="11"/>
    <cfRule type="duplicateValues" dxfId="403" priority="12"/>
    <cfRule type="duplicateValues" dxfId="402" priority="13"/>
  </conditionalFormatting>
  <conditionalFormatting sqref="B1:B1048576">
    <cfRule type="duplicateValues" dxfId="401" priority="1"/>
  </conditionalFormatting>
  <conditionalFormatting sqref="B5:B18">
    <cfRule type="containsText" dxfId="400" priority="4" operator="containsText" text="En Attente d'un Retrait Tardif">
      <formula>NOT(ISERROR(SEARCH("En Attente d'un Retrait Tardif",B5)))</formula>
    </cfRule>
    <cfRule type="containsText" dxfId="399" priority="5" operator="containsText" text="Rétiré dans les délais">
      <formula>NOT(ISERROR(SEARCH("Rétiré dans les délais",B5)))</formula>
    </cfRule>
  </conditionalFormatting>
  <conditionalFormatting sqref="B19:B25 B1:B4 B37:B1048576">
    <cfRule type="duplicateValues" dxfId="398" priority="6"/>
    <cfRule type="duplicateValues" dxfId="397" priority="9"/>
  </conditionalFormatting>
  <conditionalFormatting sqref="B26:B36">
    <cfRule type="containsText" dxfId="396" priority="2" operator="containsText" text="En Attente d'un Retrait Tardif">
      <formula>NOT(ISERROR(SEARCH("En Attente d'un Retrait Tardif",B26)))</formula>
    </cfRule>
    <cfRule type="containsText" dxfId="395" priority="3" operator="containsText" text="Rétiré dans les délais">
      <formula>NOT(ISERROR(SEARCH("Rétiré dans les délais",B26)))</formula>
    </cfRule>
  </conditionalFormatting>
  <conditionalFormatting sqref="D5:D18">
    <cfRule type="containsText" dxfId="394" priority="7" operator="containsText" text="En Attente d'un Retrait Tardif">
      <formula>NOT(ISERROR(SEARCH("En Attente d'un Retrait Tardif",D5)))</formula>
    </cfRule>
    <cfRule type="containsText" dxfId="393" priority="8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37B8-B936-44B8-9305-99B9AB4C6794}">
  <sheetPr codeName="Feuil81">
    <tabColor theme="9" tint="0.59999389629810485"/>
  </sheetPr>
  <dimension ref="A1:J25"/>
  <sheetViews>
    <sheetView zoomScaleNormal="100" workbookViewId="0">
      <selection activeCell="E17" sqref="E17"/>
    </sheetView>
  </sheetViews>
  <sheetFormatPr baseColWidth="10" defaultColWidth="11.42578125" defaultRowHeight="15" x14ac:dyDescent="0.25"/>
  <cols>
    <col min="1" max="1" width="6.42578125" customWidth="1"/>
    <col min="2" max="2" width="19.28515625" customWidth="1"/>
    <col min="3" max="3" width="37.7109375" style="292" customWidth="1"/>
    <col min="4" max="4" width="42.42578125" customWidth="1"/>
    <col min="5" max="5" width="19.140625" customWidth="1"/>
    <col min="6" max="10" width="14.5703125" customWidth="1"/>
  </cols>
  <sheetData>
    <row r="1" spans="1:10" ht="16.5" thickBot="1" x14ac:dyDescent="0.3">
      <c r="A1" s="762" t="s">
        <v>1575</v>
      </c>
      <c r="B1" s="762"/>
      <c r="C1" s="288"/>
      <c r="D1" s="729"/>
      <c r="E1" s="729"/>
    </row>
    <row r="2" spans="1:10" ht="24" thickBot="1" x14ac:dyDescent="0.3">
      <c r="A2" s="730" t="s">
        <v>0</v>
      </c>
      <c r="B2" s="730"/>
      <c r="C2" s="25"/>
      <c r="D2" s="13">
        <v>45371</v>
      </c>
      <c r="E2" s="4">
        <f ca="1">TODAY()</f>
        <v>46096</v>
      </c>
      <c r="F2" s="5">
        <f ca="1">E2-D2</f>
        <v>725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1514</v>
      </c>
      <c r="F4" s="290" t="s">
        <v>8</v>
      </c>
      <c r="G4" s="750" t="s">
        <v>11</v>
      </c>
      <c r="H4" s="750"/>
      <c r="I4" s="750"/>
      <c r="J4" s="750"/>
    </row>
    <row r="5" spans="1:10" ht="18.75" x14ac:dyDescent="0.25">
      <c r="A5" s="278">
        <v>1</v>
      </c>
      <c r="B5" s="289">
        <v>2146463710</v>
      </c>
      <c r="C5" s="295" t="s">
        <v>53</v>
      </c>
      <c r="D5" s="275" t="str">
        <f t="shared" ref="D5:D17" si="0">IF(E5="",IF($F$2&lt;=15,"EnattentedeRetrait","EnAttented'unRetraitTardif"),IF(E5-$D$2&lt;=15,"Rétirédanslesdélais",IF(E5-$D$2&gt;15,"Rétirétardivement-30000FCFAamende")))</f>
        <v>Rétirétardivement-30000FCFAamende</v>
      </c>
      <c r="E5" s="301">
        <v>45387</v>
      </c>
      <c r="F5" s="300"/>
      <c r="G5" s="760"/>
      <c r="H5" s="760"/>
      <c r="I5" s="760"/>
      <c r="J5" s="760"/>
    </row>
    <row r="6" spans="1:10" ht="18.75" x14ac:dyDescent="0.25">
      <c r="A6" s="278">
        <v>2</v>
      </c>
      <c r="B6" s="302">
        <v>4121117500</v>
      </c>
      <c r="C6" s="295" t="s">
        <v>1576</v>
      </c>
      <c r="D6" s="275" t="str">
        <f t="shared" si="0"/>
        <v>Rétirédanslesdélais</v>
      </c>
      <c r="E6" s="301">
        <v>45384</v>
      </c>
      <c r="F6" s="300"/>
      <c r="G6" s="760" t="s">
        <v>1577</v>
      </c>
      <c r="H6" s="760"/>
      <c r="I6" s="760"/>
      <c r="J6" s="760"/>
    </row>
    <row r="7" spans="1:10" ht="18.75" x14ac:dyDescent="0.25">
      <c r="A7" s="278">
        <v>3</v>
      </c>
      <c r="B7" s="302">
        <v>4121123040</v>
      </c>
      <c r="C7" s="295" t="s">
        <v>1325</v>
      </c>
      <c r="D7" s="275" t="str">
        <f t="shared" si="0"/>
        <v>Rétirédanslesdélais</v>
      </c>
      <c r="E7" s="301">
        <v>45379</v>
      </c>
      <c r="F7" s="300"/>
      <c r="G7" s="760"/>
      <c r="H7" s="760"/>
      <c r="I7" s="760"/>
      <c r="J7" s="760"/>
    </row>
    <row r="8" spans="1:10" s="23" customFormat="1" ht="18.75" x14ac:dyDescent="0.25">
      <c r="A8" s="278">
        <v>4</v>
      </c>
      <c r="B8" s="302">
        <v>4121126910</v>
      </c>
      <c r="C8" s="295" t="s">
        <v>1578</v>
      </c>
      <c r="D8" s="275" t="str">
        <f t="shared" si="0"/>
        <v>Rétirédanslesdélais</v>
      </c>
      <c r="E8" s="301">
        <v>45378</v>
      </c>
      <c r="F8" s="300"/>
      <c r="G8" s="760" t="s">
        <v>1207</v>
      </c>
      <c r="H8" s="760"/>
      <c r="I8" s="760"/>
      <c r="J8" s="760"/>
    </row>
    <row r="9" spans="1:10" s="23" customFormat="1" ht="18.75" x14ac:dyDescent="0.25">
      <c r="A9" s="278">
        <v>5</v>
      </c>
      <c r="B9" s="302">
        <v>4121127000</v>
      </c>
      <c r="C9" s="295" t="s">
        <v>68</v>
      </c>
      <c r="D9" s="275" t="str">
        <f t="shared" si="0"/>
        <v>Rétirédanslesdélais</v>
      </c>
      <c r="E9" s="301">
        <v>45376</v>
      </c>
      <c r="F9" s="300"/>
      <c r="G9" s="774"/>
      <c r="H9" s="760"/>
      <c r="I9" s="760"/>
      <c r="J9" s="760"/>
    </row>
    <row r="10" spans="1:10" ht="18.75" x14ac:dyDescent="0.25">
      <c r="A10" s="278">
        <v>6</v>
      </c>
      <c r="B10" s="302">
        <v>4121127260</v>
      </c>
      <c r="C10" s="295" t="s">
        <v>68</v>
      </c>
      <c r="D10" s="275" t="str">
        <f t="shared" si="0"/>
        <v>Rétirédanslesdélais</v>
      </c>
      <c r="E10" s="301">
        <v>45376</v>
      </c>
      <c r="F10" s="300"/>
      <c r="G10" s="760"/>
      <c r="H10" s="760"/>
      <c r="I10" s="760"/>
      <c r="J10" s="760"/>
    </row>
    <row r="11" spans="1:10" ht="18.75" x14ac:dyDescent="0.25">
      <c r="A11" s="278">
        <v>7</v>
      </c>
      <c r="B11" s="302">
        <v>4121127401</v>
      </c>
      <c r="C11" s="295" t="s">
        <v>68</v>
      </c>
      <c r="D11" s="275" t="str">
        <f t="shared" si="0"/>
        <v>Rétirédanslesdélais</v>
      </c>
      <c r="E11" s="301">
        <v>45376</v>
      </c>
      <c r="F11" s="300"/>
      <c r="G11" s="760" t="s">
        <v>1207</v>
      </c>
      <c r="H11" s="760"/>
      <c r="I11" s="760"/>
      <c r="J11" s="760"/>
    </row>
    <row r="12" spans="1:10" ht="17.25" x14ac:dyDescent="0.25">
      <c r="A12" s="278">
        <v>8</v>
      </c>
      <c r="B12" s="302">
        <v>4121127461</v>
      </c>
      <c r="C12" s="295" t="s">
        <v>68</v>
      </c>
      <c r="D12" s="275" t="str">
        <f t="shared" si="0"/>
        <v>Rétirédanslesdélais</v>
      </c>
      <c r="E12" s="301">
        <v>45376</v>
      </c>
      <c r="F12" s="300"/>
      <c r="G12" s="773" t="s">
        <v>1579</v>
      </c>
      <c r="H12" s="773"/>
      <c r="I12" s="773"/>
      <c r="J12" s="773"/>
    </row>
    <row r="13" spans="1:10" ht="18.75" x14ac:dyDescent="0.25">
      <c r="A13" s="278">
        <v>9</v>
      </c>
      <c r="B13" s="302">
        <v>4121139520</v>
      </c>
      <c r="C13" s="295" t="s">
        <v>1276</v>
      </c>
      <c r="D13" s="275" t="str">
        <f t="shared" si="0"/>
        <v>Rétirédanslesdélais</v>
      </c>
      <c r="E13" s="301">
        <v>45376</v>
      </c>
      <c r="F13" s="300"/>
      <c r="G13" s="760"/>
      <c r="H13" s="760"/>
      <c r="I13" s="760"/>
      <c r="J13" s="760"/>
    </row>
    <row r="14" spans="1:10" ht="18.75" x14ac:dyDescent="0.25">
      <c r="A14" s="278">
        <v>10</v>
      </c>
      <c r="B14" s="302">
        <v>4121139760</v>
      </c>
      <c r="C14" s="295" t="s">
        <v>1295</v>
      </c>
      <c r="D14" s="275" t="str">
        <f t="shared" si="0"/>
        <v>Rétirétardivement-30000FCFAamende</v>
      </c>
      <c r="E14" s="301">
        <v>45387</v>
      </c>
      <c r="F14" s="300"/>
      <c r="G14" s="760"/>
      <c r="H14" s="760"/>
      <c r="I14" s="760"/>
      <c r="J14" s="760"/>
    </row>
    <row r="15" spans="1:10" ht="17.25" x14ac:dyDescent="0.25">
      <c r="A15" s="278">
        <v>11</v>
      </c>
      <c r="B15" s="302">
        <v>4121139761</v>
      </c>
      <c r="C15" s="295" t="s">
        <v>1295</v>
      </c>
      <c r="D15" s="275" t="str">
        <f t="shared" si="0"/>
        <v>Rétirétardivement-30000FCFAamende</v>
      </c>
      <c r="E15" s="301">
        <v>45387</v>
      </c>
      <c r="F15" s="300"/>
      <c r="G15" s="775" t="s">
        <v>1580</v>
      </c>
      <c r="H15" s="775"/>
      <c r="I15" s="775"/>
      <c r="J15" s="775"/>
    </row>
    <row r="16" spans="1:10" ht="18.75" x14ac:dyDescent="0.25">
      <c r="A16" s="278">
        <v>12</v>
      </c>
      <c r="B16" s="302">
        <v>4121139820</v>
      </c>
      <c r="C16" s="295" t="s">
        <v>1105</v>
      </c>
      <c r="D16" s="275" t="str">
        <f t="shared" si="0"/>
        <v>Rétirédanslesdélais</v>
      </c>
      <c r="E16" s="301">
        <v>45384</v>
      </c>
      <c r="F16" s="300"/>
      <c r="G16" s="760" t="s">
        <v>1581</v>
      </c>
      <c r="H16" s="760"/>
      <c r="I16" s="760"/>
      <c r="J16" s="760"/>
    </row>
    <row r="17" spans="1:10" ht="18.75" x14ac:dyDescent="0.25">
      <c r="A17" s="278">
        <v>13</v>
      </c>
      <c r="B17" s="302">
        <v>4121158870</v>
      </c>
      <c r="C17" s="295" t="s">
        <v>1489</v>
      </c>
      <c r="D17" s="275" t="str">
        <f t="shared" si="0"/>
        <v>Rétirédanslesdélais</v>
      </c>
      <c r="E17" s="301">
        <v>45377</v>
      </c>
      <c r="F17" s="300"/>
      <c r="G17" s="760" t="s">
        <v>1207</v>
      </c>
      <c r="H17" s="760"/>
      <c r="I17" s="760"/>
      <c r="J17" s="760"/>
    </row>
    <row r="19" spans="1:10" x14ac:dyDescent="0.25">
      <c r="C19" s="294"/>
    </row>
    <row r="20" spans="1:10" x14ac:dyDescent="0.25">
      <c r="A20" s="292"/>
      <c r="B20" s="292"/>
    </row>
    <row r="21" spans="1:10" x14ac:dyDescent="0.25">
      <c r="A21" s="292"/>
      <c r="B21" s="292"/>
    </row>
    <row r="25" spans="1:10" s="292" customFormat="1" x14ac:dyDescent="0.25">
      <c r="A25"/>
      <c r="B25"/>
      <c r="D25"/>
      <c r="E25"/>
      <c r="F25"/>
      <c r="G25"/>
      <c r="H25"/>
      <c r="I25"/>
      <c r="J25"/>
    </row>
  </sheetData>
  <autoFilter ref="A4:J17" xr:uid="{4990FBFD-B240-49B0-838F-2EB6A21B18BB}">
    <filterColumn colId="6" showButton="0"/>
    <filterColumn colId="7" showButton="0"/>
    <filterColumn colId="8" showButton="0"/>
  </autoFilter>
  <mergeCells count="17">
    <mergeCell ref="G13:J13"/>
    <mergeCell ref="G14:J14"/>
    <mergeCell ref="G15:J15"/>
    <mergeCell ref="G16:J16"/>
    <mergeCell ref="G17:J17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392" priority="10"/>
    <cfRule type="duplicateValues" dxfId="391" priority="11"/>
    <cfRule type="duplicateValues" dxfId="390" priority="12"/>
    <cfRule type="duplicateValues" dxfId="389" priority="13"/>
  </conditionalFormatting>
  <conditionalFormatting sqref="B5:B17">
    <cfRule type="containsText" dxfId="388" priority="4" operator="containsText" text="En Attente d'un Retrait Tardif">
      <formula>NOT(ISERROR(SEARCH("En Attente d'un Retrait Tardif",B5)))</formula>
    </cfRule>
    <cfRule type="containsText" dxfId="387" priority="5" operator="containsText" text="Rétiré dans les délais">
      <formula>NOT(ISERROR(SEARCH("Rétiré dans les délais",B5)))</formula>
    </cfRule>
  </conditionalFormatting>
  <conditionalFormatting sqref="B21">
    <cfRule type="containsText" dxfId="386" priority="2" operator="containsText" text="En Attente d'un Retrait Tardif">
      <formula>NOT(ISERROR(SEARCH("En Attente d'un Retrait Tardif",B21)))</formula>
    </cfRule>
    <cfRule type="containsText" dxfId="385" priority="3" operator="containsText" text="Rétiré dans les délais">
      <formula>NOT(ISERROR(SEARCH("Rétiré dans les délais",B21)))</formula>
    </cfRule>
  </conditionalFormatting>
  <conditionalFormatting sqref="B40:B1048576 B1:B21">
    <cfRule type="duplicateValues" dxfId="384" priority="280"/>
  </conditionalFormatting>
  <conditionalFormatting sqref="B40:B1048576 B18:B20 B1:B4">
    <cfRule type="duplicateValues" dxfId="383" priority="283"/>
    <cfRule type="duplicateValues" dxfId="382" priority="284"/>
  </conditionalFormatting>
  <conditionalFormatting sqref="D5:D17">
    <cfRule type="containsText" dxfId="381" priority="7" operator="containsText" text="En Attente d'un Retrait Tardif">
      <formula>NOT(ISERROR(SEARCH("En Attente d'un Retrait Tardif",D5)))</formula>
    </cfRule>
    <cfRule type="containsText" dxfId="380" priority="8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FBFD-B240-49B0-838F-2EB6A21B18BB}">
  <sheetPr codeName="Feuil82">
    <tabColor theme="9" tint="0.79998168889431442"/>
  </sheetPr>
  <dimension ref="A1:J38"/>
  <sheetViews>
    <sheetView workbookViewId="0">
      <selection activeCell="L28" sqref="L28"/>
    </sheetView>
  </sheetViews>
  <sheetFormatPr baseColWidth="10" defaultColWidth="11.42578125" defaultRowHeight="15" x14ac:dyDescent="0.25"/>
  <cols>
    <col min="1" max="1" width="6.42578125" customWidth="1"/>
    <col min="2" max="2" width="17.140625" customWidth="1"/>
    <col min="3" max="3" width="37.7109375" style="292" customWidth="1"/>
    <col min="4" max="4" width="42.42578125" customWidth="1"/>
    <col min="5" max="5" width="19.140625" customWidth="1"/>
    <col min="6" max="6" width="14.5703125" customWidth="1"/>
    <col min="10" max="10" width="24.7109375" customWidth="1"/>
  </cols>
  <sheetData>
    <row r="1" spans="1:10" ht="16.5" thickBot="1" x14ac:dyDescent="0.3">
      <c r="A1" s="762" t="s">
        <v>1582</v>
      </c>
      <c r="B1" s="762"/>
      <c r="C1" s="288"/>
      <c r="D1" s="729"/>
      <c r="E1" s="729"/>
    </row>
    <row r="2" spans="1:10" ht="24" thickBot="1" x14ac:dyDescent="0.3">
      <c r="A2" s="730" t="s">
        <v>0</v>
      </c>
      <c r="B2" s="730"/>
      <c r="C2" s="25"/>
      <c r="D2" s="13">
        <v>45342</v>
      </c>
      <c r="E2" s="4">
        <f ca="1">TODAY()</f>
        <v>46096</v>
      </c>
      <c r="F2" s="5">
        <f ca="1">E2-D2</f>
        <v>754</v>
      </c>
    </row>
    <row r="3" spans="1:10" x14ac:dyDescent="0.25">
      <c r="D3" s="105"/>
    </row>
    <row r="4" spans="1:10" ht="17.25" x14ac:dyDescent="0.25">
      <c r="A4" s="285" t="s">
        <v>1</v>
      </c>
      <c r="B4" s="290" t="s">
        <v>59</v>
      </c>
      <c r="C4" s="293" t="s">
        <v>60</v>
      </c>
      <c r="D4" s="290" t="s">
        <v>7</v>
      </c>
      <c r="E4" s="290" t="s">
        <v>1514</v>
      </c>
      <c r="F4" s="290" t="s">
        <v>8</v>
      </c>
      <c r="G4" s="750" t="s">
        <v>11</v>
      </c>
      <c r="H4" s="750"/>
      <c r="I4" s="750"/>
      <c r="J4" s="750"/>
    </row>
    <row r="5" spans="1:10" ht="18.75" x14ac:dyDescent="0.25">
      <c r="A5" s="278">
        <v>1</v>
      </c>
      <c r="B5" s="289">
        <v>4114740270</v>
      </c>
      <c r="C5" s="295" t="s">
        <v>1583</v>
      </c>
      <c r="D5" s="275" t="str">
        <f t="shared" ref="D5:D29" si="0">IF(E5="",IF($F$2&lt;=15,"EnattentedeRetrait","EnAttented'unRetraitTardif"),IF(E5-$D$2&lt;=15,"Rétirédanslesdélais",IF(E5-$D$2&gt;15,"Rétirétardivement-30000FCFAamende")))</f>
        <v>Rétirédanslesdélais</v>
      </c>
      <c r="E5" s="201">
        <v>45348</v>
      </c>
      <c r="F5" s="206"/>
      <c r="G5" s="760"/>
      <c r="H5" s="760"/>
      <c r="I5" s="760"/>
      <c r="J5" s="760"/>
    </row>
    <row r="6" spans="1:10" ht="18.75" x14ac:dyDescent="0.25">
      <c r="A6" s="278">
        <v>2</v>
      </c>
      <c r="B6" s="289">
        <v>4114741360</v>
      </c>
      <c r="C6" s="295" t="s">
        <v>1159</v>
      </c>
      <c r="D6" s="275" t="str">
        <f t="shared" si="0"/>
        <v>Rétirédanslesdélais</v>
      </c>
      <c r="E6" s="201">
        <v>45348</v>
      </c>
      <c r="F6" s="206"/>
      <c r="G6" s="774" t="s">
        <v>66</v>
      </c>
      <c r="H6" s="760"/>
      <c r="I6" s="760"/>
      <c r="J6" s="760"/>
    </row>
    <row r="7" spans="1:10" ht="18.75" x14ac:dyDescent="0.25">
      <c r="A7" s="278">
        <v>3</v>
      </c>
      <c r="B7" s="289">
        <v>4121083840</v>
      </c>
      <c r="C7" s="295" t="s">
        <v>1159</v>
      </c>
      <c r="D7" s="275" t="str">
        <f t="shared" si="0"/>
        <v>Rétirédanslesdélais</v>
      </c>
      <c r="E7" s="201">
        <v>45348</v>
      </c>
      <c r="F7" s="206"/>
      <c r="G7" s="760" t="s">
        <v>66</v>
      </c>
      <c r="H7" s="760"/>
      <c r="I7" s="760"/>
      <c r="J7" s="760"/>
    </row>
    <row r="8" spans="1:10" s="23" customFormat="1" ht="18.75" x14ac:dyDescent="0.25">
      <c r="A8" s="278">
        <v>4</v>
      </c>
      <c r="B8" s="289">
        <v>4121083880</v>
      </c>
      <c r="C8" s="295" t="s">
        <v>1584</v>
      </c>
      <c r="D8" s="275" t="str">
        <f t="shared" si="0"/>
        <v>Rétirédanslesdélais</v>
      </c>
      <c r="E8" s="201">
        <v>45348</v>
      </c>
      <c r="F8" s="206"/>
      <c r="G8" s="760" t="s">
        <v>66</v>
      </c>
      <c r="H8" s="760"/>
      <c r="I8" s="760"/>
      <c r="J8" s="760"/>
    </row>
    <row r="9" spans="1:10" s="23" customFormat="1" ht="18.75" x14ac:dyDescent="0.25">
      <c r="A9" s="278">
        <v>5</v>
      </c>
      <c r="B9" s="289">
        <v>4121099680</v>
      </c>
      <c r="C9" s="295" t="s">
        <v>1584</v>
      </c>
      <c r="D9" s="275" t="str">
        <f t="shared" si="0"/>
        <v>Rétirédanslesdélais</v>
      </c>
      <c r="E9" s="201">
        <v>45348</v>
      </c>
      <c r="F9" s="206"/>
      <c r="G9" s="774" t="s">
        <v>66</v>
      </c>
      <c r="H9" s="760"/>
      <c r="I9" s="760"/>
      <c r="J9" s="760"/>
    </row>
    <row r="10" spans="1:10" ht="18.75" x14ac:dyDescent="0.25">
      <c r="A10" s="278">
        <v>6</v>
      </c>
      <c r="B10" s="289">
        <v>4121082990</v>
      </c>
      <c r="C10" s="295" t="s">
        <v>1585</v>
      </c>
      <c r="D10" s="275" t="str">
        <f t="shared" si="0"/>
        <v>Rétirédanslesdélais</v>
      </c>
      <c r="E10" s="201">
        <v>45349</v>
      </c>
      <c r="F10" s="206"/>
      <c r="G10" s="760" t="s">
        <v>66</v>
      </c>
      <c r="H10" s="760"/>
      <c r="I10" s="760"/>
      <c r="J10" s="760"/>
    </row>
    <row r="11" spans="1:10" ht="18.75" x14ac:dyDescent="0.25">
      <c r="A11" s="278">
        <v>7</v>
      </c>
      <c r="B11" s="289">
        <v>4121105530</v>
      </c>
      <c r="C11" s="295" t="s">
        <v>1585</v>
      </c>
      <c r="D11" s="275" t="str">
        <f t="shared" si="0"/>
        <v>Rétirédanslesdélais</v>
      </c>
      <c r="E11" s="201">
        <v>45349</v>
      </c>
      <c r="F11" s="206"/>
      <c r="G11" s="760" t="s">
        <v>66</v>
      </c>
      <c r="H11" s="760"/>
      <c r="I11" s="760"/>
      <c r="J11" s="760"/>
    </row>
    <row r="12" spans="1:10" ht="18.75" x14ac:dyDescent="0.25">
      <c r="A12" s="278">
        <v>8</v>
      </c>
      <c r="B12" s="289">
        <v>4121096140</v>
      </c>
      <c r="C12" s="295" t="s">
        <v>72</v>
      </c>
      <c r="D12" s="275" t="str">
        <f t="shared" si="0"/>
        <v>Rétirédanslesdélais</v>
      </c>
      <c r="E12" s="201">
        <v>45344</v>
      </c>
      <c r="F12" s="206"/>
      <c r="G12" s="760" t="s">
        <v>66</v>
      </c>
      <c r="H12" s="760"/>
      <c r="I12" s="760"/>
      <c r="J12" s="760"/>
    </row>
    <row r="13" spans="1:10" ht="18.75" x14ac:dyDescent="0.25">
      <c r="A13" s="278">
        <v>9</v>
      </c>
      <c r="B13" s="289">
        <v>2145620830</v>
      </c>
      <c r="C13" s="295" t="s">
        <v>1536</v>
      </c>
      <c r="D13" s="275" t="str">
        <f t="shared" si="0"/>
        <v>Rétirédanslesdélais</v>
      </c>
      <c r="E13" s="201">
        <v>45344</v>
      </c>
      <c r="F13" s="206"/>
      <c r="G13" s="760"/>
      <c r="H13" s="760"/>
      <c r="I13" s="760"/>
      <c r="J13" s="760"/>
    </row>
    <row r="14" spans="1:10" ht="18.75" x14ac:dyDescent="0.25">
      <c r="A14" s="278">
        <v>10</v>
      </c>
      <c r="B14" s="289">
        <v>2145621050</v>
      </c>
      <c r="C14" s="295" t="s">
        <v>1536</v>
      </c>
      <c r="D14" s="275" t="str">
        <f t="shared" si="0"/>
        <v>Rétirédanslesdélais</v>
      </c>
      <c r="E14" s="201">
        <v>45344</v>
      </c>
      <c r="F14" s="206"/>
      <c r="G14" s="760"/>
      <c r="H14" s="760"/>
      <c r="I14" s="760"/>
      <c r="J14" s="760"/>
    </row>
    <row r="15" spans="1:10" ht="18.75" x14ac:dyDescent="0.25">
      <c r="A15" s="278">
        <v>11</v>
      </c>
      <c r="B15" s="289">
        <v>2145621060</v>
      </c>
      <c r="C15" s="295" t="s">
        <v>1536</v>
      </c>
      <c r="D15" s="275" t="str">
        <f t="shared" si="0"/>
        <v>Rétirédanslesdélais</v>
      </c>
      <c r="E15" s="201">
        <v>45344</v>
      </c>
      <c r="F15" s="206"/>
      <c r="G15" s="760"/>
      <c r="H15" s="760"/>
      <c r="I15" s="760"/>
      <c r="J15" s="760"/>
    </row>
    <row r="16" spans="1:10" ht="18.75" x14ac:dyDescent="0.25">
      <c r="A16" s="278">
        <v>12</v>
      </c>
      <c r="B16" s="289">
        <v>2145715160</v>
      </c>
      <c r="C16" s="295" t="s">
        <v>1536</v>
      </c>
      <c r="D16" s="275" t="str">
        <f t="shared" si="0"/>
        <v>Rétirédanslesdélais</v>
      </c>
      <c r="E16" s="201">
        <v>45344</v>
      </c>
      <c r="F16" s="206"/>
      <c r="G16" s="760" t="s">
        <v>66</v>
      </c>
      <c r="H16" s="760"/>
      <c r="I16" s="760"/>
      <c r="J16" s="760"/>
    </row>
    <row r="17" spans="1:10" ht="18.75" x14ac:dyDescent="0.25">
      <c r="A17" s="278">
        <v>13</v>
      </c>
      <c r="B17" s="289">
        <v>2145715170</v>
      </c>
      <c r="C17" s="295" t="s">
        <v>1536</v>
      </c>
      <c r="D17" s="275" t="str">
        <f t="shared" si="0"/>
        <v>Rétirédanslesdélais</v>
      </c>
      <c r="E17" s="201">
        <v>45344</v>
      </c>
      <c r="F17" s="287"/>
      <c r="G17" s="760"/>
      <c r="H17" s="760"/>
      <c r="I17" s="760"/>
      <c r="J17" s="760"/>
    </row>
    <row r="18" spans="1:10" ht="18.75" x14ac:dyDescent="0.25">
      <c r="A18" s="278">
        <v>14</v>
      </c>
      <c r="B18" s="289">
        <v>2146016100</v>
      </c>
      <c r="C18" s="295" t="s">
        <v>70</v>
      </c>
      <c r="D18" s="275" t="str">
        <f t="shared" si="0"/>
        <v>Rétirédanslesdélais</v>
      </c>
      <c r="E18" s="201">
        <v>45344</v>
      </c>
      <c r="F18" s="206"/>
      <c r="G18" s="760" t="s">
        <v>66</v>
      </c>
      <c r="H18" s="760"/>
      <c r="I18" s="760"/>
      <c r="J18" s="760"/>
    </row>
    <row r="19" spans="1:10" ht="18.75" x14ac:dyDescent="0.25">
      <c r="A19" s="278">
        <v>15</v>
      </c>
      <c r="B19" s="289">
        <v>2146107490</v>
      </c>
      <c r="C19" s="295" t="s">
        <v>70</v>
      </c>
      <c r="D19" s="275" t="str">
        <f t="shared" si="0"/>
        <v>Rétirédanslesdélais</v>
      </c>
      <c r="E19" s="201">
        <v>45344</v>
      </c>
      <c r="F19" s="206"/>
      <c r="G19" s="760" t="s">
        <v>66</v>
      </c>
      <c r="H19" s="760"/>
      <c r="I19" s="760"/>
      <c r="J19" s="760"/>
    </row>
    <row r="20" spans="1:10" ht="18.75" x14ac:dyDescent="0.25">
      <c r="A20" s="278">
        <v>16</v>
      </c>
      <c r="B20" s="289">
        <v>4114734740</v>
      </c>
      <c r="C20" s="295" t="s">
        <v>1122</v>
      </c>
      <c r="D20" s="275" t="str">
        <f t="shared" si="0"/>
        <v>Rétirédanslesdélais</v>
      </c>
      <c r="E20" s="201">
        <v>45349</v>
      </c>
      <c r="F20" s="291">
        <v>1122000</v>
      </c>
      <c r="G20" s="760" t="s">
        <v>1586</v>
      </c>
      <c r="H20" s="760"/>
      <c r="I20" s="760"/>
      <c r="J20" s="760"/>
    </row>
    <row r="21" spans="1:10" ht="18.75" x14ac:dyDescent="0.25">
      <c r="A21" s="278">
        <v>17</v>
      </c>
      <c r="B21" s="289">
        <v>4121082910</v>
      </c>
      <c r="C21" s="295" t="s">
        <v>1585</v>
      </c>
      <c r="D21" s="275" t="str">
        <f t="shared" si="0"/>
        <v>Rétirédanslesdélais</v>
      </c>
      <c r="E21" s="201">
        <v>45349</v>
      </c>
      <c r="F21" s="206"/>
      <c r="G21" s="760"/>
      <c r="H21" s="760"/>
      <c r="I21" s="760"/>
      <c r="J21" s="760"/>
    </row>
    <row r="22" spans="1:10" ht="18.75" x14ac:dyDescent="0.25">
      <c r="A22" s="278">
        <v>18</v>
      </c>
      <c r="B22" s="289">
        <v>4121082960</v>
      </c>
      <c r="C22" s="295" t="s">
        <v>1585</v>
      </c>
      <c r="D22" s="275" t="str">
        <f t="shared" si="0"/>
        <v>Rétirédanslesdélais</v>
      </c>
      <c r="E22" s="201">
        <v>45349</v>
      </c>
      <c r="F22" s="206"/>
      <c r="G22" s="760"/>
      <c r="H22" s="760"/>
      <c r="I22" s="760"/>
      <c r="J22" s="760"/>
    </row>
    <row r="23" spans="1:10" ht="18.75" x14ac:dyDescent="0.25">
      <c r="A23" s="278">
        <v>19</v>
      </c>
      <c r="B23" s="289">
        <v>4121084470</v>
      </c>
      <c r="C23" s="295" t="s">
        <v>1574</v>
      </c>
      <c r="D23" s="275" t="str">
        <f t="shared" si="0"/>
        <v>Rétirédanslesdélais</v>
      </c>
      <c r="E23" s="201">
        <v>45350</v>
      </c>
      <c r="F23" s="206"/>
      <c r="G23" s="760"/>
      <c r="H23" s="760"/>
      <c r="I23" s="760"/>
      <c r="J23" s="760"/>
    </row>
    <row r="24" spans="1:10" ht="18.75" x14ac:dyDescent="0.25">
      <c r="A24" s="278">
        <v>20</v>
      </c>
      <c r="B24" s="289">
        <v>4114752270</v>
      </c>
      <c r="C24" s="295" t="s">
        <v>70</v>
      </c>
      <c r="D24" s="275" t="str">
        <f t="shared" si="0"/>
        <v>Rétirédanslesdélais</v>
      </c>
      <c r="E24" s="201">
        <v>45348</v>
      </c>
      <c r="F24" s="206"/>
      <c r="G24" s="760" t="s">
        <v>66</v>
      </c>
      <c r="H24" s="760"/>
      <c r="I24" s="760"/>
      <c r="J24" s="760"/>
    </row>
    <row r="25" spans="1:10" ht="18.75" x14ac:dyDescent="0.25">
      <c r="A25" s="278">
        <v>21</v>
      </c>
      <c r="B25" s="289">
        <v>4121090260</v>
      </c>
      <c r="C25" s="295" t="s">
        <v>70</v>
      </c>
      <c r="D25" s="275" t="str">
        <f t="shared" si="0"/>
        <v>Rétirédanslesdélais</v>
      </c>
      <c r="E25" s="201">
        <v>45348</v>
      </c>
      <c r="F25" s="206"/>
      <c r="G25" s="760" t="s">
        <v>66</v>
      </c>
      <c r="H25" s="760"/>
      <c r="I25" s="760"/>
      <c r="J25" s="760"/>
    </row>
    <row r="26" spans="1:10" ht="18.75" x14ac:dyDescent="0.25">
      <c r="A26" s="278">
        <v>22</v>
      </c>
      <c r="B26" s="289">
        <v>4114657930</v>
      </c>
      <c r="C26" s="295" t="s">
        <v>1122</v>
      </c>
      <c r="D26" s="275" t="str">
        <f t="shared" si="0"/>
        <v>Rétirédanslesdélais</v>
      </c>
      <c r="E26" s="201">
        <v>45345</v>
      </c>
      <c r="F26" s="291">
        <v>527000</v>
      </c>
      <c r="G26" s="760" t="s">
        <v>1587</v>
      </c>
      <c r="H26" s="760"/>
      <c r="I26" s="760"/>
      <c r="J26" s="760"/>
    </row>
    <row r="27" spans="1:10" ht="18.75" x14ac:dyDescent="0.25">
      <c r="A27" s="278">
        <v>23</v>
      </c>
      <c r="B27" s="289">
        <v>4114731340</v>
      </c>
      <c r="C27" s="295" t="s">
        <v>1576</v>
      </c>
      <c r="D27" s="275" t="str">
        <f t="shared" si="0"/>
        <v>Rétirédanslesdélais</v>
      </c>
      <c r="E27" s="201">
        <v>45348</v>
      </c>
      <c r="F27" s="206"/>
      <c r="G27" s="760"/>
      <c r="H27" s="760"/>
      <c r="I27" s="760"/>
      <c r="J27" s="760"/>
    </row>
    <row r="28" spans="1:10" ht="18.75" x14ac:dyDescent="0.25">
      <c r="A28" s="278">
        <v>24</v>
      </c>
      <c r="B28" s="289">
        <v>4121106770</v>
      </c>
      <c r="C28" s="295" t="s">
        <v>1214</v>
      </c>
      <c r="D28" s="275" t="str">
        <f t="shared" si="0"/>
        <v>Rétirédanslesdélais</v>
      </c>
      <c r="E28" s="201">
        <v>45348</v>
      </c>
      <c r="F28" s="206"/>
      <c r="G28" s="760"/>
      <c r="H28" s="760"/>
      <c r="I28" s="760"/>
      <c r="J28" s="760"/>
    </row>
    <row r="29" spans="1:10" ht="18.75" x14ac:dyDescent="0.25">
      <c r="A29" s="278">
        <v>25</v>
      </c>
      <c r="B29" s="289">
        <v>4121107320</v>
      </c>
      <c r="C29" s="295" t="s">
        <v>1214</v>
      </c>
      <c r="D29" s="275" t="str">
        <f t="shared" si="0"/>
        <v>Rétirédanslesdélais</v>
      </c>
      <c r="E29" s="201">
        <v>45348</v>
      </c>
      <c r="F29" s="206"/>
      <c r="G29" s="760"/>
      <c r="H29" s="760"/>
      <c r="I29" s="760"/>
      <c r="J29" s="760"/>
    </row>
    <row r="38" spans="3:3" x14ac:dyDescent="0.25">
      <c r="C38" s="294"/>
    </row>
  </sheetData>
  <mergeCells count="29">
    <mergeCell ref="G25:J25"/>
    <mergeCell ref="G26:J26"/>
    <mergeCell ref="G27:J27"/>
    <mergeCell ref="G28:J28"/>
    <mergeCell ref="G29:J29"/>
    <mergeCell ref="G24:J24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 B30:B1048576">
    <cfRule type="duplicateValues" dxfId="379" priority="3"/>
    <cfRule type="duplicateValues" dxfId="378" priority="6"/>
  </conditionalFormatting>
  <conditionalFormatting sqref="B1:B4">
    <cfRule type="duplicateValues" dxfId="377" priority="7"/>
    <cfRule type="duplicateValues" dxfId="376" priority="8"/>
    <cfRule type="duplicateValues" dxfId="375" priority="9"/>
    <cfRule type="duplicateValues" dxfId="374" priority="10"/>
  </conditionalFormatting>
  <conditionalFormatting sqref="B5:B29">
    <cfRule type="containsText" dxfId="373" priority="1" operator="containsText" text="En Attente d'un Retrait Tardif">
      <formula>NOT(ISERROR(SEARCH("En Attente d'un Retrait Tardif",B5)))</formula>
    </cfRule>
    <cfRule type="containsText" dxfId="372" priority="2" operator="containsText" text="Rétiré dans les délais">
      <formula>NOT(ISERROR(SEARCH("Rétiré dans les délais",B5)))</formula>
    </cfRule>
  </conditionalFormatting>
  <conditionalFormatting sqref="D5:D29">
    <cfRule type="containsText" dxfId="371" priority="4" operator="containsText" text="En Attente d'un Retrait Tardif">
      <formula>NOT(ISERROR(SEARCH("En Attente d'un Retrait Tardif",D5)))</formula>
    </cfRule>
    <cfRule type="containsText" dxfId="370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F0F7-B3DD-4D85-9C18-D9B0A7A0D4F8}">
  <sheetPr codeName="Feuil83">
    <tabColor theme="9" tint="0.59999389629810485"/>
  </sheetPr>
  <dimension ref="A1:J18"/>
  <sheetViews>
    <sheetView workbookViewId="0">
      <selection activeCell="F17" sqref="F17"/>
    </sheetView>
  </sheetViews>
  <sheetFormatPr baseColWidth="10" defaultColWidth="11.42578125" defaultRowHeight="15" x14ac:dyDescent="0.25"/>
  <cols>
    <col min="1" max="1" width="6.42578125" customWidth="1"/>
    <col min="2" max="2" width="18.85546875" customWidth="1"/>
    <col min="3" max="3" width="39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2" t="s">
        <v>1588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45338</v>
      </c>
      <c r="E2" s="4">
        <f ca="1">TODAY()</f>
        <v>46096</v>
      </c>
      <c r="F2" s="5">
        <f ca="1">E2-D2</f>
        <v>758</v>
      </c>
    </row>
    <row r="3" spans="1:10" x14ac:dyDescent="0.25">
      <c r="D3" s="105"/>
    </row>
    <row r="4" spans="1:10" ht="18.75" x14ac:dyDescent="0.25">
      <c r="A4" s="285" t="s">
        <v>1</v>
      </c>
      <c r="B4" s="286" t="s">
        <v>59</v>
      </c>
      <c r="C4" s="286" t="s">
        <v>60</v>
      </c>
      <c r="D4" s="286" t="s">
        <v>7</v>
      </c>
      <c r="E4" s="286" t="s">
        <v>1514</v>
      </c>
      <c r="F4" s="286" t="s">
        <v>8</v>
      </c>
      <c r="G4" s="778" t="s">
        <v>11</v>
      </c>
      <c r="H4" s="778"/>
      <c r="I4" s="778"/>
      <c r="J4" s="778"/>
    </row>
    <row r="5" spans="1:10" ht="18.75" x14ac:dyDescent="0.3">
      <c r="A5" s="278">
        <v>1</v>
      </c>
      <c r="B5" s="296">
        <v>4121099340</v>
      </c>
      <c r="C5" s="262" t="s">
        <v>71</v>
      </c>
      <c r="D5" s="264" t="str">
        <f t="shared" ref="D5:D18" si="0">IF(E5="",IF($F$2&lt;=15,"EnattentedeRetrait","EnAttented'unRetraitTardif"),IF(E5-$D$2&lt;=15,"Rétirédanslesdélais",IF(E5-$D$2&gt;15,"Rétirétardivement-30000FCFAamende")))</f>
        <v>Rétirédanslesdélais</v>
      </c>
      <c r="E5" s="201">
        <v>45342</v>
      </c>
      <c r="F5" s="206">
        <v>0</v>
      </c>
      <c r="G5" s="760"/>
      <c r="H5" s="760"/>
      <c r="I5" s="760"/>
      <c r="J5" s="760"/>
    </row>
    <row r="6" spans="1:10" ht="18.75" x14ac:dyDescent="0.3">
      <c r="A6" s="278">
        <v>2</v>
      </c>
      <c r="B6" s="297">
        <v>4121099310</v>
      </c>
      <c r="C6" s="262" t="s">
        <v>1553</v>
      </c>
      <c r="D6" s="264" t="str">
        <f t="shared" si="0"/>
        <v>Rétirédanslesdélais</v>
      </c>
      <c r="E6" s="201">
        <v>45343</v>
      </c>
      <c r="F6" s="206">
        <v>0</v>
      </c>
      <c r="G6" s="774"/>
      <c r="H6" s="760"/>
      <c r="I6" s="760"/>
      <c r="J6" s="760"/>
    </row>
    <row r="7" spans="1:10" ht="18.75" x14ac:dyDescent="0.3">
      <c r="A7" s="278">
        <v>3</v>
      </c>
      <c r="B7" s="297">
        <v>4121083980</v>
      </c>
      <c r="C7" s="262" t="s">
        <v>1325</v>
      </c>
      <c r="D7" s="264" t="str">
        <f t="shared" si="0"/>
        <v>Rétirédanslesdélais</v>
      </c>
      <c r="E7" s="201">
        <v>45342</v>
      </c>
      <c r="F7" s="206">
        <v>0</v>
      </c>
      <c r="G7" s="760"/>
      <c r="H7" s="760"/>
      <c r="I7" s="760"/>
      <c r="J7" s="760"/>
    </row>
    <row r="8" spans="1:10" s="23" customFormat="1" ht="18.75" x14ac:dyDescent="0.3">
      <c r="A8" s="278">
        <v>4</v>
      </c>
      <c r="B8" s="298">
        <v>4121083950</v>
      </c>
      <c r="C8" s="262" t="s">
        <v>1325</v>
      </c>
      <c r="D8" s="264" t="str">
        <f t="shared" si="0"/>
        <v>Rétirédanslesdélais</v>
      </c>
      <c r="E8" s="201">
        <v>45342</v>
      </c>
      <c r="F8" s="206">
        <v>0</v>
      </c>
      <c r="G8" s="760"/>
      <c r="H8" s="760"/>
      <c r="I8" s="760"/>
      <c r="J8" s="760"/>
    </row>
    <row r="9" spans="1:10" s="23" customFormat="1" ht="18.75" x14ac:dyDescent="0.3">
      <c r="A9" s="278">
        <v>5</v>
      </c>
      <c r="B9" s="298">
        <v>4121083920</v>
      </c>
      <c r="C9" s="262" t="s">
        <v>1325</v>
      </c>
      <c r="D9" s="264" t="str">
        <f t="shared" si="0"/>
        <v>Rétirédanslesdélais</v>
      </c>
      <c r="E9" s="201">
        <v>45342</v>
      </c>
      <c r="F9" s="206">
        <v>0</v>
      </c>
      <c r="G9" s="774"/>
      <c r="H9" s="760"/>
      <c r="I9" s="760"/>
      <c r="J9" s="760"/>
    </row>
    <row r="10" spans="1:10" ht="18.75" x14ac:dyDescent="0.3">
      <c r="A10" s="278">
        <v>6</v>
      </c>
      <c r="B10" s="298">
        <v>4121083910</v>
      </c>
      <c r="C10" s="262" t="s">
        <v>1325</v>
      </c>
      <c r="D10" s="264" t="str">
        <f t="shared" si="0"/>
        <v>Rétirédanslesdélais</v>
      </c>
      <c r="E10" s="201">
        <v>45342</v>
      </c>
      <c r="F10" s="206">
        <v>0</v>
      </c>
      <c r="G10" s="760"/>
      <c r="H10" s="760"/>
      <c r="I10" s="760"/>
      <c r="J10" s="760"/>
    </row>
    <row r="11" spans="1:10" ht="18.75" x14ac:dyDescent="0.3">
      <c r="A11" s="278">
        <v>7</v>
      </c>
      <c r="B11" s="299">
        <v>4114754561</v>
      </c>
      <c r="C11" s="262" t="s">
        <v>1075</v>
      </c>
      <c r="D11" s="264" t="str">
        <f t="shared" si="0"/>
        <v>Rétirédanslesdélais</v>
      </c>
      <c r="E11" s="201">
        <v>45343</v>
      </c>
      <c r="F11" s="206">
        <v>0</v>
      </c>
      <c r="G11" s="760"/>
      <c r="H11" s="760"/>
      <c r="I11" s="760"/>
      <c r="J11" s="760"/>
    </row>
    <row r="12" spans="1:10" ht="18.75" x14ac:dyDescent="0.3">
      <c r="A12" s="278">
        <v>8</v>
      </c>
      <c r="B12" s="299">
        <v>4114747402</v>
      </c>
      <c r="C12" s="262" t="s">
        <v>1589</v>
      </c>
      <c r="D12" s="264" t="str">
        <f t="shared" si="0"/>
        <v>Rétirédanslesdélais</v>
      </c>
      <c r="E12" s="201">
        <v>45345</v>
      </c>
      <c r="F12" s="206">
        <v>0</v>
      </c>
      <c r="G12" s="760"/>
      <c r="H12" s="760"/>
      <c r="I12" s="760"/>
      <c r="J12" s="760"/>
    </row>
    <row r="13" spans="1:10" ht="18.75" x14ac:dyDescent="0.3">
      <c r="A13" s="278">
        <v>9</v>
      </c>
      <c r="B13" s="297">
        <v>4114747340</v>
      </c>
      <c r="C13" s="262" t="s">
        <v>1590</v>
      </c>
      <c r="D13" s="264" t="str">
        <f t="shared" si="0"/>
        <v>Rétirédanslesdélais</v>
      </c>
      <c r="E13" s="201">
        <v>45344</v>
      </c>
      <c r="F13" s="206">
        <v>0</v>
      </c>
      <c r="G13" s="760"/>
      <c r="H13" s="760"/>
      <c r="I13" s="760"/>
      <c r="J13" s="760"/>
    </row>
    <row r="14" spans="1:10" ht="18.75" x14ac:dyDescent="0.3">
      <c r="A14" s="278">
        <v>10</v>
      </c>
      <c r="B14" s="297">
        <v>4114739090</v>
      </c>
      <c r="C14" s="262" t="s">
        <v>1589</v>
      </c>
      <c r="D14" s="264" t="str">
        <f t="shared" si="0"/>
        <v>Rétirédanslesdélais</v>
      </c>
      <c r="E14" s="201">
        <v>45344</v>
      </c>
      <c r="F14" s="206">
        <v>0</v>
      </c>
      <c r="G14" s="760"/>
      <c r="H14" s="760"/>
      <c r="I14" s="760"/>
      <c r="J14" s="760"/>
    </row>
    <row r="15" spans="1:10" ht="18.75" x14ac:dyDescent="0.3">
      <c r="A15" s="278">
        <v>11</v>
      </c>
      <c r="B15" s="297">
        <v>4114736680</v>
      </c>
      <c r="C15" s="262" t="s">
        <v>1589</v>
      </c>
      <c r="D15" s="264" t="str">
        <f t="shared" si="0"/>
        <v>Rétirédanslesdélais</v>
      </c>
      <c r="E15" s="201">
        <v>45345</v>
      </c>
      <c r="F15" s="206">
        <v>0</v>
      </c>
      <c r="G15" s="760"/>
      <c r="H15" s="760"/>
      <c r="I15" s="760"/>
      <c r="J15" s="760"/>
    </row>
    <row r="16" spans="1:10" ht="18.75" x14ac:dyDescent="0.3">
      <c r="A16" s="278">
        <v>12</v>
      </c>
      <c r="B16" s="298">
        <v>4114733510</v>
      </c>
      <c r="C16" s="262" t="s">
        <v>1591</v>
      </c>
      <c r="D16" s="264" t="str">
        <f t="shared" si="0"/>
        <v>Rétirédanslesdélais</v>
      </c>
      <c r="E16" s="201">
        <v>44979</v>
      </c>
      <c r="F16" s="206">
        <v>0</v>
      </c>
      <c r="G16" s="760"/>
      <c r="H16" s="760"/>
      <c r="I16" s="760"/>
      <c r="J16" s="760"/>
    </row>
    <row r="17" spans="1:10" ht="18.75" x14ac:dyDescent="0.3">
      <c r="A17" s="278">
        <v>13</v>
      </c>
      <c r="B17" s="299">
        <v>4114732990</v>
      </c>
      <c r="C17" s="262" t="s">
        <v>1592</v>
      </c>
      <c r="D17" s="264" t="str">
        <f t="shared" si="0"/>
        <v>Rétirédanslesdélais</v>
      </c>
      <c r="E17" s="201">
        <v>45349</v>
      </c>
      <c r="F17" s="287">
        <v>429000</v>
      </c>
      <c r="G17" s="760" t="s">
        <v>1593</v>
      </c>
      <c r="H17" s="760"/>
      <c r="I17" s="760"/>
      <c r="J17" s="760"/>
    </row>
    <row r="18" spans="1:10" ht="18.75" x14ac:dyDescent="0.3">
      <c r="A18" s="278">
        <v>13</v>
      </c>
      <c r="B18" s="299">
        <v>2145659240</v>
      </c>
      <c r="C18" s="262" t="s">
        <v>1344</v>
      </c>
      <c r="D18" s="264" t="str">
        <f t="shared" si="0"/>
        <v>Rétirédanslesdélais</v>
      </c>
      <c r="E18" s="201">
        <v>45342</v>
      </c>
      <c r="F18" s="206">
        <v>0</v>
      </c>
      <c r="G18" s="760"/>
      <c r="H18" s="760"/>
      <c r="I18" s="760"/>
      <c r="J18" s="760"/>
    </row>
  </sheetData>
  <mergeCells count="18"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6:J6"/>
    <mergeCell ref="A1:B1"/>
    <mergeCell ref="D1:E1"/>
    <mergeCell ref="A2:B2"/>
    <mergeCell ref="G4:J4"/>
    <mergeCell ref="G5:J5"/>
  </mergeCells>
  <conditionalFormatting sqref="B1:B4 B19:B1048576">
    <cfRule type="duplicateValues" dxfId="369" priority="1"/>
    <cfRule type="duplicateValues" dxfId="368" priority="6"/>
  </conditionalFormatting>
  <conditionalFormatting sqref="B1:B4">
    <cfRule type="duplicateValues" dxfId="367" priority="7"/>
    <cfRule type="duplicateValues" dxfId="366" priority="8"/>
    <cfRule type="duplicateValues" dxfId="365" priority="9"/>
    <cfRule type="duplicateValues" dxfId="364" priority="10"/>
  </conditionalFormatting>
  <conditionalFormatting sqref="D5:D18">
    <cfRule type="containsText" dxfId="363" priority="4" operator="containsText" text="En Attente d'un Retrait Tardif">
      <formula>NOT(ISERROR(SEARCH("En Attente d'un Retrait Tardif",D5)))</formula>
    </cfRule>
    <cfRule type="containsText" dxfId="362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0CD7-6A4E-4D94-BE2E-7E08AE682E69}">
  <sheetPr codeName="Feuil84">
    <tabColor theme="9" tint="0.39997558519241921"/>
  </sheetPr>
  <dimension ref="A1:J17"/>
  <sheetViews>
    <sheetView workbookViewId="0">
      <selection activeCell="E24" sqref="E24"/>
    </sheetView>
  </sheetViews>
  <sheetFormatPr baseColWidth="10" defaultColWidth="11.42578125" defaultRowHeight="15" x14ac:dyDescent="0.25"/>
  <cols>
    <col min="1" max="1" width="6.42578125" customWidth="1"/>
    <col min="2" max="2" width="18.85546875" customWidth="1"/>
    <col min="3" max="3" width="39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2" t="s">
        <v>1594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45323</v>
      </c>
      <c r="E2" s="4">
        <f ca="1">TODAY()</f>
        <v>46096</v>
      </c>
      <c r="F2" s="5">
        <f ca="1">E2-D2</f>
        <v>773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 t="s">
        <v>59</v>
      </c>
      <c r="C4" s="195" t="s">
        <v>60</v>
      </c>
      <c r="D4" s="196" t="s">
        <v>7</v>
      </c>
      <c r="E4" s="197" t="s">
        <v>1514</v>
      </c>
      <c r="F4" s="198" t="s">
        <v>8</v>
      </c>
      <c r="G4" s="780" t="s">
        <v>11</v>
      </c>
      <c r="H4" s="780"/>
      <c r="I4" s="780"/>
      <c r="J4" s="781"/>
    </row>
    <row r="5" spans="1:10" ht="18.75" x14ac:dyDescent="0.3">
      <c r="A5" s="254">
        <v>1</v>
      </c>
      <c r="B5" s="189">
        <v>4114691120</v>
      </c>
      <c r="C5" s="262" t="s">
        <v>1595</v>
      </c>
      <c r="D5" s="264" t="str">
        <f t="shared" ref="D5:D17" si="0">IF(E5="",IF($F$2&lt;=15,"EnattentedeRetrait","EnAttented'unRetraitTardif"),IF(E5-$D$2&lt;=15,"Rétirédanslesdélais",IF(E5-$D$2&gt;15,"Rétirétardivement-30000FCFAamende")))</f>
        <v>Rétirédanslesdélais</v>
      </c>
      <c r="E5" s="201">
        <v>45331</v>
      </c>
      <c r="F5" s="206">
        <v>0</v>
      </c>
      <c r="G5" s="760" t="s">
        <v>1596</v>
      </c>
      <c r="H5" s="760"/>
      <c r="I5" s="760"/>
      <c r="J5" s="779"/>
    </row>
    <row r="6" spans="1:10" ht="18.75" x14ac:dyDescent="0.3">
      <c r="A6" s="254">
        <v>2</v>
      </c>
      <c r="B6" s="189">
        <v>4114721840</v>
      </c>
      <c r="C6" s="262" t="s">
        <v>72</v>
      </c>
      <c r="D6" s="264" t="str">
        <f t="shared" si="0"/>
        <v>Rétirédanslesdélais</v>
      </c>
      <c r="E6" s="201">
        <v>45328</v>
      </c>
      <c r="F6" s="206">
        <v>0</v>
      </c>
      <c r="G6" s="774"/>
      <c r="H6" s="760"/>
      <c r="I6" s="760"/>
      <c r="J6" s="779"/>
    </row>
    <row r="7" spans="1:10" ht="18.75" x14ac:dyDescent="0.3">
      <c r="A7" s="254">
        <v>3</v>
      </c>
      <c r="B7" s="189">
        <v>4114726430</v>
      </c>
      <c r="C7" s="262" t="s">
        <v>63</v>
      </c>
      <c r="D7" s="264" t="str">
        <f t="shared" si="0"/>
        <v>Rétirédanslesdélais</v>
      </c>
      <c r="E7" s="201">
        <v>45327</v>
      </c>
      <c r="F7" s="206">
        <v>0</v>
      </c>
      <c r="G7" s="760"/>
      <c r="H7" s="760"/>
      <c r="I7" s="760"/>
      <c r="J7" s="779"/>
    </row>
    <row r="8" spans="1:10" s="23" customFormat="1" ht="18.75" x14ac:dyDescent="0.3">
      <c r="A8" s="32">
        <v>4</v>
      </c>
      <c r="B8" s="305">
        <v>4114726960</v>
      </c>
      <c r="C8" s="262" t="s">
        <v>1597</v>
      </c>
      <c r="D8" s="264" t="str">
        <f t="shared" si="0"/>
        <v>Rétirédanslesdélais</v>
      </c>
      <c r="E8" s="201">
        <v>45327</v>
      </c>
      <c r="F8" s="206">
        <v>0</v>
      </c>
      <c r="G8" s="760"/>
      <c r="H8" s="760"/>
      <c r="I8" s="760"/>
      <c r="J8" s="779"/>
    </row>
    <row r="9" spans="1:10" s="23" customFormat="1" ht="18.75" x14ac:dyDescent="0.3">
      <c r="A9" s="32">
        <v>5</v>
      </c>
      <c r="B9" s="189">
        <v>4114739460</v>
      </c>
      <c r="C9" s="262" t="s">
        <v>43</v>
      </c>
      <c r="D9" s="264" t="str">
        <f t="shared" si="0"/>
        <v>Rétirédanslesdélais</v>
      </c>
      <c r="E9" s="201">
        <v>45330</v>
      </c>
      <c r="F9" s="206">
        <v>0</v>
      </c>
      <c r="G9" s="774"/>
      <c r="H9" s="760"/>
      <c r="I9" s="760"/>
      <c r="J9" s="779"/>
    </row>
    <row r="10" spans="1:10" ht="18.75" x14ac:dyDescent="0.3">
      <c r="A10" s="254">
        <v>6</v>
      </c>
      <c r="B10" s="189">
        <v>4114740110</v>
      </c>
      <c r="C10" s="262" t="s">
        <v>63</v>
      </c>
      <c r="D10" s="264" t="str">
        <f t="shared" si="0"/>
        <v>Rétirédanslesdélais</v>
      </c>
      <c r="E10" s="201">
        <v>45327</v>
      </c>
      <c r="F10" s="206">
        <v>0</v>
      </c>
      <c r="G10" s="760"/>
      <c r="H10" s="760"/>
      <c r="I10" s="760"/>
      <c r="J10" s="779"/>
    </row>
    <row r="11" spans="1:10" ht="18.75" x14ac:dyDescent="0.3">
      <c r="A11" s="254">
        <v>7</v>
      </c>
      <c r="B11" s="189">
        <v>4114747409</v>
      </c>
      <c r="C11" s="262" t="s">
        <v>73</v>
      </c>
      <c r="D11" s="264" t="str">
        <f t="shared" si="0"/>
        <v>Rétirédanslesdélais</v>
      </c>
      <c r="E11" s="201">
        <v>45331</v>
      </c>
      <c r="F11" s="206">
        <v>0</v>
      </c>
      <c r="G11" s="760"/>
      <c r="H11" s="760"/>
      <c r="I11" s="760"/>
      <c r="J11" s="779"/>
    </row>
    <row r="12" spans="1:10" ht="18.75" x14ac:dyDescent="0.3">
      <c r="A12" s="254">
        <v>8</v>
      </c>
      <c r="B12" s="189">
        <v>4114747400</v>
      </c>
      <c r="C12" s="262" t="s">
        <v>73</v>
      </c>
      <c r="D12" s="264" t="str">
        <f t="shared" si="0"/>
        <v>Rétirédanslesdélais</v>
      </c>
      <c r="E12" s="201">
        <v>45331</v>
      </c>
      <c r="F12" s="206">
        <v>0</v>
      </c>
      <c r="G12" s="760"/>
      <c r="H12" s="760"/>
      <c r="I12" s="760"/>
      <c r="J12" s="779"/>
    </row>
    <row r="13" spans="1:10" ht="18.75" x14ac:dyDescent="0.3">
      <c r="A13" s="254">
        <v>9</v>
      </c>
      <c r="B13" s="189">
        <v>4114751480</v>
      </c>
      <c r="C13" s="262" t="s">
        <v>74</v>
      </c>
      <c r="D13" s="264" t="str">
        <f t="shared" si="0"/>
        <v>Rétirédanslesdélais</v>
      </c>
      <c r="E13" s="201">
        <v>45328</v>
      </c>
      <c r="F13" s="206">
        <v>0</v>
      </c>
      <c r="G13" s="760"/>
      <c r="H13" s="760"/>
      <c r="I13" s="760"/>
      <c r="J13" s="779"/>
    </row>
    <row r="14" spans="1:10" ht="18.75" x14ac:dyDescent="0.3">
      <c r="A14" s="254">
        <v>10</v>
      </c>
      <c r="B14" s="189">
        <v>4114754560</v>
      </c>
      <c r="C14" s="262" t="s">
        <v>1598</v>
      </c>
      <c r="D14" s="264" t="str">
        <f t="shared" si="0"/>
        <v>Rétirédanslesdélais</v>
      </c>
      <c r="E14" s="201">
        <v>45329</v>
      </c>
      <c r="F14" s="206">
        <v>0</v>
      </c>
      <c r="G14" s="760"/>
      <c r="H14" s="760"/>
      <c r="I14" s="760"/>
      <c r="J14" s="779"/>
    </row>
    <row r="15" spans="1:10" ht="18.75" x14ac:dyDescent="0.3">
      <c r="A15" s="254">
        <v>11</v>
      </c>
      <c r="B15" s="189">
        <v>4114754570</v>
      </c>
      <c r="C15" s="262" t="s">
        <v>1598</v>
      </c>
      <c r="D15" s="264" t="str">
        <f t="shared" si="0"/>
        <v>Rétirédanslesdélais</v>
      </c>
      <c r="E15" s="201">
        <v>45327</v>
      </c>
      <c r="F15" s="206">
        <v>0</v>
      </c>
      <c r="G15" s="760"/>
      <c r="H15" s="760"/>
      <c r="I15" s="760"/>
      <c r="J15" s="779"/>
    </row>
    <row r="16" spans="1:10" ht="18.75" x14ac:dyDescent="0.3">
      <c r="A16" s="254">
        <v>12</v>
      </c>
      <c r="B16" s="189">
        <v>4114754810</v>
      </c>
      <c r="C16" s="262" t="s">
        <v>67</v>
      </c>
      <c r="D16" s="264" t="str">
        <f t="shared" si="0"/>
        <v>Rétirétardivement-30000FCFAamende</v>
      </c>
      <c r="E16" s="201">
        <v>45342</v>
      </c>
      <c r="F16" s="206">
        <v>0</v>
      </c>
      <c r="G16" s="760"/>
      <c r="H16" s="760"/>
      <c r="I16" s="760"/>
      <c r="J16" s="779"/>
    </row>
    <row r="17" spans="1:10" ht="19.5" thickBot="1" x14ac:dyDescent="0.35">
      <c r="A17" s="257">
        <v>13</v>
      </c>
      <c r="B17" s="248">
        <v>4121083480</v>
      </c>
      <c r="C17" s="263" t="s">
        <v>43</v>
      </c>
      <c r="D17" s="265" t="str">
        <f t="shared" si="0"/>
        <v>Rétirédanslesdélais</v>
      </c>
      <c r="E17" s="277">
        <v>45329</v>
      </c>
      <c r="F17" s="281">
        <v>0</v>
      </c>
      <c r="G17" s="782"/>
      <c r="H17" s="782"/>
      <c r="I17" s="782"/>
      <c r="J17" s="783"/>
    </row>
  </sheetData>
  <mergeCells count="17">
    <mergeCell ref="G13:J13"/>
    <mergeCell ref="G14:J14"/>
    <mergeCell ref="G15:J15"/>
    <mergeCell ref="G16:J16"/>
    <mergeCell ref="G17:J17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361" priority="7"/>
    <cfRule type="duplicateValues" dxfId="360" priority="8"/>
    <cfRule type="duplicateValues" dxfId="359" priority="9"/>
  </conditionalFormatting>
  <conditionalFormatting sqref="B1:B17">
    <cfRule type="duplicateValues" dxfId="358" priority="10"/>
  </conditionalFormatting>
  <conditionalFormatting sqref="B1:B1048576">
    <cfRule type="duplicateValues" dxfId="357" priority="1"/>
    <cfRule type="duplicateValues" dxfId="356" priority="6"/>
  </conditionalFormatting>
  <conditionalFormatting sqref="B5">
    <cfRule type="duplicateValues" dxfId="355" priority="2"/>
    <cfRule type="duplicateValues" dxfId="354" priority="3"/>
  </conditionalFormatting>
  <conditionalFormatting sqref="D5:D17">
    <cfRule type="containsText" dxfId="353" priority="4" operator="containsText" text="En Attente d'un Retrait Tardif">
      <formula>NOT(ISERROR(SEARCH("En Attente d'un Retrait Tardif",D5)))</formula>
    </cfRule>
    <cfRule type="containsText" dxfId="352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6975-A1AC-4C35-9238-D77818F83C80}">
  <sheetPr codeName="Feuil85">
    <tabColor theme="9" tint="0.39997558519241921"/>
  </sheetPr>
  <dimension ref="A1:J10"/>
  <sheetViews>
    <sheetView workbookViewId="0">
      <selection activeCell="D3" sqref="D3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33.5703125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2" t="s">
        <v>1599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45321</v>
      </c>
      <c r="E2" s="4">
        <f ca="1">TODAY()</f>
        <v>46096</v>
      </c>
      <c r="F2" s="5">
        <f ca="1">E2-D2</f>
        <v>775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1514</v>
      </c>
      <c r="F4" s="198" t="s">
        <v>8</v>
      </c>
      <c r="G4" s="780" t="s">
        <v>11</v>
      </c>
      <c r="H4" s="780"/>
      <c r="I4" s="780"/>
      <c r="J4" s="781"/>
    </row>
    <row r="5" spans="1:10" ht="18.75" x14ac:dyDescent="0.3">
      <c r="A5" s="254">
        <v>1</v>
      </c>
      <c r="B5" s="189">
        <v>4114730860</v>
      </c>
      <c r="C5" s="262" t="s">
        <v>75</v>
      </c>
      <c r="D5" s="264" t="str">
        <f t="shared" ref="D5:D10" si="0">IF(E5="",IF($F$2&lt;=15,"EnattentedeRetrait","EnAttented'unRetraitTardif"),IF(E5-$D$2&lt;=15,"Rétirédanslesdélais",IF(E5-$D$2&gt;15,"Rétirétardivement-30000FCFAamende")))</f>
        <v>Rétirédanslesdélais</v>
      </c>
      <c r="E5" s="201">
        <v>45324</v>
      </c>
      <c r="F5" s="206">
        <v>0</v>
      </c>
      <c r="G5" s="760"/>
      <c r="H5" s="760"/>
      <c r="I5" s="760"/>
      <c r="J5" s="779"/>
    </row>
    <row r="6" spans="1:10" ht="18.75" x14ac:dyDescent="0.3">
      <c r="A6" s="254">
        <v>2</v>
      </c>
      <c r="B6" s="189">
        <v>4114731040</v>
      </c>
      <c r="C6" s="262" t="s">
        <v>76</v>
      </c>
      <c r="D6" s="264" t="str">
        <f t="shared" si="0"/>
        <v>Rétirédanslesdélais</v>
      </c>
      <c r="E6" s="201">
        <v>45323</v>
      </c>
      <c r="F6" s="206">
        <v>0</v>
      </c>
      <c r="G6" s="774"/>
      <c r="H6" s="760"/>
      <c r="I6" s="760"/>
      <c r="J6" s="779"/>
    </row>
    <row r="7" spans="1:10" ht="18.75" x14ac:dyDescent="0.3">
      <c r="A7" s="254">
        <v>3</v>
      </c>
      <c r="B7" s="189">
        <v>4114731000</v>
      </c>
      <c r="C7" s="262" t="s">
        <v>76</v>
      </c>
      <c r="D7" s="264" t="str">
        <f t="shared" si="0"/>
        <v>Rétirédanslesdélais</v>
      </c>
      <c r="E7" s="201">
        <v>45323</v>
      </c>
      <c r="F7" s="206">
        <v>0</v>
      </c>
      <c r="G7" s="760"/>
      <c r="H7" s="760"/>
      <c r="I7" s="760"/>
      <c r="J7" s="779"/>
    </row>
    <row r="8" spans="1:10" s="23" customFormat="1" ht="18.75" x14ac:dyDescent="0.3">
      <c r="A8" s="32">
        <v>4</v>
      </c>
      <c r="B8" s="189">
        <v>4121090250</v>
      </c>
      <c r="C8" s="262" t="s">
        <v>70</v>
      </c>
      <c r="D8" s="264" t="str">
        <f t="shared" si="0"/>
        <v>Rétirédanslesdélais</v>
      </c>
      <c r="E8" s="201">
        <v>45324</v>
      </c>
      <c r="F8" s="206">
        <v>0</v>
      </c>
      <c r="G8" s="760"/>
      <c r="H8" s="760"/>
      <c r="I8" s="760"/>
      <c r="J8" s="779"/>
    </row>
    <row r="9" spans="1:10" s="23" customFormat="1" ht="18.75" x14ac:dyDescent="0.3">
      <c r="A9" s="32">
        <v>5</v>
      </c>
      <c r="B9" s="189">
        <v>4121090280</v>
      </c>
      <c r="C9" s="262" t="s">
        <v>70</v>
      </c>
      <c r="D9" s="264" t="str">
        <f t="shared" si="0"/>
        <v>Rétirédanslesdélais</v>
      </c>
      <c r="E9" s="201">
        <v>45324</v>
      </c>
      <c r="F9" s="206">
        <v>0</v>
      </c>
      <c r="G9" s="774"/>
      <c r="H9" s="760"/>
      <c r="I9" s="760"/>
      <c r="J9" s="779"/>
    </row>
    <row r="10" spans="1:10" ht="19.5" thickBot="1" x14ac:dyDescent="0.35">
      <c r="A10" s="257">
        <v>6</v>
      </c>
      <c r="B10" s="248">
        <v>4121083860</v>
      </c>
      <c r="C10" s="263" t="s">
        <v>70</v>
      </c>
      <c r="D10" s="265" t="str">
        <f t="shared" si="0"/>
        <v>Rétirédanslesdélais</v>
      </c>
      <c r="E10" s="277">
        <v>45324</v>
      </c>
      <c r="F10" s="281">
        <v>0</v>
      </c>
      <c r="G10" s="782"/>
      <c r="H10" s="782"/>
      <c r="I10" s="782"/>
      <c r="J10" s="783"/>
    </row>
  </sheetData>
  <mergeCells count="10">
    <mergeCell ref="G7:J7"/>
    <mergeCell ref="G8:J8"/>
    <mergeCell ref="G9:J9"/>
    <mergeCell ref="G10:J10"/>
    <mergeCell ref="A1:B1"/>
    <mergeCell ref="D1:E1"/>
    <mergeCell ref="A2:B2"/>
    <mergeCell ref="G4:J4"/>
    <mergeCell ref="G5:J5"/>
    <mergeCell ref="G6:J6"/>
  </mergeCells>
  <conditionalFormatting sqref="B1:B4">
    <cfRule type="duplicateValues" dxfId="351" priority="7"/>
    <cfRule type="duplicateValues" dxfId="350" priority="8"/>
    <cfRule type="duplicateValues" dxfId="349" priority="9"/>
  </conditionalFormatting>
  <conditionalFormatting sqref="B1:B10">
    <cfRule type="duplicateValues" dxfId="348" priority="279"/>
  </conditionalFormatting>
  <conditionalFormatting sqref="B1:B1048576">
    <cfRule type="duplicateValues" dxfId="347" priority="1"/>
    <cfRule type="duplicateValues" dxfId="346" priority="6"/>
  </conditionalFormatting>
  <conditionalFormatting sqref="B5">
    <cfRule type="duplicateValues" dxfId="345" priority="2"/>
    <cfRule type="duplicateValues" dxfId="344" priority="3"/>
  </conditionalFormatting>
  <conditionalFormatting sqref="D5:D10">
    <cfRule type="containsText" dxfId="343" priority="4" operator="containsText" text="En Attente d'un Retrait Tardif">
      <formula>NOT(ISERROR(SEARCH("En Attente d'un Retrait Tardif",D5)))</formula>
    </cfRule>
    <cfRule type="containsText" dxfId="342" priority="5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D9DE-4C4C-42F7-95B1-0575C8988943}">
  <sheetPr codeName="Feuil86">
    <tabColor theme="9" tint="0.39997558519241921"/>
  </sheetPr>
  <dimension ref="A1:J12"/>
  <sheetViews>
    <sheetView workbookViewId="0">
      <selection activeCell="E24" sqref="E24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33.5703125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2" t="s">
        <v>1600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45315</v>
      </c>
      <c r="E2" s="4">
        <f ca="1">TODAY()</f>
        <v>46096</v>
      </c>
      <c r="F2" s="5">
        <f ca="1">E2-D2</f>
        <v>781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1514</v>
      </c>
      <c r="F4" s="198" t="s">
        <v>8</v>
      </c>
      <c r="G4" s="780" t="s">
        <v>11</v>
      </c>
      <c r="H4" s="780"/>
      <c r="I4" s="780"/>
      <c r="J4" s="781"/>
    </row>
    <row r="5" spans="1:10" ht="18.75" x14ac:dyDescent="0.3">
      <c r="A5" s="278">
        <v>1</v>
      </c>
      <c r="B5" s="189">
        <v>2144495191</v>
      </c>
      <c r="C5" s="262" t="s">
        <v>77</v>
      </c>
      <c r="D5" s="264" t="str">
        <f t="shared" ref="D5:D12" si="0">IF(E5="",IF($F$2&lt;=15,"EnattentedeRetrait","EnAttented'unRetraitTardif"),IF(E5-$D$2&lt;=15,"Rétirédanslesdélais",IF(E5-$D$2&gt;15,"Rétirétardivement-30000FCFAamende")))</f>
        <v>Rétirédanslesdélais</v>
      </c>
      <c r="E5" s="201">
        <v>45320</v>
      </c>
      <c r="F5" s="206">
        <v>0</v>
      </c>
      <c r="G5" s="760"/>
      <c r="H5" s="760"/>
      <c r="I5" s="760"/>
      <c r="J5" s="760"/>
    </row>
    <row r="6" spans="1:10" ht="18.75" x14ac:dyDescent="0.3">
      <c r="A6" s="278">
        <v>2</v>
      </c>
      <c r="B6" s="189">
        <v>2145320360</v>
      </c>
      <c r="C6" s="262" t="s">
        <v>53</v>
      </c>
      <c r="D6" s="264" t="str">
        <f t="shared" si="0"/>
        <v>Rétirédanslesdélais</v>
      </c>
      <c r="E6" s="201">
        <v>45317</v>
      </c>
      <c r="F6" s="206">
        <v>0</v>
      </c>
      <c r="G6" s="774"/>
      <c r="H6" s="760"/>
      <c r="I6" s="760"/>
      <c r="J6" s="760"/>
    </row>
    <row r="7" spans="1:10" ht="18.75" x14ac:dyDescent="0.3">
      <c r="A7" s="278">
        <v>3</v>
      </c>
      <c r="B7" s="189">
        <v>4114627980</v>
      </c>
      <c r="C7" s="262" t="s">
        <v>78</v>
      </c>
      <c r="D7" s="264" t="str">
        <f t="shared" si="0"/>
        <v>Rétirédanslesdélais</v>
      </c>
      <c r="E7" s="201">
        <v>45320</v>
      </c>
      <c r="F7" s="206">
        <v>0</v>
      </c>
      <c r="G7" s="760"/>
      <c r="H7" s="760"/>
      <c r="I7" s="760"/>
      <c r="J7" s="760"/>
    </row>
    <row r="8" spans="1:10" s="23" customFormat="1" ht="18.75" x14ac:dyDescent="0.3">
      <c r="A8" s="279">
        <v>4</v>
      </c>
      <c r="B8" s="189">
        <v>4114667140</v>
      </c>
      <c r="C8" s="262" t="s">
        <v>1601</v>
      </c>
      <c r="D8" s="264" t="str">
        <f t="shared" si="0"/>
        <v>Rétirédanslesdélais</v>
      </c>
      <c r="E8" s="201">
        <v>45317</v>
      </c>
      <c r="F8" s="206">
        <v>0</v>
      </c>
      <c r="G8" s="760"/>
      <c r="H8" s="760"/>
      <c r="I8" s="760"/>
      <c r="J8" s="760"/>
    </row>
    <row r="9" spans="1:10" s="23" customFormat="1" ht="18.75" x14ac:dyDescent="0.3">
      <c r="A9" s="279">
        <v>5</v>
      </c>
      <c r="B9" s="189">
        <v>4114691180</v>
      </c>
      <c r="C9" s="262" t="s">
        <v>78</v>
      </c>
      <c r="D9" s="264" t="str">
        <f t="shared" si="0"/>
        <v>Rétirédanslesdélais</v>
      </c>
      <c r="E9" s="201">
        <v>45320</v>
      </c>
      <c r="F9" s="206">
        <v>0</v>
      </c>
      <c r="G9" s="774"/>
      <c r="H9" s="760"/>
      <c r="I9" s="760"/>
      <c r="J9" s="760"/>
    </row>
    <row r="10" spans="1:10" ht="18.75" x14ac:dyDescent="0.3">
      <c r="A10" s="278">
        <v>6</v>
      </c>
      <c r="B10" s="189">
        <v>4114703220</v>
      </c>
      <c r="C10" s="262" t="s">
        <v>79</v>
      </c>
      <c r="D10" s="264" t="str">
        <f t="shared" si="0"/>
        <v>Rétirédanslesdélais</v>
      </c>
      <c r="E10" s="201">
        <v>45322</v>
      </c>
      <c r="F10" s="206">
        <v>0</v>
      </c>
      <c r="G10" s="760"/>
      <c r="H10" s="760"/>
      <c r="I10" s="760"/>
      <c r="J10" s="760"/>
    </row>
    <row r="11" spans="1:10" ht="18.75" x14ac:dyDescent="0.3">
      <c r="A11" s="278">
        <v>7</v>
      </c>
      <c r="B11" s="189">
        <v>4114712190</v>
      </c>
      <c r="C11" s="262" t="s">
        <v>80</v>
      </c>
      <c r="D11" s="264" t="str">
        <f t="shared" si="0"/>
        <v>Rétirédanslesdélais</v>
      </c>
      <c r="E11" s="201">
        <v>45317</v>
      </c>
      <c r="F11" s="206">
        <v>0</v>
      </c>
      <c r="G11" s="760"/>
      <c r="H11" s="760"/>
      <c r="I11" s="760"/>
      <c r="J11" s="760"/>
    </row>
    <row r="12" spans="1:10" ht="18.75" x14ac:dyDescent="0.3">
      <c r="A12" s="278">
        <v>8</v>
      </c>
      <c r="B12" s="189">
        <v>4114712210</v>
      </c>
      <c r="C12" s="262" t="s">
        <v>80</v>
      </c>
      <c r="D12" s="264" t="str">
        <f t="shared" si="0"/>
        <v>Rétirédanslesdélais</v>
      </c>
      <c r="E12" s="201">
        <v>45317</v>
      </c>
      <c r="F12" s="206">
        <v>0</v>
      </c>
      <c r="G12" s="760"/>
      <c r="H12" s="760"/>
      <c r="I12" s="760"/>
      <c r="J12" s="760"/>
    </row>
  </sheetData>
  <mergeCells count="12"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341" priority="24"/>
    <cfRule type="duplicateValues" dxfId="340" priority="25"/>
    <cfRule type="duplicateValues" dxfId="339" priority="26"/>
  </conditionalFormatting>
  <conditionalFormatting sqref="B1:B12">
    <cfRule type="duplicateValues" dxfId="338" priority="272"/>
  </conditionalFormatting>
  <conditionalFormatting sqref="B1:B1048576">
    <cfRule type="duplicateValues" dxfId="337" priority="1"/>
    <cfRule type="duplicateValues" dxfId="336" priority="23"/>
  </conditionalFormatting>
  <conditionalFormatting sqref="B5">
    <cfRule type="duplicateValues" dxfId="335" priority="19"/>
    <cfRule type="duplicateValues" dxfId="334" priority="20"/>
  </conditionalFormatting>
  <conditionalFormatting sqref="D5:D12">
    <cfRule type="containsText" dxfId="333" priority="21" operator="containsText" text="En Attente d'un Retrait Tardif">
      <formula>NOT(ISERROR(SEARCH("En Attente d'un Retrait Tardif",D5)))</formula>
    </cfRule>
    <cfRule type="containsText" dxfId="332" priority="2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DEA5-046D-4C50-977B-61D4315D7ACA}">
  <sheetPr codeName="Feuil87">
    <tabColor theme="9" tint="0.39997558519241921"/>
  </sheetPr>
  <dimension ref="A1:J35"/>
  <sheetViews>
    <sheetView workbookViewId="0">
      <selection activeCell="C8" sqref="C8"/>
    </sheetView>
  </sheetViews>
  <sheetFormatPr baseColWidth="10" defaultColWidth="11.42578125" defaultRowHeight="15.75" x14ac:dyDescent="0.25"/>
  <cols>
    <col min="1" max="1" width="6.42578125" customWidth="1"/>
    <col min="2" max="2" width="22.140625" customWidth="1"/>
    <col min="3" max="3" width="33.5703125" customWidth="1"/>
    <col min="4" max="4" width="37.85546875" style="284" customWidth="1"/>
    <col min="5" max="5" width="19.140625" customWidth="1"/>
    <col min="10" max="10" width="24.7109375" customWidth="1"/>
  </cols>
  <sheetData>
    <row r="1" spans="1:10" ht="16.5" thickBot="1" x14ac:dyDescent="0.3">
      <c r="A1" s="762" t="s">
        <v>1602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17">
        <v>45310</v>
      </c>
      <c r="E2" s="4">
        <f ca="1">TODAY()</f>
        <v>46096</v>
      </c>
      <c r="F2" s="5">
        <f ca="1">E2-D2</f>
        <v>786</v>
      </c>
    </row>
    <row r="3" spans="1:10" ht="16.5" thickBot="1" x14ac:dyDescent="0.3">
      <c r="D3" s="282"/>
    </row>
    <row r="4" spans="1:10" ht="18.75" x14ac:dyDescent="0.25">
      <c r="A4" s="112" t="s">
        <v>1</v>
      </c>
      <c r="B4" s="194"/>
      <c r="C4" s="195"/>
      <c r="D4" s="283" t="s">
        <v>7</v>
      </c>
      <c r="E4" s="197" t="s">
        <v>1514</v>
      </c>
      <c r="F4" s="198" t="s">
        <v>8</v>
      </c>
      <c r="G4" s="780" t="s">
        <v>11</v>
      </c>
      <c r="H4" s="780"/>
      <c r="I4" s="780"/>
      <c r="J4" s="781"/>
    </row>
    <row r="5" spans="1:10" ht="18.75" x14ac:dyDescent="0.3">
      <c r="A5" s="278">
        <v>1</v>
      </c>
      <c r="B5" s="189">
        <v>2145385400</v>
      </c>
      <c r="C5" s="262" t="s">
        <v>1541</v>
      </c>
      <c r="D5" s="275" t="str">
        <f t="shared" ref="D5:D35" si="0">IF(E5="",IF($F$2&lt;=15,"EnattentedeRetrait","EnAttented'unRetraitTardif"),IF(E5-$D$2&lt;=15,"Rétirédanslesdélais",IF(E5-$D$2&gt;15,"Rétirétardivement-30000FCFAamende")))</f>
        <v>Rétirédanslesdélais</v>
      </c>
      <c r="E5" s="201">
        <v>45317</v>
      </c>
      <c r="F5" s="206">
        <v>0</v>
      </c>
      <c r="G5" s="760"/>
      <c r="H5" s="760"/>
      <c r="I5" s="760"/>
      <c r="J5" s="760"/>
    </row>
    <row r="6" spans="1:10" ht="18.75" x14ac:dyDescent="0.3">
      <c r="A6" s="278">
        <v>2</v>
      </c>
      <c r="B6" s="189">
        <v>2145385510</v>
      </c>
      <c r="C6" s="262" t="s">
        <v>1541</v>
      </c>
      <c r="D6" s="275" t="str">
        <f t="shared" si="0"/>
        <v>Rétirédanslesdélais</v>
      </c>
      <c r="E6" s="201">
        <v>45317</v>
      </c>
      <c r="F6" s="206">
        <v>0</v>
      </c>
      <c r="G6" s="774"/>
      <c r="H6" s="760"/>
      <c r="I6" s="760"/>
      <c r="J6" s="760"/>
    </row>
    <row r="7" spans="1:10" ht="18.75" x14ac:dyDescent="0.3">
      <c r="A7" s="278">
        <v>3</v>
      </c>
      <c r="B7" s="189">
        <v>2145385520</v>
      </c>
      <c r="C7" s="262" t="s">
        <v>1541</v>
      </c>
      <c r="D7" s="275" t="str">
        <f t="shared" si="0"/>
        <v>Rétirédanslesdélais</v>
      </c>
      <c r="E7" s="201">
        <v>45317</v>
      </c>
      <c r="F7" s="206">
        <v>0</v>
      </c>
      <c r="G7" s="760"/>
      <c r="H7" s="760"/>
      <c r="I7" s="760"/>
      <c r="J7" s="760"/>
    </row>
    <row r="8" spans="1:10" s="23" customFormat="1" ht="18.75" x14ac:dyDescent="0.3">
      <c r="A8" s="279">
        <v>4</v>
      </c>
      <c r="B8" s="189">
        <v>4114645150</v>
      </c>
      <c r="C8" s="262" t="s">
        <v>1603</v>
      </c>
      <c r="D8" s="275" t="str">
        <f t="shared" si="0"/>
        <v>Rétirétardivement-30000FCFAamende</v>
      </c>
      <c r="E8" s="201">
        <v>45328</v>
      </c>
      <c r="F8" s="206">
        <v>0</v>
      </c>
      <c r="G8" s="760"/>
      <c r="H8" s="760"/>
      <c r="I8" s="760"/>
      <c r="J8" s="760"/>
    </row>
    <row r="9" spans="1:10" s="23" customFormat="1" ht="18.75" x14ac:dyDescent="0.3">
      <c r="A9" s="279">
        <v>5</v>
      </c>
      <c r="B9" s="189">
        <v>4114658531</v>
      </c>
      <c r="C9" s="262" t="s">
        <v>81</v>
      </c>
      <c r="D9" s="275" t="str">
        <f t="shared" si="0"/>
        <v>Rétirédanslesdélais</v>
      </c>
      <c r="E9" s="201">
        <v>45316</v>
      </c>
      <c r="F9" s="206">
        <v>0</v>
      </c>
      <c r="G9" s="774"/>
      <c r="H9" s="760"/>
      <c r="I9" s="760"/>
      <c r="J9" s="760"/>
    </row>
    <row r="10" spans="1:10" ht="18.75" x14ac:dyDescent="0.3">
      <c r="A10" s="278">
        <v>6</v>
      </c>
      <c r="B10" s="189">
        <v>4114663090</v>
      </c>
      <c r="C10" s="262" t="s">
        <v>75</v>
      </c>
      <c r="D10" s="275" t="str">
        <f t="shared" si="0"/>
        <v>Rétirédanslesdélais</v>
      </c>
      <c r="E10" s="201">
        <v>45316</v>
      </c>
      <c r="F10" s="206">
        <v>0</v>
      </c>
      <c r="G10" s="760"/>
      <c r="H10" s="760"/>
      <c r="I10" s="760"/>
      <c r="J10" s="760"/>
    </row>
    <row r="11" spans="1:10" ht="18.75" x14ac:dyDescent="0.3">
      <c r="A11" s="278">
        <v>7</v>
      </c>
      <c r="B11" s="189">
        <v>4114663100</v>
      </c>
      <c r="C11" s="262" t="s">
        <v>75</v>
      </c>
      <c r="D11" s="275" t="str">
        <f t="shared" si="0"/>
        <v>Rétirédanslesdélais</v>
      </c>
      <c r="E11" s="201">
        <v>45315</v>
      </c>
      <c r="F11" s="206">
        <v>0</v>
      </c>
      <c r="G11" s="760"/>
      <c r="H11" s="760"/>
      <c r="I11" s="760"/>
      <c r="J11" s="760"/>
    </row>
    <row r="12" spans="1:10" ht="18.75" x14ac:dyDescent="0.3">
      <c r="A12" s="278">
        <v>8</v>
      </c>
      <c r="B12" s="189">
        <v>4114665660</v>
      </c>
      <c r="C12" s="262" t="s">
        <v>1604</v>
      </c>
      <c r="D12" s="275" t="str">
        <f t="shared" si="0"/>
        <v>Rétirédanslesdélais</v>
      </c>
      <c r="E12" s="201">
        <v>45317</v>
      </c>
      <c r="F12" s="206">
        <v>0</v>
      </c>
      <c r="G12" s="760"/>
      <c r="H12" s="760"/>
      <c r="I12" s="760"/>
      <c r="J12" s="760"/>
    </row>
    <row r="13" spans="1:10" s="23" customFormat="1" ht="18.75" x14ac:dyDescent="0.3">
      <c r="A13" s="279">
        <v>9</v>
      </c>
      <c r="B13" s="189">
        <v>4114671700</v>
      </c>
      <c r="C13" s="262" t="s">
        <v>1605</v>
      </c>
      <c r="D13" s="275" t="str">
        <f t="shared" si="0"/>
        <v>Rétirédanslesdélais</v>
      </c>
      <c r="E13" s="201">
        <v>45316</v>
      </c>
      <c r="F13" s="206">
        <v>0</v>
      </c>
      <c r="G13" s="760"/>
      <c r="H13" s="760"/>
      <c r="I13" s="760"/>
      <c r="J13" s="760"/>
    </row>
    <row r="14" spans="1:10" ht="18.75" x14ac:dyDescent="0.3">
      <c r="A14" s="278">
        <v>10</v>
      </c>
      <c r="B14" s="189">
        <v>4114675020</v>
      </c>
      <c r="C14" s="262" t="s">
        <v>75</v>
      </c>
      <c r="D14" s="275" t="str">
        <f t="shared" si="0"/>
        <v>Rétirédanslesdélais</v>
      </c>
      <c r="E14" s="201">
        <v>45315</v>
      </c>
      <c r="F14" s="206">
        <v>0</v>
      </c>
      <c r="G14" s="760"/>
      <c r="H14" s="760"/>
      <c r="I14" s="760"/>
      <c r="J14" s="760"/>
    </row>
    <row r="15" spans="1:10" ht="18.75" x14ac:dyDescent="0.3">
      <c r="A15" s="279">
        <v>11</v>
      </c>
      <c r="B15" s="189">
        <v>4114693940</v>
      </c>
      <c r="C15" s="262" t="s">
        <v>75</v>
      </c>
      <c r="D15" s="275" t="str">
        <f t="shared" si="0"/>
        <v>Rétirédanslesdélais</v>
      </c>
      <c r="E15" s="201">
        <v>45315</v>
      </c>
      <c r="F15" s="206">
        <v>0</v>
      </c>
      <c r="G15" s="760"/>
      <c r="H15" s="760"/>
      <c r="I15" s="760"/>
      <c r="J15" s="760"/>
    </row>
    <row r="16" spans="1:10" ht="18.75" x14ac:dyDescent="0.3">
      <c r="A16" s="278">
        <v>12</v>
      </c>
      <c r="B16" s="189">
        <v>4114696800</v>
      </c>
      <c r="C16" s="262" t="s">
        <v>1541</v>
      </c>
      <c r="D16" s="275" t="str">
        <f t="shared" si="0"/>
        <v>Rétirédanslesdélais</v>
      </c>
      <c r="E16" s="201">
        <v>45320</v>
      </c>
      <c r="F16" s="206">
        <v>0</v>
      </c>
      <c r="G16" s="760"/>
      <c r="H16" s="760"/>
      <c r="I16" s="760"/>
      <c r="J16" s="760"/>
    </row>
    <row r="17" spans="1:10" ht="18.75" x14ac:dyDescent="0.3">
      <c r="A17" s="279">
        <v>13</v>
      </c>
      <c r="B17" s="189">
        <v>4114696860</v>
      </c>
      <c r="C17" s="262" t="s">
        <v>1541</v>
      </c>
      <c r="D17" s="275" t="str">
        <f t="shared" si="0"/>
        <v>Rétirédanslesdélais</v>
      </c>
      <c r="E17" s="201">
        <v>45320</v>
      </c>
      <c r="F17" s="206">
        <v>0</v>
      </c>
      <c r="G17" s="760"/>
      <c r="H17" s="760"/>
      <c r="I17" s="760"/>
      <c r="J17" s="760"/>
    </row>
    <row r="18" spans="1:10" ht="18.75" x14ac:dyDescent="0.3">
      <c r="A18" s="278">
        <v>14</v>
      </c>
      <c r="B18" s="189">
        <v>4114696900</v>
      </c>
      <c r="C18" s="262" t="s">
        <v>1541</v>
      </c>
      <c r="D18" s="275" t="str">
        <f t="shared" si="0"/>
        <v>Rétirédanslesdélais</v>
      </c>
      <c r="E18" s="201">
        <v>45320</v>
      </c>
      <c r="F18" s="206">
        <v>0</v>
      </c>
      <c r="G18" s="760"/>
      <c r="H18" s="760"/>
      <c r="I18" s="760"/>
      <c r="J18" s="760"/>
    </row>
    <row r="19" spans="1:10" ht="18.75" x14ac:dyDescent="0.3">
      <c r="A19" s="279">
        <v>15</v>
      </c>
      <c r="B19" s="189">
        <v>4114697020</v>
      </c>
      <c r="C19" s="262" t="s">
        <v>1541</v>
      </c>
      <c r="D19" s="275" t="str">
        <f t="shared" si="0"/>
        <v>Rétirédanslesdélais</v>
      </c>
      <c r="E19" s="201">
        <v>45320</v>
      </c>
      <c r="F19" s="206">
        <v>0</v>
      </c>
      <c r="G19" s="760"/>
      <c r="H19" s="760"/>
      <c r="I19" s="760"/>
      <c r="J19" s="760"/>
    </row>
    <row r="20" spans="1:10" ht="18.75" x14ac:dyDescent="0.3">
      <c r="A20" s="278">
        <v>16</v>
      </c>
      <c r="B20" s="189">
        <v>4114697120</v>
      </c>
      <c r="C20" s="262" t="s">
        <v>1541</v>
      </c>
      <c r="D20" s="275" t="str">
        <f t="shared" si="0"/>
        <v>Rétirédanslesdélais</v>
      </c>
      <c r="E20" s="201">
        <v>45320</v>
      </c>
      <c r="F20" s="206">
        <v>0</v>
      </c>
      <c r="G20" s="760"/>
      <c r="H20" s="760"/>
      <c r="I20" s="760"/>
      <c r="J20" s="760"/>
    </row>
    <row r="21" spans="1:10" ht="18.75" x14ac:dyDescent="0.3">
      <c r="A21" s="279">
        <v>17</v>
      </c>
      <c r="B21" s="189">
        <v>4114697150</v>
      </c>
      <c r="C21" s="262" t="s">
        <v>1541</v>
      </c>
      <c r="D21" s="275" t="str">
        <f t="shared" si="0"/>
        <v>Rétirédanslesdélais</v>
      </c>
      <c r="E21" s="201">
        <v>45320</v>
      </c>
      <c r="F21" s="206">
        <v>0</v>
      </c>
      <c r="G21" s="760"/>
      <c r="H21" s="760"/>
      <c r="I21" s="760"/>
      <c r="J21" s="760"/>
    </row>
    <row r="22" spans="1:10" ht="18.75" x14ac:dyDescent="0.3">
      <c r="A22" s="278">
        <v>18</v>
      </c>
      <c r="B22" s="189">
        <v>4114697250</v>
      </c>
      <c r="C22" s="262" t="s">
        <v>1541</v>
      </c>
      <c r="D22" s="275" t="str">
        <f t="shared" si="0"/>
        <v>Rétirédanslesdélais</v>
      </c>
      <c r="E22" s="201">
        <v>45320</v>
      </c>
      <c r="F22" s="206">
        <v>0</v>
      </c>
      <c r="G22" s="760"/>
      <c r="H22" s="760"/>
      <c r="I22" s="760"/>
      <c r="J22" s="760"/>
    </row>
    <row r="23" spans="1:10" ht="18.75" x14ac:dyDescent="0.3">
      <c r="A23" s="279">
        <v>19</v>
      </c>
      <c r="B23" s="189">
        <v>4114697280</v>
      </c>
      <c r="C23" s="262" t="s">
        <v>1541</v>
      </c>
      <c r="D23" s="275" t="str">
        <f t="shared" si="0"/>
        <v>Rétirédanslesdélais</v>
      </c>
      <c r="E23" s="201">
        <v>45320</v>
      </c>
      <c r="F23" s="206">
        <v>0</v>
      </c>
      <c r="G23" s="760"/>
      <c r="H23" s="760"/>
      <c r="I23" s="760"/>
      <c r="J23" s="760"/>
    </row>
    <row r="24" spans="1:10" ht="18.75" x14ac:dyDescent="0.3">
      <c r="A24" s="278">
        <v>20</v>
      </c>
      <c r="B24" s="189">
        <v>4114697340</v>
      </c>
      <c r="C24" s="262" t="s">
        <v>1541</v>
      </c>
      <c r="D24" s="275" t="str">
        <f t="shared" si="0"/>
        <v>Rétirédanslesdélais</v>
      </c>
      <c r="E24" s="201">
        <v>45320</v>
      </c>
      <c r="F24" s="206">
        <v>0</v>
      </c>
      <c r="G24" s="760"/>
      <c r="H24" s="760"/>
      <c r="I24" s="760"/>
      <c r="J24" s="760"/>
    </row>
    <row r="25" spans="1:10" ht="18.75" x14ac:dyDescent="0.3">
      <c r="A25" s="279">
        <v>21</v>
      </c>
      <c r="B25" s="189">
        <v>4114697360</v>
      </c>
      <c r="C25" s="262" t="s">
        <v>1541</v>
      </c>
      <c r="D25" s="275" t="str">
        <f t="shared" si="0"/>
        <v>Rétirédanslesdélais</v>
      </c>
      <c r="E25" s="201">
        <v>45320</v>
      </c>
      <c r="F25" s="206">
        <v>0</v>
      </c>
      <c r="G25" s="760"/>
      <c r="H25" s="760"/>
      <c r="I25" s="760"/>
      <c r="J25" s="760"/>
    </row>
    <row r="26" spans="1:10" ht="18.75" x14ac:dyDescent="0.3">
      <c r="A26" s="278">
        <v>22</v>
      </c>
      <c r="B26" s="189">
        <v>4114697380</v>
      </c>
      <c r="C26" s="262" t="s">
        <v>1541</v>
      </c>
      <c r="D26" s="275" t="str">
        <f t="shared" si="0"/>
        <v>Rétirédanslesdélais</v>
      </c>
      <c r="E26" s="201">
        <v>45320</v>
      </c>
      <c r="F26" s="206">
        <v>0</v>
      </c>
      <c r="G26" s="760"/>
      <c r="H26" s="760"/>
      <c r="I26" s="760"/>
      <c r="J26" s="760"/>
    </row>
    <row r="27" spans="1:10" ht="18.75" x14ac:dyDescent="0.3">
      <c r="A27" s="279">
        <v>23</v>
      </c>
      <c r="B27" s="189">
        <v>4114697420</v>
      </c>
      <c r="C27" s="262" t="s">
        <v>1541</v>
      </c>
      <c r="D27" s="275" t="str">
        <f t="shared" si="0"/>
        <v>Rétirédanslesdélais</v>
      </c>
      <c r="E27" s="201">
        <v>45320</v>
      </c>
      <c r="F27" s="206">
        <v>0</v>
      </c>
      <c r="G27" s="760"/>
      <c r="H27" s="760"/>
      <c r="I27" s="760"/>
      <c r="J27" s="760"/>
    </row>
    <row r="28" spans="1:10" ht="18.75" x14ac:dyDescent="0.3">
      <c r="A28" s="278">
        <v>24</v>
      </c>
      <c r="B28" s="189">
        <v>4114697460</v>
      </c>
      <c r="C28" s="262" t="s">
        <v>1541</v>
      </c>
      <c r="D28" s="275" t="str">
        <f t="shared" si="0"/>
        <v>Rétirédanslesdélais</v>
      </c>
      <c r="E28" s="201">
        <v>45320</v>
      </c>
      <c r="F28" s="206">
        <v>0</v>
      </c>
      <c r="G28" s="760"/>
      <c r="H28" s="760"/>
      <c r="I28" s="760"/>
      <c r="J28" s="760"/>
    </row>
    <row r="29" spans="1:10" ht="18.75" x14ac:dyDescent="0.3">
      <c r="A29" s="279">
        <v>25</v>
      </c>
      <c r="B29" s="189">
        <v>4114700590</v>
      </c>
      <c r="C29" s="280" t="s">
        <v>1606</v>
      </c>
      <c r="D29" s="275" t="str">
        <f t="shared" si="0"/>
        <v>Rétirédanslesdélais</v>
      </c>
      <c r="E29" s="201">
        <v>45316</v>
      </c>
      <c r="F29" s="206">
        <v>0</v>
      </c>
      <c r="G29" s="760"/>
      <c r="H29" s="760"/>
      <c r="I29" s="760"/>
      <c r="J29" s="760"/>
    </row>
    <row r="30" spans="1:10" ht="18.75" x14ac:dyDescent="0.3">
      <c r="A30" s="278">
        <v>26</v>
      </c>
      <c r="B30" s="189">
        <v>4114700720</v>
      </c>
      <c r="C30" s="262" t="s">
        <v>1607</v>
      </c>
      <c r="D30" s="275" t="str">
        <f t="shared" si="0"/>
        <v>Rétirédanslesdélais</v>
      </c>
      <c r="E30" s="201">
        <v>45315</v>
      </c>
      <c r="F30" s="206">
        <v>0</v>
      </c>
      <c r="G30" s="760"/>
      <c r="H30" s="760"/>
      <c r="I30" s="760"/>
      <c r="J30" s="760"/>
    </row>
    <row r="31" spans="1:10" ht="18.75" x14ac:dyDescent="0.3">
      <c r="A31" s="279">
        <v>27</v>
      </c>
      <c r="B31" s="189">
        <v>4114701790</v>
      </c>
      <c r="C31" s="262" t="s">
        <v>82</v>
      </c>
      <c r="D31" s="275" t="str">
        <f t="shared" si="0"/>
        <v>Rétirédanslesdélais</v>
      </c>
      <c r="E31" s="201">
        <v>45315</v>
      </c>
      <c r="F31" s="206">
        <v>0</v>
      </c>
      <c r="G31" s="760"/>
      <c r="H31" s="760"/>
      <c r="I31" s="760"/>
      <c r="J31" s="760"/>
    </row>
    <row r="32" spans="1:10" ht="18.75" x14ac:dyDescent="0.3">
      <c r="A32" s="278">
        <v>28</v>
      </c>
      <c r="B32" s="189">
        <v>4114703060</v>
      </c>
      <c r="C32" s="262" t="s">
        <v>72</v>
      </c>
      <c r="D32" s="275" t="str">
        <f t="shared" si="0"/>
        <v>Rétirédanslesdélais</v>
      </c>
      <c r="E32" s="201">
        <v>45315</v>
      </c>
      <c r="F32" s="206">
        <v>0</v>
      </c>
      <c r="G32" s="760"/>
      <c r="H32" s="760"/>
      <c r="I32" s="760"/>
      <c r="J32" s="760"/>
    </row>
    <row r="33" spans="1:10" ht="18.75" x14ac:dyDescent="0.3">
      <c r="A33" s="279">
        <v>29</v>
      </c>
      <c r="B33" s="189">
        <v>4114722030</v>
      </c>
      <c r="C33" s="262" t="s">
        <v>1541</v>
      </c>
      <c r="D33" s="275" t="str">
        <f t="shared" si="0"/>
        <v>Rétirédanslesdélais</v>
      </c>
      <c r="E33" s="201">
        <v>45320</v>
      </c>
      <c r="F33" s="206">
        <v>0</v>
      </c>
      <c r="G33" s="760"/>
      <c r="H33" s="760"/>
      <c r="I33" s="760"/>
      <c r="J33" s="760"/>
    </row>
    <row r="34" spans="1:10" ht="18.75" x14ac:dyDescent="0.3">
      <c r="A34" s="279">
        <v>30</v>
      </c>
      <c r="B34" s="189">
        <v>4114739420</v>
      </c>
      <c r="C34" s="262" t="s">
        <v>1541</v>
      </c>
      <c r="D34" s="275" t="str">
        <f t="shared" si="0"/>
        <v>Rétirédanslesdélais</v>
      </c>
      <c r="E34" s="201">
        <v>45320</v>
      </c>
      <c r="F34" s="206">
        <v>0</v>
      </c>
      <c r="G34" s="760"/>
      <c r="H34" s="760"/>
      <c r="I34" s="760"/>
      <c r="J34" s="760"/>
    </row>
    <row r="35" spans="1:10" ht="18.75" x14ac:dyDescent="0.3">
      <c r="A35" s="279">
        <v>31</v>
      </c>
      <c r="B35" s="189">
        <v>4114731220</v>
      </c>
      <c r="C35" s="262" t="s">
        <v>1608</v>
      </c>
      <c r="D35" s="275" t="str">
        <f t="shared" si="0"/>
        <v>Rétirédanslesdélais</v>
      </c>
      <c r="E35" s="201">
        <v>45314</v>
      </c>
      <c r="F35" s="206">
        <v>0</v>
      </c>
      <c r="G35" s="760"/>
      <c r="H35" s="760"/>
      <c r="I35" s="760"/>
      <c r="J35" s="760"/>
    </row>
  </sheetData>
  <mergeCells count="35">
    <mergeCell ref="G31:J31"/>
    <mergeCell ref="G32:J32"/>
    <mergeCell ref="G33:J33"/>
    <mergeCell ref="G34:J34"/>
    <mergeCell ref="G35:J35"/>
    <mergeCell ref="G30:J30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6:J6"/>
    <mergeCell ref="A1:B1"/>
    <mergeCell ref="D1:E1"/>
    <mergeCell ref="A2:B2"/>
    <mergeCell ref="G4:J4"/>
    <mergeCell ref="G5:J5"/>
  </mergeCells>
  <conditionalFormatting sqref="B1:B4">
    <cfRule type="duplicateValues" dxfId="331" priority="24"/>
    <cfRule type="duplicateValues" dxfId="330" priority="25"/>
    <cfRule type="duplicateValues" dxfId="329" priority="26"/>
  </conditionalFormatting>
  <conditionalFormatting sqref="B1:B35">
    <cfRule type="duplicateValues" dxfId="328" priority="265"/>
  </conditionalFormatting>
  <conditionalFormatting sqref="B1:B1048576">
    <cfRule type="duplicateValues" dxfId="327" priority="1"/>
    <cfRule type="duplicateValues" dxfId="326" priority="23"/>
  </conditionalFormatting>
  <conditionalFormatting sqref="B5">
    <cfRule type="duplicateValues" dxfId="325" priority="19"/>
    <cfRule type="duplicateValues" dxfId="324" priority="20"/>
  </conditionalFormatting>
  <conditionalFormatting sqref="B20:B21">
    <cfRule type="duplicateValues" dxfId="323" priority="18"/>
  </conditionalFormatting>
  <conditionalFormatting sqref="B22:B23">
    <cfRule type="duplicateValues" dxfId="322" priority="17"/>
  </conditionalFormatting>
  <conditionalFormatting sqref="B24:B25">
    <cfRule type="duplicateValues" dxfId="321" priority="15"/>
  </conditionalFormatting>
  <conditionalFormatting sqref="B24:B31">
    <cfRule type="containsText" dxfId="320" priority="8" operator="containsText" text="PROCES VERBAL">
      <formula>NOT(ISERROR(SEARCH("PROCES VERBAL",B24)))</formula>
    </cfRule>
  </conditionalFormatting>
  <conditionalFormatting sqref="B26:B27">
    <cfRule type="duplicateValues" dxfId="319" priority="12"/>
  </conditionalFormatting>
  <conditionalFormatting sqref="B28:B29">
    <cfRule type="duplicateValues" dxfId="318" priority="10"/>
  </conditionalFormatting>
  <conditionalFormatting sqref="B30:B31">
    <cfRule type="duplicateValues" dxfId="317" priority="7"/>
  </conditionalFormatting>
  <conditionalFormatting sqref="B33:B34">
    <cfRule type="duplicateValues" dxfId="316" priority="4"/>
  </conditionalFormatting>
  <conditionalFormatting sqref="B33:B35">
    <cfRule type="containsText" dxfId="315" priority="2" operator="containsText" text="PROCES VERBAL">
      <formula>NOT(ISERROR(SEARCH("PROCES VERBAL",B33)))</formula>
    </cfRule>
  </conditionalFormatting>
  <conditionalFormatting sqref="B35">
    <cfRule type="duplicateValues" dxfId="314" priority="3"/>
  </conditionalFormatting>
  <conditionalFormatting sqref="D5:D35">
    <cfRule type="containsText" dxfId="313" priority="21" operator="containsText" text="En Attente d'un Retrait Tardif">
      <formula>NOT(ISERROR(SEARCH("En Attente d'un Retrait Tardif",D5)))</formula>
    </cfRule>
    <cfRule type="containsText" dxfId="312" priority="2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84BF-5AC6-4408-97F9-D47FB85E7A58}">
  <sheetPr codeName="Feuil2">
    <tabColor theme="9" tint="0.39997558519241921"/>
  </sheetPr>
  <dimension ref="A1:J13"/>
  <sheetViews>
    <sheetView workbookViewId="0">
      <selection activeCell="C10" sqref="C10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40.5703125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2" t="s">
        <v>1609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45296</v>
      </c>
      <c r="E2" s="4">
        <f ca="1">TODAY()</f>
        <v>46096</v>
      </c>
      <c r="F2" s="5">
        <f ca="1">E2-D2</f>
        <v>800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1514</v>
      </c>
      <c r="F4" s="198" t="s">
        <v>8</v>
      </c>
      <c r="G4" s="780" t="s">
        <v>11</v>
      </c>
      <c r="H4" s="780"/>
      <c r="I4" s="780"/>
      <c r="J4" s="781"/>
    </row>
    <row r="5" spans="1:10" ht="18.75" x14ac:dyDescent="0.3">
      <c r="A5" s="254">
        <v>1</v>
      </c>
      <c r="B5" s="189">
        <v>4114642270</v>
      </c>
      <c r="C5" s="262" t="s">
        <v>1075</v>
      </c>
      <c r="D5" s="264" t="str">
        <f t="shared" ref="D5:D13" si="0">IF(E5="",IF($F$2&lt;=15,"EnattentedeRetrait","EnAttented'unRetraitTardif"),IF(E5-$D$2&lt;=15,"Rétirédanslesdélais",IF(E5-$D$2&gt;15,"Rétirétardivement-30000FCFAamende")))</f>
        <v>Rétirédanslesdélais</v>
      </c>
      <c r="E5" s="201">
        <v>45303</v>
      </c>
      <c r="F5" s="252">
        <v>0</v>
      </c>
      <c r="G5" s="785"/>
      <c r="H5" s="760"/>
      <c r="I5" s="760"/>
      <c r="J5" s="779"/>
    </row>
    <row r="6" spans="1:10" ht="18.75" x14ac:dyDescent="0.3">
      <c r="A6" s="254">
        <v>2</v>
      </c>
      <c r="B6" s="189">
        <v>4114644170</v>
      </c>
      <c r="C6" s="262" t="s">
        <v>1276</v>
      </c>
      <c r="D6" s="264" t="str">
        <f t="shared" si="0"/>
        <v>Rétirédanslesdélais</v>
      </c>
      <c r="E6" s="201">
        <v>45306</v>
      </c>
      <c r="F6" s="252">
        <v>0</v>
      </c>
      <c r="G6" s="784" t="s">
        <v>1610</v>
      </c>
      <c r="H6" s="760"/>
      <c r="I6" s="760"/>
      <c r="J6" s="779"/>
    </row>
    <row r="7" spans="1:10" ht="18.75" x14ac:dyDescent="0.3">
      <c r="A7" s="254">
        <v>3</v>
      </c>
      <c r="B7" s="189">
        <v>4114640910</v>
      </c>
      <c r="C7" s="262" t="s">
        <v>1075</v>
      </c>
      <c r="D7" s="264" t="str">
        <f t="shared" si="0"/>
        <v>Rétirédanslesdélais</v>
      </c>
      <c r="E7" s="201">
        <v>45303</v>
      </c>
      <c r="F7" s="252">
        <v>0</v>
      </c>
      <c r="G7" s="785"/>
      <c r="H7" s="760"/>
      <c r="I7" s="760"/>
      <c r="J7" s="779"/>
    </row>
    <row r="8" spans="1:10" s="23" customFormat="1" ht="18.75" x14ac:dyDescent="0.3">
      <c r="A8" s="32">
        <v>4</v>
      </c>
      <c r="B8" s="189">
        <v>4114674300</v>
      </c>
      <c r="C8" s="262" t="s">
        <v>1611</v>
      </c>
      <c r="D8" s="264" t="str">
        <f t="shared" si="0"/>
        <v>Rétirétardivement-30000FCFAamende</v>
      </c>
      <c r="E8" s="201">
        <v>45314</v>
      </c>
      <c r="F8" s="252">
        <v>0</v>
      </c>
      <c r="G8" s="785"/>
      <c r="H8" s="760"/>
      <c r="I8" s="760"/>
      <c r="J8" s="779"/>
    </row>
    <row r="9" spans="1:10" s="23" customFormat="1" ht="18.75" x14ac:dyDescent="0.3">
      <c r="A9" s="32">
        <v>5</v>
      </c>
      <c r="B9" s="189">
        <v>4114688130</v>
      </c>
      <c r="C9" s="262" t="s">
        <v>1471</v>
      </c>
      <c r="D9" s="264" t="str">
        <f t="shared" si="0"/>
        <v>Rétirédanslesdélais</v>
      </c>
      <c r="E9" s="201">
        <v>45301</v>
      </c>
      <c r="F9" s="252">
        <v>0</v>
      </c>
      <c r="G9" s="784"/>
      <c r="H9" s="760"/>
      <c r="I9" s="760"/>
      <c r="J9" s="779"/>
    </row>
    <row r="10" spans="1:10" ht="18.75" x14ac:dyDescent="0.3">
      <c r="A10" s="254">
        <v>6</v>
      </c>
      <c r="B10" s="189">
        <v>2144495190</v>
      </c>
      <c r="C10" s="262" t="s">
        <v>83</v>
      </c>
      <c r="D10" s="264" t="str">
        <f t="shared" si="0"/>
        <v>Rétirédanslesdélais</v>
      </c>
      <c r="E10" s="201">
        <v>45303</v>
      </c>
      <c r="F10" s="252">
        <v>0</v>
      </c>
      <c r="G10" s="785"/>
      <c r="H10" s="760"/>
      <c r="I10" s="760"/>
      <c r="J10" s="779"/>
    </row>
    <row r="11" spans="1:10" ht="18.75" x14ac:dyDescent="0.3">
      <c r="A11" s="254">
        <v>7</v>
      </c>
      <c r="B11" s="189">
        <v>4114680530</v>
      </c>
      <c r="C11" s="262" t="s">
        <v>1479</v>
      </c>
      <c r="D11" s="264" t="str">
        <f t="shared" si="0"/>
        <v>Rétirédanslesdélais</v>
      </c>
      <c r="E11" s="201">
        <v>45310</v>
      </c>
      <c r="F11" s="252">
        <v>0</v>
      </c>
      <c r="G11" s="785"/>
      <c r="H11" s="760"/>
      <c r="I11" s="760"/>
      <c r="J11" s="779"/>
    </row>
    <row r="12" spans="1:10" ht="18.75" x14ac:dyDescent="0.3">
      <c r="A12" s="254">
        <v>8</v>
      </c>
      <c r="B12" s="189">
        <v>4114680540</v>
      </c>
      <c r="C12" s="262" t="s">
        <v>1479</v>
      </c>
      <c r="D12" s="264" t="str">
        <f t="shared" si="0"/>
        <v>Rétirédanslesdélais</v>
      </c>
      <c r="E12" s="201">
        <v>45310</v>
      </c>
      <c r="F12" s="252">
        <v>0</v>
      </c>
      <c r="G12" s="785"/>
      <c r="H12" s="760"/>
      <c r="I12" s="760"/>
      <c r="J12" s="779"/>
    </row>
    <row r="13" spans="1:10" s="23" customFormat="1" ht="19.5" thickBot="1" x14ac:dyDescent="0.35">
      <c r="A13" s="33">
        <v>9</v>
      </c>
      <c r="B13" s="248">
        <v>4114695440</v>
      </c>
      <c r="C13" s="263" t="s">
        <v>1479</v>
      </c>
      <c r="D13" s="265" t="str">
        <f t="shared" si="0"/>
        <v>Rétirédanslesdélais</v>
      </c>
      <c r="E13" s="201">
        <v>45310</v>
      </c>
      <c r="F13" s="256">
        <v>0</v>
      </c>
      <c r="G13" s="786"/>
      <c r="H13" s="782"/>
      <c r="I13" s="782"/>
      <c r="J13" s="783"/>
    </row>
  </sheetData>
  <mergeCells count="13">
    <mergeCell ref="G13:J13"/>
    <mergeCell ref="G7:J7"/>
    <mergeCell ref="G8:J8"/>
    <mergeCell ref="G9:J9"/>
    <mergeCell ref="G10:J10"/>
    <mergeCell ref="G11:J11"/>
    <mergeCell ref="G12:J12"/>
    <mergeCell ref="G6:J6"/>
    <mergeCell ref="A1:B1"/>
    <mergeCell ref="D1:E1"/>
    <mergeCell ref="A2:B2"/>
    <mergeCell ref="G4:J4"/>
    <mergeCell ref="G5:J5"/>
  </mergeCells>
  <conditionalFormatting sqref="B1:B4">
    <cfRule type="duplicateValues" dxfId="311" priority="6"/>
    <cfRule type="duplicateValues" dxfId="310" priority="7"/>
    <cfRule type="duplicateValues" dxfId="309" priority="8"/>
  </conditionalFormatting>
  <conditionalFormatting sqref="B1:B13">
    <cfRule type="duplicateValues" dxfId="308" priority="260"/>
  </conditionalFormatting>
  <conditionalFormatting sqref="B1:B1048576">
    <cfRule type="duplicateValues" dxfId="307" priority="3"/>
  </conditionalFormatting>
  <conditionalFormatting sqref="D5:D13">
    <cfRule type="containsText" dxfId="306" priority="1" operator="containsText" text="En Attente d'un Retrait Tardif">
      <formula>NOT(ISERROR(SEARCH("En Attente d'un Retrait Tardif",D5)))</formula>
    </cfRule>
    <cfRule type="containsText" dxfId="305" priority="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A2CC-C21C-42D3-B758-9E19D6C4BCE8}">
  <sheetPr codeName="Feuil3">
    <tabColor theme="9" tint="0.39997558519241921"/>
  </sheetPr>
  <dimension ref="A1:J11"/>
  <sheetViews>
    <sheetView workbookViewId="0">
      <selection activeCell="F23" sqref="F23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40.5703125" customWidth="1"/>
    <col min="4" max="4" width="37.85546875" customWidth="1"/>
    <col min="5" max="5" width="19.140625" customWidth="1"/>
    <col min="10" max="10" width="24.7109375" customWidth="1"/>
  </cols>
  <sheetData>
    <row r="1" spans="1:10" ht="16.5" thickBot="1" x14ac:dyDescent="0.3">
      <c r="A1" s="762" t="s">
        <v>1612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45288</v>
      </c>
      <c r="E2" s="4">
        <f ca="1">TODAY()</f>
        <v>46096</v>
      </c>
      <c r="F2" s="5">
        <f ca="1">E2-D2</f>
        <v>808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1514</v>
      </c>
      <c r="F4" s="198" t="s">
        <v>8</v>
      </c>
      <c r="G4" s="780" t="s">
        <v>11</v>
      </c>
      <c r="H4" s="780"/>
      <c r="I4" s="780"/>
      <c r="J4" s="781"/>
    </row>
    <row r="5" spans="1:10" ht="18.75" x14ac:dyDescent="0.3">
      <c r="A5" s="278">
        <v>1</v>
      </c>
      <c r="B5" s="189">
        <v>4114682030</v>
      </c>
      <c r="C5" s="189" t="s">
        <v>1613</v>
      </c>
      <c r="D5" s="264" t="str">
        <f t="shared" ref="D5:D11" si="0">IF(E5="",IF($F$2&lt;=15,"EnattentedeRetrait","EnAttented'unRetraitTardif"),IF(E5-$D$2&lt;=15,"Rétirédanslesdélais",IF(E5-$D$2&gt;15,"Rétirétardivement-30000FCFAamende")))</f>
        <v>Rétirédanslesdélais</v>
      </c>
      <c r="E5" s="201">
        <v>45301</v>
      </c>
      <c r="F5" s="206">
        <v>0</v>
      </c>
      <c r="G5" s="760" t="s">
        <v>1614</v>
      </c>
      <c r="H5" s="760"/>
      <c r="I5" s="760"/>
      <c r="J5" s="760"/>
    </row>
    <row r="6" spans="1:10" ht="18.75" x14ac:dyDescent="0.3">
      <c r="A6" s="278">
        <v>2</v>
      </c>
      <c r="B6" s="189">
        <v>4114655420</v>
      </c>
      <c r="C6" s="189" t="s">
        <v>72</v>
      </c>
      <c r="D6" s="264" t="str">
        <f t="shared" si="0"/>
        <v>Rétirétardivement-30000FCFAamende</v>
      </c>
      <c r="E6" s="201">
        <v>45308</v>
      </c>
      <c r="F6" s="206">
        <v>0</v>
      </c>
      <c r="G6" s="760"/>
      <c r="H6" s="760"/>
      <c r="I6" s="760"/>
      <c r="J6" s="760"/>
    </row>
    <row r="7" spans="1:10" ht="18.75" x14ac:dyDescent="0.3">
      <c r="A7" s="278">
        <v>3</v>
      </c>
      <c r="B7" s="189">
        <v>4114656110</v>
      </c>
      <c r="C7" s="189" t="s">
        <v>1106</v>
      </c>
      <c r="D7" s="264" t="str">
        <f t="shared" si="0"/>
        <v>Rétirédanslesdélais</v>
      </c>
      <c r="E7" s="201">
        <v>45293</v>
      </c>
      <c r="F7" s="206">
        <v>0</v>
      </c>
      <c r="G7" s="760"/>
      <c r="H7" s="760"/>
      <c r="I7" s="760"/>
      <c r="J7" s="760"/>
    </row>
    <row r="8" spans="1:10" s="23" customFormat="1" ht="18.75" x14ac:dyDescent="0.3">
      <c r="A8" s="279">
        <v>4</v>
      </c>
      <c r="B8" s="189">
        <v>4114638820</v>
      </c>
      <c r="C8" s="189" t="s">
        <v>1105</v>
      </c>
      <c r="D8" s="264" t="str">
        <f t="shared" si="0"/>
        <v>Rétirédanslesdélais</v>
      </c>
      <c r="E8" s="201">
        <v>45299</v>
      </c>
      <c r="F8" s="206">
        <v>0</v>
      </c>
      <c r="G8" s="773" t="s">
        <v>1615</v>
      </c>
      <c r="H8" s="773"/>
      <c r="I8" s="773"/>
      <c r="J8" s="773"/>
    </row>
    <row r="9" spans="1:10" s="23" customFormat="1" ht="18.75" x14ac:dyDescent="0.3">
      <c r="A9" s="279">
        <v>5</v>
      </c>
      <c r="B9" s="189">
        <v>4114648270</v>
      </c>
      <c r="C9" s="189" t="s">
        <v>1105</v>
      </c>
      <c r="D9" s="264" t="str">
        <f t="shared" si="0"/>
        <v>Rétirédanslesdélais</v>
      </c>
      <c r="E9" s="201">
        <v>45294</v>
      </c>
      <c r="F9" s="206">
        <v>0</v>
      </c>
      <c r="G9" s="760"/>
      <c r="H9" s="760"/>
      <c r="I9" s="760"/>
      <c r="J9" s="760"/>
    </row>
    <row r="10" spans="1:10" ht="18.75" x14ac:dyDescent="0.3">
      <c r="A10" s="278">
        <v>6</v>
      </c>
      <c r="B10" s="189">
        <v>4114672940</v>
      </c>
      <c r="C10" s="189" t="s">
        <v>1105</v>
      </c>
      <c r="D10" s="264" t="str">
        <f t="shared" si="0"/>
        <v>Rétirédanslesdélais</v>
      </c>
      <c r="E10" s="201">
        <v>45295</v>
      </c>
      <c r="F10" s="206">
        <v>0</v>
      </c>
      <c r="G10" s="760"/>
      <c r="H10" s="760"/>
      <c r="I10" s="760"/>
      <c r="J10" s="760"/>
    </row>
    <row r="11" spans="1:10" ht="18.75" x14ac:dyDescent="0.3">
      <c r="A11" s="278">
        <v>7</v>
      </c>
      <c r="B11" s="189">
        <v>4114652640</v>
      </c>
      <c r="C11" s="189" t="s">
        <v>1616</v>
      </c>
      <c r="D11" s="264" t="str">
        <f t="shared" si="0"/>
        <v>Rétirédanslesdélais</v>
      </c>
      <c r="E11" s="201">
        <v>45295</v>
      </c>
      <c r="F11" s="206">
        <v>0</v>
      </c>
      <c r="G11" s="760"/>
      <c r="H11" s="760"/>
      <c r="I11" s="760"/>
      <c r="J11" s="760"/>
    </row>
  </sheetData>
  <mergeCells count="11">
    <mergeCell ref="G7:J7"/>
    <mergeCell ref="G8:J8"/>
    <mergeCell ref="G9:J9"/>
    <mergeCell ref="G10:J10"/>
    <mergeCell ref="G11:J11"/>
    <mergeCell ref="G6:J6"/>
    <mergeCell ref="A1:B1"/>
    <mergeCell ref="D1:E1"/>
    <mergeCell ref="A2:B2"/>
    <mergeCell ref="G4:J4"/>
    <mergeCell ref="G5:J5"/>
  </mergeCells>
  <conditionalFormatting sqref="B1:B4">
    <cfRule type="duplicateValues" dxfId="304" priority="4"/>
    <cfRule type="duplicateValues" dxfId="303" priority="5"/>
    <cfRule type="duplicateValues" dxfId="302" priority="6"/>
  </conditionalFormatting>
  <conditionalFormatting sqref="B1:B11">
    <cfRule type="duplicateValues" dxfId="301" priority="254"/>
  </conditionalFormatting>
  <conditionalFormatting sqref="B1:B1048576">
    <cfRule type="duplicateValues" dxfId="300" priority="1"/>
  </conditionalFormatting>
  <conditionalFormatting sqref="D5:D11">
    <cfRule type="containsText" dxfId="299" priority="2" operator="containsText" text="En Attente d'un Retrait Tardif">
      <formula>NOT(ISERROR(SEARCH("En Attente d'un Retrait Tardif",D5)))</formula>
    </cfRule>
    <cfRule type="containsText" dxfId="298" priority="3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1A39-431B-4367-89EB-49FA5C4764A0}">
  <sheetPr codeName="Feuil4">
    <tabColor theme="9" tint="0.39997558519241921"/>
  </sheetPr>
  <dimension ref="A1:J25"/>
  <sheetViews>
    <sheetView workbookViewId="0">
      <selection activeCell="C25" sqref="C25"/>
    </sheetView>
  </sheetViews>
  <sheetFormatPr baseColWidth="10" defaultColWidth="11.42578125" defaultRowHeight="15" x14ac:dyDescent="0.25"/>
  <cols>
    <col min="1" max="1" width="6.42578125" customWidth="1"/>
    <col min="2" max="2" width="19.7109375" customWidth="1"/>
    <col min="3" max="3" width="40.5703125" customWidth="1"/>
    <col min="4" max="4" width="39" customWidth="1"/>
    <col min="5" max="5" width="19.140625" customWidth="1"/>
    <col min="10" max="10" width="24.7109375" customWidth="1"/>
  </cols>
  <sheetData>
    <row r="1" spans="1:10" ht="16.5" thickBot="1" x14ac:dyDescent="0.3">
      <c r="A1" s="762" t="s">
        <v>1617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45286</v>
      </c>
      <c r="E2" s="4">
        <f ca="1">TODAY()</f>
        <v>46096</v>
      </c>
      <c r="F2" s="5">
        <f ca="1">E2-D2</f>
        <v>810</v>
      </c>
    </row>
    <row r="3" spans="1:10" ht="15.75" thickBot="1" x14ac:dyDescent="0.3">
      <c r="D3" s="105"/>
    </row>
    <row r="4" spans="1:10" ht="18.75" x14ac:dyDescent="0.25">
      <c r="A4" s="112" t="s">
        <v>1</v>
      </c>
      <c r="B4" s="194"/>
      <c r="C4" s="195"/>
      <c r="D4" s="196" t="s">
        <v>7</v>
      </c>
      <c r="E4" s="197" t="s">
        <v>1514</v>
      </c>
      <c r="F4" s="198" t="s">
        <v>8</v>
      </c>
      <c r="G4" s="780" t="s">
        <v>11</v>
      </c>
      <c r="H4" s="780"/>
      <c r="I4" s="780"/>
      <c r="J4" s="781"/>
    </row>
    <row r="5" spans="1:10" ht="19.5" thickBot="1" x14ac:dyDescent="0.35">
      <c r="A5" s="254">
        <v>1</v>
      </c>
      <c r="B5" s="262">
        <v>2144584980</v>
      </c>
      <c r="C5" s="189" t="s">
        <v>1618</v>
      </c>
      <c r="D5" s="259" t="str">
        <f t="shared" ref="D5:D25" si="0">IF(E5="",IF($F$2&lt;=15,"EnattentedeRetrait","EnAttented'unRetraitTardif"),IF(E5-$D$2&lt;=15,"Rétirédanslesdélais",IF(E5-$D$2&gt;15,"Rétirétardivement-30000FCFAamende")))</f>
        <v>Rétirédanslesdélais</v>
      </c>
      <c r="E5" s="201">
        <v>45288</v>
      </c>
      <c r="F5" s="252">
        <v>0</v>
      </c>
      <c r="G5" s="785"/>
      <c r="H5" s="760"/>
      <c r="I5" s="760"/>
      <c r="J5" s="779"/>
    </row>
    <row r="6" spans="1:10" ht="19.5" thickBot="1" x14ac:dyDescent="0.35">
      <c r="A6" s="254">
        <v>2</v>
      </c>
      <c r="B6" s="262">
        <v>2144585200</v>
      </c>
      <c r="C6" s="189" t="s">
        <v>1618</v>
      </c>
      <c r="D6" s="260" t="str">
        <f t="shared" si="0"/>
        <v>Rétirédanslesdélais</v>
      </c>
      <c r="E6" s="253">
        <v>45288</v>
      </c>
      <c r="F6" s="252">
        <v>0</v>
      </c>
      <c r="G6" s="785"/>
      <c r="H6" s="760"/>
      <c r="I6" s="760"/>
      <c r="J6" s="779"/>
    </row>
    <row r="7" spans="1:10" ht="19.5" thickBot="1" x14ac:dyDescent="0.35">
      <c r="A7" s="254">
        <v>3</v>
      </c>
      <c r="B7" s="262">
        <v>2144612850</v>
      </c>
      <c r="C7" s="189" t="s">
        <v>1618</v>
      </c>
      <c r="D7" s="260" t="str">
        <f t="shared" si="0"/>
        <v>Rétirédanslesdélais</v>
      </c>
      <c r="E7" s="253">
        <v>45288</v>
      </c>
      <c r="F7" s="252">
        <v>0</v>
      </c>
      <c r="G7" s="785"/>
      <c r="H7" s="760"/>
      <c r="I7" s="760"/>
      <c r="J7" s="779"/>
    </row>
    <row r="8" spans="1:10" s="23" customFormat="1" ht="19.5" thickBot="1" x14ac:dyDescent="0.35">
      <c r="A8" s="32">
        <v>4</v>
      </c>
      <c r="B8" s="262">
        <v>2144612920</v>
      </c>
      <c r="C8" s="189" t="s">
        <v>1618</v>
      </c>
      <c r="D8" s="260" t="str">
        <f t="shared" si="0"/>
        <v>Rétirédanslesdélais</v>
      </c>
      <c r="E8" s="253">
        <v>45289</v>
      </c>
      <c r="F8" s="252">
        <v>0</v>
      </c>
      <c r="G8" s="785"/>
      <c r="H8" s="760"/>
      <c r="I8" s="760"/>
      <c r="J8" s="779"/>
    </row>
    <row r="9" spans="1:10" s="23" customFormat="1" ht="19.5" thickBot="1" x14ac:dyDescent="0.35">
      <c r="A9" s="32">
        <v>5</v>
      </c>
      <c r="B9" s="262">
        <v>4112841240</v>
      </c>
      <c r="C9" s="189" t="s">
        <v>1541</v>
      </c>
      <c r="D9" s="260" t="str">
        <f t="shared" si="0"/>
        <v>Rétirédanslesdélais</v>
      </c>
      <c r="E9" s="253">
        <v>45289</v>
      </c>
      <c r="F9" s="252">
        <v>0</v>
      </c>
      <c r="G9" s="785"/>
      <c r="H9" s="760"/>
      <c r="I9" s="760"/>
      <c r="J9" s="779"/>
    </row>
    <row r="10" spans="1:10" ht="19.5" thickBot="1" x14ac:dyDescent="0.35">
      <c r="A10" s="254">
        <v>6</v>
      </c>
      <c r="B10" s="262">
        <v>4114639330</v>
      </c>
      <c r="C10" s="189" t="s">
        <v>1541</v>
      </c>
      <c r="D10" s="260" t="str">
        <f t="shared" si="0"/>
        <v>Rétirédanslesdélais</v>
      </c>
      <c r="E10" s="253">
        <v>45289</v>
      </c>
      <c r="F10" s="252">
        <v>0</v>
      </c>
      <c r="G10" s="785"/>
      <c r="H10" s="760"/>
      <c r="I10" s="760"/>
      <c r="J10" s="779"/>
    </row>
    <row r="11" spans="1:10" ht="19.5" thickBot="1" x14ac:dyDescent="0.35">
      <c r="A11" s="254">
        <v>7</v>
      </c>
      <c r="B11" s="262">
        <v>4114639360</v>
      </c>
      <c r="C11" s="189" t="s">
        <v>1541</v>
      </c>
      <c r="D11" s="260" t="str">
        <f t="shared" si="0"/>
        <v>Rétirédanslesdélais</v>
      </c>
      <c r="E11" s="253">
        <v>45289</v>
      </c>
      <c r="F11" s="252">
        <v>0</v>
      </c>
      <c r="G11" s="785"/>
      <c r="H11" s="760"/>
      <c r="I11" s="760"/>
      <c r="J11" s="779"/>
    </row>
    <row r="12" spans="1:10" ht="19.5" thickBot="1" x14ac:dyDescent="0.35">
      <c r="A12" s="254">
        <v>8</v>
      </c>
      <c r="B12" s="262">
        <v>4114666130</v>
      </c>
      <c r="C12" s="189" t="s">
        <v>1541</v>
      </c>
      <c r="D12" s="260" t="str">
        <f t="shared" si="0"/>
        <v>Rétirédanslesdélais</v>
      </c>
      <c r="E12" s="253">
        <v>45289</v>
      </c>
      <c r="F12" s="252">
        <v>0</v>
      </c>
      <c r="G12" s="785"/>
      <c r="H12" s="760"/>
      <c r="I12" s="760"/>
      <c r="J12" s="779"/>
    </row>
    <row r="13" spans="1:10" s="23" customFormat="1" ht="19.5" thickBot="1" x14ac:dyDescent="0.35">
      <c r="A13" s="32">
        <v>9</v>
      </c>
      <c r="B13" s="262">
        <v>4114666210</v>
      </c>
      <c r="C13" s="189" t="s">
        <v>1541</v>
      </c>
      <c r="D13" s="260" t="str">
        <f t="shared" si="0"/>
        <v>Rétirédanslesdélais</v>
      </c>
      <c r="E13" s="253">
        <v>45289</v>
      </c>
      <c r="F13" s="252">
        <v>0</v>
      </c>
      <c r="G13" s="785"/>
      <c r="H13" s="760"/>
      <c r="I13" s="760"/>
      <c r="J13" s="779"/>
    </row>
    <row r="14" spans="1:10" ht="19.5" thickBot="1" x14ac:dyDescent="0.35">
      <c r="A14" s="254">
        <v>10</v>
      </c>
      <c r="B14" s="262">
        <v>4114666240</v>
      </c>
      <c r="C14" s="189" t="s">
        <v>1541</v>
      </c>
      <c r="D14" s="260" t="str">
        <f t="shared" si="0"/>
        <v>Rétirédanslesdélais</v>
      </c>
      <c r="E14" s="253">
        <v>45289</v>
      </c>
      <c r="F14" s="252">
        <v>0</v>
      </c>
      <c r="G14" s="785"/>
      <c r="H14" s="760"/>
      <c r="I14" s="760"/>
      <c r="J14" s="779"/>
    </row>
    <row r="15" spans="1:10" ht="19.5" thickBot="1" x14ac:dyDescent="0.35">
      <c r="A15" s="32">
        <v>11</v>
      </c>
      <c r="B15" s="262">
        <v>4114666310</v>
      </c>
      <c r="C15" s="189" t="s">
        <v>1541</v>
      </c>
      <c r="D15" s="260" t="str">
        <f t="shared" si="0"/>
        <v>Rétirédanslesdélais</v>
      </c>
      <c r="E15" s="253">
        <v>45289</v>
      </c>
      <c r="F15" s="252">
        <v>0</v>
      </c>
      <c r="G15" s="785"/>
      <c r="H15" s="760"/>
      <c r="I15" s="760"/>
      <c r="J15" s="779"/>
    </row>
    <row r="16" spans="1:10" ht="19.5" thickBot="1" x14ac:dyDescent="0.35">
      <c r="A16" s="254">
        <v>12</v>
      </c>
      <c r="B16" s="262">
        <v>4114674410</v>
      </c>
      <c r="C16" s="189" t="s">
        <v>1541</v>
      </c>
      <c r="D16" s="260" t="str">
        <f t="shared" si="0"/>
        <v>Rétirédanslesdélais</v>
      </c>
      <c r="E16" s="253">
        <v>45289</v>
      </c>
      <c r="F16" s="252">
        <v>0</v>
      </c>
      <c r="G16" s="785"/>
      <c r="H16" s="760"/>
      <c r="I16" s="760"/>
      <c r="J16" s="779"/>
    </row>
    <row r="17" spans="1:10" ht="19.5" thickBot="1" x14ac:dyDescent="0.35">
      <c r="A17" s="32">
        <v>13</v>
      </c>
      <c r="B17" s="262">
        <v>4114685640</v>
      </c>
      <c r="C17" s="189" t="s">
        <v>1541</v>
      </c>
      <c r="D17" s="260" t="str">
        <f t="shared" si="0"/>
        <v>Rétirédanslesdélais</v>
      </c>
      <c r="E17" s="253">
        <v>45289</v>
      </c>
      <c r="F17" s="252">
        <v>0</v>
      </c>
      <c r="G17" s="785"/>
      <c r="H17" s="760"/>
      <c r="I17" s="760"/>
      <c r="J17" s="779"/>
    </row>
    <row r="18" spans="1:10" ht="19.5" thickBot="1" x14ac:dyDescent="0.35">
      <c r="A18" s="254">
        <v>14</v>
      </c>
      <c r="B18" s="262">
        <v>4114685650</v>
      </c>
      <c r="C18" s="189" t="s">
        <v>1541</v>
      </c>
      <c r="D18" s="260" t="str">
        <f t="shared" si="0"/>
        <v>Rétirédanslesdélais</v>
      </c>
      <c r="E18" s="253">
        <v>45289</v>
      </c>
      <c r="F18" s="252">
        <v>0</v>
      </c>
      <c r="G18" s="785"/>
      <c r="H18" s="760"/>
      <c r="I18" s="760"/>
      <c r="J18" s="779"/>
    </row>
    <row r="19" spans="1:10" ht="19.5" thickBot="1" x14ac:dyDescent="0.35">
      <c r="A19" s="32">
        <v>15</v>
      </c>
      <c r="B19" s="262">
        <v>4114685660</v>
      </c>
      <c r="C19" s="189" t="s">
        <v>1541</v>
      </c>
      <c r="D19" s="260" t="str">
        <f t="shared" si="0"/>
        <v>Rétirédanslesdélais</v>
      </c>
      <c r="E19" s="253">
        <v>45289</v>
      </c>
      <c r="F19" s="252">
        <v>0</v>
      </c>
      <c r="G19" s="785"/>
      <c r="H19" s="760"/>
      <c r="I19" s="760"/>
      <c r="J19" s="779"/>
    </row>
    <row r="20" spans="1:10" ht="19.5" thickBot="1" x14ac:dyDescent="0.35">
      <c r="A20" s="254">
        <v>16</v>
      </c>
      <c r="B20" s="262">
        <v>4114661960</v>
      </c>
      <c r="C20" s="189" t="s">
        <v>1585</v>
      </c>
      <c r="D20" s="260" t="str">
        <f t="shared" si="0"/>
        <v>Rétirédanslesdélais</v>
      </c>
      <c r="E20" s="253">
        <v>45289</v>
      </c>
      <c r="F20" s="252">
        <v>0</v>
      </c>
      <c r="G20" s="785"/>
      <c r="H20" s="760"/>
      <c r="I20" s="760"/>
      <c r="J20" s="779"/>
    </row>
    <row r="21" spans="1:10" ht="19.5" thickBot="1" x14ac:dyDescent="0.35">
      <c r="A21" s="32">
        <v>17</v>
      </c>
      <c r="B21" s="262">
        <v>4114658530</v>
      </c>
      <c r="C21" s="189" t="s">
        <v>1479</v>
      </c>
      <c r="D21" s="260" t="str">
        <f t="shared" si="0"/>
        <v>Rétirétardivement-30000FCFAamende</v>
      </c>
      <c r="E21" s="253">
        <v>45310</v>
      </c>
      <c r="F21" s="252">
        <v>0</v>
      </c>
      <c r="G21" s="785"/>
      <c r="H21" s="760"/>
      <c r="I21" s="760"/>
      <c r="J21" s="779"/>
    </row>
    <row r="22" spans="1:10" ht="19.5" thickBot="1" x14ac:dyDescent="0.35">
      <c r="A22" s="254">
        <v>18</v>
      </c>
      <c r="B22" s="262">
        <v>4114661940</v>
      </c>
      <c r="C22" s="189" t="s">
        <v>1585</v>
      </c>
      <c r="D22" s="260" t="str">
        <f t="shared" si="0"/>
        <v>Rétirédanslesdélais</v>
      </c>
      <c r="E22" s="253">
        <v>45289</v>
      </c>
      <c r="F22" s="252">
        <v>0</v>
      </c>
      <c r="G22" s="785"/>
      <c r="H22" s="760"/>
      <c r="I22" s="760"/>
      <c r="J22" s="779"/>
    </row>
    <row r="23" spans="1:10" ht="19.5" thickBot="1" x14ac:dyDescent="0.35">
      <c r="A23" s="32">
        <v>19</v>
      </c>
      <c r="B23" s="262">
        <v>4114675040</v>
      </c>
      <c r="C23" s="189" t="s">
        <v>1585</v>
      </c>
      <c r="D23" s="260" t="str">
        <f t="shared" si="0"/>
        <v>Rétirédanslesdélais</v>
      </c>
      <c r="E23" s="253">
        <v>45289</v>
      </c>
      <c r="F23" s="252">
        <v>0</v>
      </c>
      <c r="G23" s="785"/>
      <c r="H23" s="760"/>
      <c r="I23" s="760"/>
      <c r="J23" s="779"/>
    </row>
    <row r="24" spans="1:10" ht="19.5" thickBot="1" x14ac:dyDescent="0.35">
      <c r="A24" s="254">
        <v>20</v>
      </c>
      <c r="B24" s="262">
        <v>4114675050</v>
      </c>
      <c r="C24" s="189" t="s">
        <v>1585</v>
      </c>
      <c r="D24" s="260" t="str">
        <f t="shared" si="0"/>
        <v>Rétirédanslesdélais</v>
      </c>
      <c r="E24" s="253">
        <v>45289</v>
      </c>
      <c r="F24" s="252">
        <v>0</v>
      </c>
      <c r="G24" s="785"/>
      <c r="H24" s="760"/>
      <c r="I24" s="760"/>
      <c r="J24" s="779"/>
    </row>
    <row r="25" spans="1:10" ht="19.5" thickBot="1" x14ac:dyDescent="0.35">
      <c r="A25" s="33">
        <v>21</v>
      </c>
      <c r="B25" s="263">
        <v>4114628130</v>
      </c>
      <c r="C25" s="248" t="s">
        <v>1082</v>
      </c>
      <c r="D25" s="261" t="str">
        <f t="shared" si="0"/>
        <v>Rétirétardivement-30000FCFAamende</v>
      </c>
      <c r="E25" s="255">
        <v>45314</v>
      </c>
      <c r="F25" s="256">
        <v>0</v>
      </c>
      <c r="G25" s="786"/>
      <c r="H25" s="782"/>
      <c r="I25" s="782"/>
      <c r="J25" s="783"/>
    </row>
  </sheetData>
  <autoFilter ref="A4:J25" xr:uid="{0E251A39-431B-4367-89EB-49FA5C4764A0}">
    <filterColumn colId="6" showButton="0"/>
    <filterColumn colId="7" showButton="0"/>
    <filterColumn colId="8" showButton="0"/>
  </autoFilter>
  <mergeCells count="25">
    <mergeCell ref="G25:J25"/>
    <mergeCell ref="G19:J19"/>
    <mergeCell ref="G20:J20"/>
    <mergeCell ref="G21:J21"/>
    <mergeCell ref="G22:J22"/>
    <mergeCell ref="G23:J23"/>
    <mergeCell ref="G24:J24"/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6:J6"/>
    <mergeCell ref="A1:B1"/>
    <mergeCell ref="D1:E1"/>
    <mergeCell ref="A2:B2"/>
    <mergeCell ref="G4:J4"/>
    <mergeCell ref="G5:J5"/>
  </mergeCells>
  <conditionalFormatting sqref="B1:B4">
    <cfRule type="duplicateValues" dxfId="297" priority="8"/>
    <cfRule type="duplicateValues" dxfId="296" priority="9"/>
    <cfRule type="duplicateValues" dxfId="295" priority="10"/>
  </conditionalFormatting>
  <conditionalFormatting sqref="B1:B24 B26:B1048576">
    <cfRule type="duplicateValues" dxfId="294" priority="5"/>
  </conditionalFormatting>
  <conditionalFormatting sqref="B1:B24">
    <cfRule type="duplicateValues" dxfId="293" priority="11"/>
  </conditionalFormatting>
  <conditionalFormatting sqref="B25">
    <cfRule type="duplicateValues" dxfId="292" priority="1"/>
    <cfRule type="duplicateValues" dxfId="291" priority="4"/>
  </conditionalFormatting>
  <conditionalFormatting sqref="D5:D25">
    <cfRule type="containsText" dxfId="290" priority="6" operator="containsText" text="En Attente d'un Retrait Tardif">
      <formula>NOT(ISERROR(SEARCH("En Attente d'un Retrait Tardif",D5)))</formula>
    </cfRule>
    <cfRule type="containsText" dxfId="289" priority="7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B3E4-D20A-4EE8-92A0-06E3F890DDE9}">
  <sheetPr codeName="Feuil5">
    <tabColor theme="9" tint="0.39997558519241921"/>
  </sheetPr>
  <dimension ref="A1:J24"/>
  <sheetViews>
    <sheetView workbookViewId="0">
      <selection activeCell="O25" sqref="O25"/>
    </sheetView>
  </sheetViews>
  <sheetFormatPr baseColWidth="10" defaultColWidth="11.42578125" defaultRowHeight="15" x14ac:dyDescent="0.25"/>
  <cols>
    <col min="1" max="1" width="6.42578125" customWidth="1"/>
    <col min="2" max="2" width="22.140625" customWidth="1"/>
    <col min="3" max="3" width="40.5703125" customWidth="1"/>
    <col min="4" max="4" width="39.28515625" customWidth="1"/>
    <col min="5" max="5" width="19.140625" customWidth="1"/>
    <col min="10" max="10" width="24.7109375" customWidth="1"/>
    <col min="11" max="11" width="9.7109375" customWidth="1"/>
    <col min="12" max="12" width="5.140625" customWidth="1"/>
  </cols>
  <sheetData>
    <row r="1" spans="1:10" ht="16.5" thickBot="1" x14ac:dyDescent="0.3">
      <c r="A1" s="762" t="s">
        <v>1619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45279</v>
      </c>
      <c r="E2" s="4">
        <f ca="1">TODAY()</f>
        <v>46096</v>
      </c>
      <c r="F2" s="5">
        <f ca="1">E2-D2</f>
        <v>817</v>
      </c>
    </row>
    <row r="3" spans="1:10" ht="15.75" thickBot="1" x14ac:dyDescent="0.3">
      <c r="D3" s="105"/>
    </row>
    <row r="4" spans="1:10" ht="19.5" thickBot="1" x14ac:dyDescent="0.3">
      <c r="A4" s="112" t="s">
        <v>1</v>
      </c>
      <c r="B4" s="194" t="s">
        <v>87</v>
      </c>
      <c r="C4" s="195" t="s">
        <v>1620</v>
      </c>
      <c r="D4" s="196" t="s">
        <v>7</v>
      </c>
      <c r="E4" s="197" t="s">
        <v>1514</v>
      </c>
      <c r="F4" s="198" t="s">
        <v>8</v>
      </c>
      <c r="G4" s="780" t="s">
        <v>11</v>
      </c>
      <c r="H4" s="780"/>
      <c r="I4" s="780"/>
      <c r="J4" s="781"/>
    </row>
    <row r="5" spans="1:10" ht="19.5" thickBot="1" x14ac:dyDescent="0.35">
      <c r="A5" s="254">
        <v>1</v>
      </c>
      <c r="B5" s="189">
        <v>2144445830</v>
      </c>
      <c r="C5" s="189" t="s">
        <v>1621</v>
      </c>
      <c r="D5" s="190" t="str">
        <f t="shared" ref="D5:D24" si="0">IF(E5="",IF($F$2&lt;=15,"EnattentedeRetrait","EnAttented'unRetraitTardif"),IF(E5-$D$2&lt;=15,"Rétirédanslesdélais",IF(E5-$D$2&gt;15,"Rétirétardivement-30000FCFAamende")))</f>
        <v>Rétirédanslesdélais</v>
      </c>
      <c r="E5" s="170">
        <v>45282</v>
      </c>
      <c r="F5" s="172">
        <v>0</v>
      </c>
      <c r="G5" s="785"/>
      <c r="H5" s="760"/>
      <c r="I5" s="760"/>
      <c r="J5" s="779"/>
    </row>
    <row r="6" spans="1:10" ht="19.5" thickBot="1" x14ac:dyDescent="0.35">
      <c r="A6" s="254">
        <v>2</v>
      </c>
      <c r="B6" s="189">
        <v>4114603220</v>
      </c>
      <c r="C6" s="189" t="s">
        <v>1622</v>
      </c>
      <c r="D6" s="190" t="str">
        <f t="shared" si="0"/>
        <v>Rétirédanslesdélais</v>
      </c>
      <c r="E6" s="170">
        <v>45281</v>
      </c>
      <c r="F6" s="172">
        <v>0</v>
      </c>
      <c r="G6" s="785"/>
      <c r="H6" s="760"/>
      <c r="I6" s="760"/>
      <c r="J6" s="779"/>
    </row>
    <row r="7" spans="1:10" ht="19.5" thickBot="1" x14ac:dyDescent="0.35">
      <c r="A7" s="254">
        <v>3</v>
      </c>
      <c r="B7" s="189">
        <v>4114621070</v>
      </c>
      <c r="C7" s="189" t="s">
        <v>1623</v>
      </c>
      <c r="D7" s="190" t="str">
        <f t="shared" si="0"/>
        <v>Rétirédanslesdélais</v>
      </c>
      <c r="E7" s="170">
        <v>45282</v>
      </c>
      <c r="F7" s="172">
        <v>0</v>
      </c>
      <c r="G7" s="787" t="s">
        <v>1624</v>
      </c>
      <c r="H7" s="788"/>
      <c r="I7" s="788"/>
      <c r="J7" s="789"/>
    </row>
    <row r="8" spans="1:10" s="23" customFormat="1" ht="19.5" thickBot="1" x14ac:dyDescent="0.35">
      <c r="A8" s="32">
        <v>4</v>
      </c>
      <c r="B8" s="189">
        <v>4114625890</v>
      </c>
      <c r="C8" s="189" t="s">
        <v>76</v>
      </c>
      <c r="D8" s="190" t="str">
        <f t="shared" si="0"/>
        <v>Rétirédanslesdélais</v>
      </c>
      <c r="E8" s="170">
        <v>45286</v>
      </c>
      <c r="F8" s="172">
        <v>0</v>
      </c>
      <c r="G8" s="790"/>
      <c r="H8" s="761"/>
      <c r="I8" s="761"/>
      <c r="J8" s="791"/>
    </row>
    <row r="9" spans="1:10" s="23" customFormat="1" ht="19.5" thickBot="1" x14ac:dyDescent="0.35">
      <c r="A9" s="32">
        <v>5</v>
      </c>
      <c r="B9" s="189">
        <v>4114639060</v>
      </c>
      <c r="C9" s="189" t="s">
        <v>82</v>
      </c>
      <c r="D9" s="190" t="str">
        <f t="shared" si="0"/>
        <v>Rétirédanslesdélais</v>
      </c>
      <c r="E9" s="170">
        <v>45281</v>
      </c>
      <c r="F9" s="172">
        <v>0</v>
      </c>
      <c r="G9" s="790"/>
      <c r="H9" s="761"/>
      <c r="I9" s="761"/>
      <c r="J9" s="791"/>
    </row>
    <row r="10" spans="1:10" ht="19.5" thickBot="1" x14ac:dyDescent="0.35">
      <c r="A10" s="254">
        <v>6</v>
      </c>
      <c r="B10" s="189">
        <v>4114642290</v>
      </c>
      <c r="C10" s="189" t="s">
        <v>1622</v>
      </c>
      <c r="D10" s="190" t="str">
        <f t="shared" si="0"/>
        <v>Rétirédanslesdélais</v>
      </c>
      <c r="E10" s="170">
        <v>45281</v>
      </c>
      <c r="F10" s="172">
        <v>0</v>
      </c>
      <c r="G10" s="790"/>
      <c r="H10" s="761"/>
      <c r="I10" s="761"/>
      <c r="J10" s="791"/>
    </row>
    <row r="11" spans="1:10" ht="19.5" thickBot="1" x14ac:dyDescent="0.35">
      <c r="A11" s="254">
        <v>7</v>
      </c>
      <c r="B11" s="189">
        <v>4114642310</v>
      </c>
      <c r="C11" s="189" t="s">
        <v>1625</v>
      </c>
      <c r="D11" s="190" t="str">
        <f t="shared" si="0"/>
        <v>Rétirédanslesdélais</v>
      </c>
      <c r="E11" s="170">
        <v>45286</v>
      </c>
      <c r="F11" s="172">
        <v>0</v>
      </c>
      <c r="G11" s="790"/>
      <c r="H11" s="761"/>
      <c r="I11" s="761"/>
      <c r="J11" s="791"/>
    </row>
    <row r="12" spans="1:10" ht="19.5" thickBot="1" x14ac:dyDescent="0.35">
      <c r="A12" s="254">
        <v>8</v>
      </c>
      <c r="B12" s="189">
        <v>4114644200</v>
      </c>
      <c r="C12" s="189" t="s">
        <v>1623</v>
      </c>
      <c r="D12" s="190" t="str">
        <f t="shared" si="0"/>
        <v>Rétirédanslesdélais</v>
      </c>
      <c r="E12" s="170">
        <v>45282</v>
      </c>
      <c r="F12" s="172">
        <v>0</v>
      </c>
      <c r="G12" s="787" t="s">
        <v>1626</v>
      </c>
      <c r="H12" s="788"/>
      <c r="I12" s="788"/>
      <c r="J12" s="789"/>
    </row>
    <row r="13" spans="1:10" s="23" customFormat="1" ht="19.5" thickBot="1" x14ac:dyDescent="0.35">
      <c r="A13" s="32">
        <v>9</v>
      </c>
      <c r="B13" s="189">
        <v>4114645420</v>
      </c>
      <c r="C13" s="189" t="s">
        <v>1627</v>
      </c>
      <c r="D13" s="190" t="str">
        <f t="shared" si="0"/>
        <v>Rétirédanslesdélais</v>
      </c>
      <c r="E13" s="170">
        <v>44934</v>
      </c>
      <c r="F13" s="172">
        <v>0</v>
      </c>
      <c r="G13" s="785"/>
      <c r="H13" s="760"/>
      <c r="I13" s="760"/>
      <c r="J13" s="779"/>
    </row>
    <row r="14" spans="1:10" ht="19.5" thickBot="1" x14ac:dyDescent="0.35">
      <c r="A14" s="254">
        <v>10</v>
      </c>
      <c r="B14" s="189">
        <v>4114647370</v>
      </c>
      <c r="C14" s="189" t="s">
        <v>81</v>
      </c>
      <c r="D14" s="276" t="str">
        <f t="shared" si="0"/>
        <v>Rétirétardivement-30000FCFAamende</v>
      </c>
      <c r="E14" s="170">
        <v>45300</v>
      </c>
      <c r="F14" s="172">
        <v>0</v>
      </c>
      <c r="G14" s="785"/>
      <c r="H14" s="760"/>
      <c r="I14" s="760"/>
      <c r="J14" s="779"/>
    </row>
    <row r="15" spans="1:10" ht="19.5" thickBot="1" x14ac:dyDescent="0.35">
      <c r="A15" s="32">
        <v>11</v>
      </c>
      <c r="B15" s="189">
        <v>4114648260</v>
      </c>
      <c r="C15" s="189" t="s">
        <v>82</v>
      </c>
      <c r="D15" s="276" t="str">
        <f t="shared" si="0"/>
        <v>Rétirétardivement-30000FCFAamende</v>
      </c>
      <c r="E15" s="170">
        <v>45312</v>
      </c>
      <c r="F15" s="172">
        <v>0</v>
      </c>
      <c r="G15" s="785"/>
      <c r="H15" s="760"/>
      <c r="I15" s="760"/>
      <c r="J15" s="779"/>
    </row>
    <row r="16" spans="1:10" ht="19.5" thickBot="1" x14ac:dyDescent="0.35">
      <c r="A16" s="254">
        <v>12</v>
      </c>
      <c r="B16" s="189">
        <v>4114648290</v>
      </c>
      <c r="C16" s="189" t="s">
        <v>82</v>
      </c>
      <c r="D16" s="190" t="str">
        <f t="shared" si="0"/>
        <v>Rétirédanslesdélais</v>
      </c>
      <c r="E16" s="170">
        <v>45281</v>
      </c>
      <c r="F16" s="172">
        <v>0</v>
      </c>
      <c r="G16" s="785"/>
      <c r="H16" s="760"/>
      <c r="I16" s="760"/>
      <c r="J16" s="779"/>
    </row>
    <row r="17" spans="1:10" ht="19.5" thickBot="1" x14ac:dyDescent="0.35">
      <c r="A17" s="32">
        <v>13</v>
      </c>
      <c r="B17" s="189">
        <v>4114653440</v>
      </c>
      <c r="C17" s="189" t="s">
        <v>81</v>
      </c>
      <c r="D17" s="190" t="str">
        <f t="shared" si="0"/>
        <v>Rétirédanslesdélais</v>
      </c>
      <c r="E17" s="170">
        <v>45294</v>
      </c>
      <c r="F17" s="172">
        <v>0</v>
      </c>
      <c r="G17" s="785"/>
      <c r="H17" s="760"/>
      <c r="I17" s="760"/>
      <c r="J17" s="779"/>
    </row>
    <row r="18" spans="1:10" ht="19.5" thickBot="1" x14ac:dyDescent="0.35">
      <c r="A18" s="254">
        <v>14</v>
      </c>
      <c r="B18" s="189">
        <v>4114653460</v>
      </c>
      <c r="C18" s="189" t="s">
        <v>81</v>
      </c>
      <c r="D18" s="190" t="str">
        <f t="shared" si="0"/>
        <v>Rétirédanslesdélais</v>
      </c>
      <c r="E18" s="170">
        <v>45294</v>
      </c>
      <c r="F18" s="172">
        <v>0</v>
      </c>
      <c r="G18" s="785"/>
      <c r="H18" s="760"/>
      <c r="I18" s="760"/>
      <c r="J18" s="779"/>
    </row>
    <row r="19" spans="1:10" ht="19.5" thickBot="1" x14ac:dyDescent="0.35">
      <c r="A19" s="32">
        <v>15</v>
      </c>
      <c r="B19" s="189">
        <v>4114655270</v>
      </c>
      <c r="C19" s="189" t="s">
        <v>76</v>
      </c>
      <c r="D19" s="190" t="str">
        <f t="shared" si="0"/>
        <v>Rétirédanslesdélais</v>
      </c>
      <c r="E19" s="170">
        <v>45282</v>
      </c>
      <c r="F19" s="172">
        <v>0</v>
      </c>
      <c r="G19" s="785"/>
      <c r="H19" s="760"/>
      <c r="I19" s="760"/>
      <c r="J19" s="779"/>
    </row>
    <row r="20" spans="1:10" ht="19.5" thickBot="1" x14ac:dyDescent="0.35">
      <c r="A20" s="254">
        <v>16</v>
      </c>
      <c r="B20" s="189">
        <v>4114661130</v>
      </c>
      <c r="C20" s="189" t="s">
        <v>1627</v>
      </c>
      <c r="D20" s="276" t="str">
        <f t="shared" si="0"/>
        <v>Rétirétardivement-30000FCFAamende</v>
      </c>
      <c r="E20" s="170">
        <v>45301</v>
      </c>
      <c r="F20" s="172">
        <v>0</v>
      </c>
      <c r="G20" s="785"/>
      <c r="H20" s="760"/>
      <c r="I20" s="760"/>
      <c r="J20" s="779"/>
    </row>
    <row r="21" spans="1:10" ht="19.5" thickBot="1" x14ac:dyDescent="0.35">
      <c r="A21" s="32">
        <v>17</v>
      </c>
      <c r="B21" s="189">
        <v>4114661160</v>
      </c>
      <c r="C21" s="189" t="s">
        <v>82</v>
      </c>
      <c r="D21" s="190" t="str">
        <f t="shared" si="0"/>
        <v>Rétirédanslesdélais</v>
      </c>
      <c r="E21" s="170">
        <v>45281</v>
      </c>
      <c r="F21" s="172">
        <v>0</v>
      </c>
      <c r="G21" s="785"/>
      <c r="H21" s="760"/>
      <c r="I21" s="760"/>
      <c r="J21" s="779"/>
    </row>
    <row r="22" spans="1:10" ht="19.5" thickBot="1" x14ac:dyDescent="0.35">
      <c r="A22" s="254">
        <v>18</v>
      </c>
      <c r="B22" s="189">
        <v>4114672900</v>
      </c>
      <c r="C22" s="189" t="s">
        <v>82</v>
      </c>
      <c r="D22" s="190" t="str">
        <f t="shared" si="0"/>
        <v>Rétirédanslesdélais</v>
      </c>
      <c r="E22" s="170">
        <v>45281</v>
      </c>
      <c r="F22" s="172">
        <v>0</v>
      </c>
      <c r="G22" s="785"/>
      <c r="H22" s="760"/>
      <c r="I22" s="760"/>
      <c r="J22" s="779"/>
    </row>
    <row r="23" spans="1:10" ht="19.5" thickBot="1" x14ac:dyDescent="0.35">
      <c r="A23" s="32">
        <v>19</v>
      </c>
      <c r="B23" s="189">
        <v>4114672920</v>
      </c>
      <c r="C23" s="189" t="s">
        <v>82</v>
      </c>
      <c r="D23" s="190" t="str">
        <f t="shared" si="0"/>
        <v>Rétirédanslesdélais</v>
      </c>
      <c r="E23" s="170">
        <v>45281</v>
      </c>
      <c r="F23" s="172">
        <v>0</v>
      </c>
      <c r="G23" s="785"/>
      <c r="H23" s="760"/>
      <c r="I23" s="760"/>
      <c r="J23" s="779"/>
    </row>
    <row r="24" spans="1:10" ht="19.5" thickBot="1" x14ac:dyDescent="0.35">
      <c r="A24" s="257">
        <v>20</v>
      </c>
      <c r="B24" s="248">
        <v>4114674400</v>
      </c>
      <c r="C24" s="248" t="s">
        <v>82</v>
      </c>
      <c r="D24" s="239" t="str">
        <f t="shared" si="0"/>
        <v>Rétirédanslesdélais</v>
      </c>
      <c r="E24" s="173">
        <v>45281</v>
      </c>
      <c r="F24" s="258">
        <v>0</v>
      </c>
      <c r="G24" s="786"/>
      <c r="H24" s="782"/>
      <c r="I24" s="782"/>
      <c r="J24" s="783"/>
    </row>
  </sheetData>
  <mergeCells count="24">
    <mergeCell ref="G24:J24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4">
    <cfRule type="duplicateValues" dxfId="288" priority="4"/>
    <cfRule type="duplicateValues" dxfId="287" priority="5"/>
    <cfRule type="duplicateValues" dxfId="286" priority="6"/>
  </conditionalFormatting>
  <conditionalFormatting sqref="B1:B24">
    <cfRule type="duplicateValues" dxfId="285" priority="250"/>
  </conditionalFormatting>
  <conditionalFormatting sqref="B1:B1048576">
    <cfRule type="duplicateValues" dxfId="284" priority="1"/>
  </conditionalFormatting>
  <conditionalFormatting sqref="D5:D24">
    <cfRule type="containsText" dxfId="283" priority="2" operator="containsText" text="En Attente d'un Retrait Tardif">
      <formula>NOT(ISERROR(SEARCH("En Attente d'un Retrait Tardif",D5)))</formula>
    </cfRule>
    <cfRule type="containsText" dxfId="282" priority="3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D4DF-8CFF-42E8-8E9C-A3793AE496AF}">
  <sheetPr codeName="Feuil1">
    <tabColor rgb="FF0070C0"/>
  </sheetPr>
  <dimension ref="A1:M69"/>
  <sheetViews>
    <sheetView workbookViewId="0">
      <selection activeCell="N19" sqref="N19"/>
    </sheetView>
  </sheetViews>
  <sheetFormatPr baseColWidth="10" defaultColWidth="11.42578125" defaultRowHeight="15" x14ac:dyDescent="0.25"/>
  <cols>
    <col min="1" max="1" width="18" bestFit="1" customWidth="1"/>
    <col min="2" max="2" width="15.5703125" customWidth="1"/>
    <col min="3" max="3" width="13.85546875" bestFit="1" customWidth="1"/>
    <col min="4" max="4" width="8" bestFit="1" customWidth="1"/>
    <col min="5" max="5" width="6.5703125" bestFit="1" customWidth="1"/>
    <col min="6" max="6" width="13" customWidth="1"/>
    <col min="7" max="7" width="5.140625" bestFit="1" customWidth="1"/>
    <col min="8" max="8" width="5.85546875" style="208" bestFit="1" customWidth="1"/>
    <col min="9" max="9" width="10.42578125" bestFit="1" customWidth="1"/>
    <col min="10" max="13" width="13.85546875" bestFit="1" customWidth="1"/>
  </cols>
  <sheetData>
    <row r="1" spans="1:13" ht="1.5" customHeight="1" thickBot="1" x14ac:dyDescent="0.3"/>
    <row r="2" spans="1:13" ht="33.75" customHeight="1" thickBot="1" x14ac:dyDescent="0.3">
      <c r="A2" s="226" t="s">
        <v>1628</v>
      </c>
      <c r="B2" s="227" t="s">
        <v>88</v>
      </c>
      <c r="C2" s="227" t="s">
        <v>0</v>
      </c>
      <c r="D2" s="227" t="s">
        <v>89</v>
      </c>
      <c r="E2" s="227" t="s">
        <v>90</v>
      </c>
      <c r="F2" s="234" t="s">
        <v>1629</v>
      </c>
      <c r="G2" s="227" t="s">
        <v>91</v>
      </c>
      <c r="H2" s="228" t="s">
        <v>92</v>
      </c>
      <c r="I2" s="241" t="s">
        <v>1630</v>
      </c>
      <c r="J2" s="233" t="s">
        <v>1631</v>
      </c>
      <c r="K2" s="234" t="s">
        <v>93</v>
      </c>
      <c r="L2" s="234" t="s">
        <v>1632</v>
      </c>
      <c r="M2" s="235" t="s">
        <v>1633</v>
      </c>
    </row>
    <row r="3" spans="1:13" ht="19.5" customHeight="1" x14ac:dyDescent="0.25">
      <c r="A3" s="222" t="s">
        <v>1634</v>
      </c>
      <c r="B3" s="223">
        <v>45267</v>
      </c>
      <c r="C3" s="224">
        <f>B3+1</f>
        <v>45268</v>
      </c>
      <c r="D3" s="225" t="s">
        <v>94</v>
      </c>
      <c r="E3" s="225" t="s">
        <v>95</v>
      </c>
      <c r="F3" s="225" t="s">
        <v>96</v>
      </c>
      <c r="G3" s="225">
        <v>143</v>
      </c>
      <c r="H3" s="215" t="s">
        <v>97</v>
      </c>
      <c r="I3" s="242" t="s">
        <v>98</v>
      </c>
      <c r="J3" s="236">
        <f>B3-7</f>
        <v>45260</v>
      </c>
      <c r="K3" s="237">
        <f>C3+1</f>
        <v>45269</v>
      </c>
      <c r="L3" s="237">
        <f>C3+1</f>
        <v>45269</v>
      </c>
      <c r="M3" s="238">
        <f>C3+2</f>
        <v>45270</v>
      </c>
    </row>
    <row r="4" spans="1:13" ht="19.5" customHeight="1" x14ac:dyDescent="0.25">
      <c r="A4" s="211" t="s">
        <v>1635</v>
      </c>
      <c r="B4" s="244">
        <v>45274</v>
      </c>
      <c r="C4" s="213">
        <f t="shared" ref="C4:C9" si="0">B4+1</f>
        <v>45275</v>
      </c>
      <c r="D4" s="214" t="s">
        <v>99</v>
      </c>
      <c r="E4" s="214" t="s">
        <v>100</v>
      </c>
      <c r="F4" s="214" t="s">
        <v>101</v>
      </c>
      <c r="G4" s="214">
        <v>29</v>
      </c>
      <c r="H4" s="216" t="s">
        <v>102</v>
      </c>
      <c r="I4" s="242" t="s">
        <v>98</v>
      </c>
      <c r="J4" s="232">
        <f t="shared" ref="J4:J9" si="1">B4-7</f>
        <v>45267</v>
      </c>
      <c r="K4" s="240">
        <f t="shared" ref="K4:K7" si="2">C4+1</f>
        <v>45276</v>
      </c>
      <c r="L4" s="240">
        <f t="shared" ref="L4:L9" si="3">C4+1</f>
        <v>45276</v>
      </c>
      <c r="M4" s="243">
        <f t="shared" ref="M4:M9" si="4">C4+2</f>
        <v>45277</v>
      </c>
    </row>
    <row r="5" spans="1:13" ht="19.5" customHeight="1" x14ac:dyDescent="0.25">
      <c r="A5" s="211" t="s">
        <v>103</v>
      </c>
      <c r="B5" s="212" t="s">
        <v>1636</v>
      </c>
      <c r="C5" s="213" t="e">
        <f t="shared" si="0"/>
        <v>#VALUE!</v>
      </c>
      <c r="D5" s="214" t="s">
        <v>94</v>
      </c>
      <c r="E5" s="214" t="s">
        <v>104</v>
      </c>
      <c r="F5" s="214" t="s">
        <v>101</v>
      </c>
      <c r="G5" s="214">
        <v>352</v>
      </c>
      <c r="H5" s="216" t="s">
        <v>97</v>
      </c>
      <c r="I5" s="242" t="s">
        <v>98</v>
      </c>
      <c r="J5" s="232" t="e">
        <f t="shared" si="1"/>
        <v>#VALUE!</v>
      </c>
      <c r="K5" s="240" t="e">
        <f t="shared" si="2"/>
        <v>#VALUE!</v>
      </c>
      <c r="L5" s="240" t="e">
        <f t="shared" si="3"/>
        <v>#VALUE!</v>
      </c>
      <c r="M5" s="243" t="e">
        <f t="shared" si="4"/>
        <v>#VALUE!</v>
      </c>
    </row>
    <row r="6" spans="1:13" ht="19.5" customHeight="1" x14ac:dyDescent="0.25">
      <c r="A6" s="211" t="s">
        <v>1637</v>
      </c>
      <c r="B6" s="212" t="s">
        <v>1638</v>
      </c>
      <c r="C6" s="213" t="e">
        <f t="shared" si="0"/>
        <v>#VALUE!</v>
      </c>
      <c r="D6" s="214" t="s">
        <v>99</v>
      </c>
      <c r="E6" s="214" t="s">
        <v>105</v>
      </c>
      <c r="F6" s="214" t="s">
        <v>96</v>
      </c>
      <c r="G6" s="214">
        <v>50</v>
      </c>
      <c r="H6" s="216" t="s">
        <v>102</v>
      </c>
      <c r="I6" s="242" t="s">
        <v>98</v>
      </c>
      <c r="J6" s="232" t="e">
        <f t="shared" si="1"/>
        <v>#VALUE!</v>
      </c>
      <c r="K6" s="240" t="e">
        <f t="shared" si="2"/>
        <v>#VALUE!</v>
      </c>
      <c r="L6" s="240" t="e">
        <f t="shared" si="3"/>
        <v>#VALUE!</v>
      </c>
      <c r="M6" s="243" t="e">
        <f t="shared" si="4"/>
        <v>#VALUE!</v>
      </c>
    </row>
    <row r="7" spans="1:13" ht="19.5" customHeight="1" x14ac:dyDescent="0.25">
      <c r="A7" s="211" t="s">
        <v>1639</v>
      </c>
      <c r="B7" s="212" t="s">
        <v>1640</v>
      </c>
      <c r="C7" s="213" t="e">
        <f t="shared" si="0"/>
        <v>#VALUE!</v>
      </c>
      <c r="D7" s="214" t="s">
        <v>94</v>
      </c>
      <c r="E7" s="214" t="s">
        <v>106</v>
      </c>
      <c r="F7" s="214" t="s">
        <v>96</v>
      </c>
      <c r="G7" s="214">
        <v>157</v>
      </c>
      <c r="H7" s="216" t="s">
        <v>102</v>
      </c>
      <c r="I7" s="242" t="s">
        <v>98</v>
      </c>
      <c r="J7" s="232" t="e">
        <f>B7-7</f>
        <v>#VALUE!</v>
      </c>
      <c r="K7" s="240" t="e">
        <f t="shared" si="2"/>
        <v>#VALUE!</v>
      </c>
      <c r="L7" s="240" t="e">
        <f t="shared" si="3"/>
        <v>#VALUE!</v>
      </c>
      <c r="M7" s="243" t="e">
        <f t="shared" si="4"/>
        <v>#VALUE!</v>
      </c>
    </row>
    <row r="8" spans="1:13" ht="19.5" customHeight="1" x14ac:dyDescent="0.25">
      <c r="A8" s="211" t="s">
        <v>1641</v>
      </c>
      <c r="B8" s="212" t="s">
        <v>1642</v>
      </c>
      <c r="C8" s="213" t="e">
        <f>B8+2</f>
        <v>#VALUE!</v>
      </c>
      <c r="D8" s="214" t="s">
        <v>94</v>
      </c>
      <c r="E8" s="214" t="s">
        <v>107</v>
      </c>
      <c r="F8" s="214" t="s">
        <v>101</v>
      </c>
      <c r="G8" s="214">
        <v>2</v>
      </c>
      <c r="H8" s="216" t="s">
        <v>97</v>
      </c>
      <c r="I8" s="242" t="s">
        <v>98</v>
      </c>
      <c r="J8" s="232" t="e">
        <f t="shared" si="1"/>
        <v>#VALUE!</v>
      </c>
      <c r="K8" s="240" t="e">
        <f>B8+2</f>
        <v>#VALUE!</v>
      </c>
      <c r="L8" s="240" t="e">
        <f t="shared" si="3"/>
        <v>#VALUE!</v>
      </c>
      <c r="M8" s="243" t="e">
        <f t="shared" si="4"/>
        <v>#VALUE!</v>
      </c>
    </row>
    <row r="9" spans="1:13" ht="19.5" customHeight="1" thickBot="1" x14ac:dyDescent="0.3">
      <c r="A9" s="217" t="s">
        <v>1635</v>
      </c>
      <c r="B9" s="218" t="s">
        <v>1643</v>
      </c>
      <c r="C9" s="219" t="e">
        <f t="shared" si="0"/>
        <v>#VALUE!</v>
      </c>
      <c r="D9" s="220" t="s">
        <v>99</v>
      </c>
      <c r="E9" s="220" t="s">
        <v>100</v>
      </c>
      <c r="F9" s="220" t="s">
        <v>101</v>
      </c>
      <c r="G9" s="220">
        <v>30</v>
      </c>
      <c r="H9" s="221" t="s">
        <v>102</v>
      </c>
      <c r="I9" s="250" t="s">
        <v>98</v>
      </c>
      <c r="J9" s="249" t="e">
        <f t="shared" si="1"/>
        <v>#VALUE!</v>
      </c>
      <c r="K9" s="209" t="e">
        <f>B9+2</f>
        <v>#VALUE!</v>
      </c>
      <c r="L9" s="209" t="e">
        <f t="shared" si="3"/>
        <v>#VALUE!</v>
      </c>
      <c r="M9" s="210" t="e">
        <f t="shared" si="4"/>
        <v>#VALUE!</v>
      </c>
    </row>
    <row r="25" spans="11:11" x14ac:dyDescent="0.25">
      <c r="K25" s="251"/>
    </row>
    <row r="45" spans="1:1" x14ac:dyDescent="0.25">
      <c r="A45" s="230"/>
    </row>
    <row r="46" spans="1:1" x14ac:dyDescent="0.25">
      <c r="A46" s="230"/>
    </row>
    <row r="47" spans="1:1" x14ac:dyDescent="0.25">
      <c r="A47" s="229"/>
    </row>
    <row r="48" spans="1:1" x14ac:dyDescent="0.25">
      <c r="A48" s="230"/>
    </row>
    <row r="49" spans="1:1" x14ac:dyDescent="0.25">
      <c r="A49" s="230"/>
    </row>
    <row r="50" spans="1:1" x14ac:dyDescent="0.25">
      <c r="A50" s="229"/>
    </row>
    <row r="51" spans="1:1" x14ac:dyDescent="0.25">
      <c r="A51" s="229"/>
    </row>
    <row r="52" spans="1:1" x14ac:dyDescent="0.25">
      <c r="A52" s="229"/>
    </row>
    <row r="53" spans="1:1" x14ac:dyDescent="0.25">
      <c r="A53" s="229"/>
    </row>
    <row r="54" spans="1:1" x14ac:dyDescent="0.25">
      <c r="A54" s="230"/>
    </row>
    <row r="55" spans="1:1" x14ac:dyDescent="0.25">
      <c r="A55" s="229"/>
    </row>
    <row r="56" spans="1:1" x14ac:dyDescent="0.25">
      <c r="A56" s="229"/>
    </row>
    <row r="57" spans="1:1" x14ac:dyDescent="0.25">
      <c r="A57" s="229"/>
    </row>
    <row r="58" spans="1:1" x14ac:dyDescent="0.25">
      <c r="A58" s="229"/>
    </row>
    <row r="59" spans="1:1" x14ac:dyDescent="0.25">
      <c r="A59" s="229"/>
    </row>
    <row r="60" spans="1:1" x14ac:dyDescent="0.25">
      <c r="A60" s="229"/>
    </row>
    <row r="61" spans="1:1" x14ac:dyDescent="0.25">
      <c r="A61" s="229"/>
    </row>
    <row r="62" spans="1:1" x14ac:dyDescent="0.25">
      <c r="A62" s="229"/>
    </row>
    <row r="63" spans="1:1" x14ac:dyDescent="0.25">
      <c r="A63" s="229"/>
    </row>
    <row r="64" spans="1:1" x14ac:dyDescent="0.25">
      <c r="A64" s="229"/>
    </row>
    <row r="65" spans="1:1" x14ac:dyDescent="0.25">
      <c r="A65" s="229"/>
    </row>
    <row r="66" spans="1:1" x14ac:dyDescent="0.25">
      <c r="A66" s="229"/>
    </row>
    <row r="67" spans="1:1" x14ac:dyDescent="0.25">
      <c r="A67" s="229"/>
    </row>
    <row r="68" spans="1:1" x14ac:dyDescent="0.25">
      <c r="A68" s="229"/>
    </row>
    <row r="69" spans="1:1" ht="18.75" x14ac:dyDescent="0.25">
      <c r="A69" s="231"/>
    </row>
  </sheetData>
  <conditionalFormatting sqref="A1:A1048576">
    <cfRule type="duplicateValues" dxfId="281" priority="1"/>
  </conditionalFormatting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77A8-D0E7-4807-964D-17CE9D4C25D0}">
  <sheetPr codeName="Feuil6" filterMode="1">
    <tabColor theme="9" tint="-0.249977111117893"/>
  </sheetPr>
  <dimension ref="A1:K61"/>
  <sheetViews>
    <sheetView workbookViewId="0">
      <selection activeCell="C26" sqref="A1:K61"/>
    </sheetView>
  </sheetViews>
  <sheetFormatPr baseColWidth="10" defaultColWidth="11.42578125" defaultRowHeight="15" x14ac:dyDescent="0.25"/>
  <cols>
    <col min="2" max="2" width="18.7109375" style="105" customWidth="1"/>
    <col min="3" max="3" width="33.7109375" style="105" customWidth="1"/>
    <col min="4" max="4" width="42.5703125" customWidth="1"/>
    <col min="5" max="5" width="19.85546875" style="105" customWidth="1"/>
    <col min="7" max="7" width="11.42578125" style="202"/>
    <col min="10" max="10" width="15.5703125" customWidth="1"/>
    <col min="11" max="11" width="6.85546875" style="105" customWidth="1"/>
  </cols>
  <sheetData>
    <row r="1" spans="1:10" ht="16.5" thickBot="1" x14ac:dyDescent="0.3">
      <c r="A1" s="762" t="s">
        <v>1644</v>
      </c>
      <c r="B1" s="762"/>
      <c r="C1" s="164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45275</v>
      </c>
      <c r="E2" s="4">
        <f ca="1">TODAY()</f>
        <v>46096</v>
      </c>
      <c r="F2" s="5">
        <f ca="1">E2-D2</f>
        <v>821</v>
      </c>
    </row>
    <row r="3" spans="1:10" ht="30.75" customHeight="1" x14ac:dyDescent="0.25">
      <c r="A3" s="730"/>
      <c r="B3" s="730"/>
      <c r="C3" s="203"/>
      <c r="D3" s="105"/>
    </row>
    <row r="4" spans="1:10" x14ac:dyDescent="0.25">
      <c r="A4" s="267" t="s">
        <v>1</v>
      </c>
      <c r="B4" s="267" t="s">
        <v>87</v>
      </c>
      <c r="C4" s="267" t="s">
        <v>1620</v>
      </c>
      <c r="D4" s="267" t="s">
        <v>7</v>
      </c>
      <c r="E4" s="267" t="s">
        <v>1514</v>
      </c>
      <c r="F4" s="267" t="s">
        <v>8</v>
      </c>
      <c r="G4" s="794" t="s">
        <v>11</v>
      </c>
      <c r="H4" s="794"/>
      <c r="I4" s="794"/>
      <c r="J4" s="794"/>
    </row>
    <row r="5" spans="1:10" ht="18.75" x14ac:dyDescent="0.25">
      <c r="A5" s="266">
        <v>1</v>
      </c>
      <c r="B5" s="247">
        <v>4114579890</v>
      </c>
      <c r="C5" s="247" t="s">
        <v>1545</v>
      </c>
      <c r="D5" s="275" t="str">
        <f>IF(E5="",IF($F$2&lt;=15,"EnattentedeRetrait","EnAttented'unRetraitTardif"),IF(E5-$D$2&lt;=15,"Rétirédanslesdélais",IF(E5-$D$2&gt;15,"Rétirétardivement-30000FCFAamende")))</f>
        <v>Rétirétardivement-30000FCFAamende</v>
      </c>
      <c r="E5" s="201">
        <v>45303</v>
      </c>
      <c r="F5" s="206">
        <v>0</v>
      </c>
      <c r="G5" s="760" t="s">
        <v>1143</v>
      </c>
      <c r="H5" s="760"/>
      <c r="I5" s="760"/>
      <c r="J5" s="760"/>
    </row>
    <row r="6" spans="1:10" ht="18.75" hidden="1" x14ac:dyDescent="0.25">
      <c r="A6" s="266">
        <v>2</v>
      </c>
      <c r="B6" s="247">
        <v>4114582731</v>
      </c>
      <c r="C6" s="247" t="s">
        <v>38</v>
      </c>
      <c r="D6" s="264" t="str">
        <f t="shared" ref="D6:D32" si="0">IF(E6="",IF($F$2&lt;=15,"En attente de Retrait","En Attente d'un Retrait Tardif"),IF(E6-$D$2&lt;=15,"Rétiré dans les délais",IF(E6-$D$2&gt;15,"Rétiré tardivement-30000FCFA amende")))</f>
        <v>Rétiré dans les délais</v>
      </c>
      <c r="E6" s="201">
        <v>45286</v>
      </c>
      <c r="F6" s="206">
        <v>0</v>
      </c>
      <c r="G6" s="760" t="s">
        <v>45</v>
      </c>
      <c r="H6" s="760"/>
      <c r="I6" s="760"/>
      <c r="J6" s="760"/>
    </row>
    <row r="7" spans="1:10" ht="18.75" hidden="1" x14ac:dyDescent="0.25">
      <c r="A7" s="266">
        <v>3</v>
      </c>
      <c r="B7" s="247">
        <v>4114644610</v>
      </c>
      <c r="C7" s="247" t="s">
        <v>56</v>
      </c>
      <c r="D7" s="264" t="str">
        <f t="shared" si="0"/>
        <v>Rétiré dans les délais</v>
      </c>
      <c r="E7" s="201">
        <v>45280</v>
      </c>
      <c r="F7" s="206">
        <v>0</v>
      </c>
      <c r="G7" s="760" t="s">
        <v>45</v>
      </c>
      <c r="H7" s="760"/>
      <c r="I7" s="760"/>
      <c r="J7" s="760"/>
    </row>
    <row r="8" spans="1:10" ht="18.75" hidden="1" x14ac:dyDescent="0.25">
      <c r="A8" s="266">
        <v>4</v>
      </c>
      <c r="B8" s="247">
        <v>4114639510</v>
      </c>
      <c r="C8" s="247" t="s">
        <v>56</v>
      </c>
      <c r="D8" s="264" t="str">
        <f t="shared" si="0"/>
        <v>Rétiré dans les délais</v>
      </c>
      <c r="E8" s="201">
        <v>45280</v>
      </c>
      <c r="F8" s="206">
        <v>0</v>
      </c>
      <c r="G8" s="760" t="s">
        <v>45</v>
      </c>
      <c r="H8" s="760"/>
      <c r="I8" s="760"/>
      <c r="J8" s="760"/>
    </row>
    <row r="9" spans="1:10" ht="18.75" hidden="1" x14ac:dyDescent="0.25">
      <c r="A9" s="266">
        <v>5</v>
      </c>
      <c r="B9" s="247">
        <v>4114639410</v>
      </c>
      <c r="C9" s="247" t="s">
        <v>56</v>
      </c>
      <c r="D9" s="264" t="str">
        <f t="shared" si="0"/>
        <v>Rétiré dans les délais</v>
      </c>
      <c r="E9" s="201">
        <v>45280</v>
      </c>
      <c r="F9" s="206">
        <v>0</v>
      </c>
      <c r="G9" s="760" t="s">
        <v>45</v>
      </c>
      <c r="H9" s="760"/>
      <c r="I9" s="760"/>
      <c r="J9" s="760"/>
    </row>
    <row r="10" spans="1:10" ht="18.75" hidden="1" x14ac:dyDescent="0.25">
      <c r="A10" s="266">
        <v>6</v>
      </c>
      <c r="B10" s="247">
        <v>4114639310</v>
      </c>
      <c r="C10" s="247" t="s">
        <v>56</v>
      </c>
      <c r="D10" s="264" t="str">
        <f t="shared" si="0"/>
        <v>Rétiré dans les délais</v>
      </c>
      <c r="E10" s="201">
        <v>45280</v>
      </c>
      <c r="F10" s="206">
        <v>0</v>
      </c>
      <c r="G10" s="760" t="s">
        <v>45</v>
      </c>
      <c r="H10" s="760"/>
      <c r="I10" s="760"/>
      <c r="J10" s="760"/>
    </row>
    <row r="11" spans="1:10" ht="18.75" hidden="1" x14ac:dyDescent="0.25">
      <c r="A11" s="266">
        <v>7</v>
      </c>
      <c r="B11" s="247">
        <v>4114639530</v>
      </c>
      <c r="C11" s="247" t="s">
        <v>56</v>
      </c>
      <c r="D11" s="264" t="str">
        <f t="shared" si="0"/>
        <v>Rétiré dans les délais</v>
      </c>
      <c r="E11" s="201">
        <v>45280</v>
      </c>
      <c r="F11" s="206">
        <v>0</v>
      </c>
      <c r="G11" s="760" t="s">
        <v>45</v>
      </c>
      <c r="H11" s="760"/>
      <c r="I11" s="760"/>
      <c r="J11" s="760"/>
    </row>
    <row r="12" spans="1:10" ht="18.75" hidden="1" x14ac:dyDescent="0.25">
      <c r="A12" s="266">
        <v>8</v>
      </c>
      <c r="B12" s="247">
        <v>4114639350</v>
      </c>
      <c r="C12" s="247" t="s">
        <v>56</v>
      </c>
      <c r="D12" s="264" t="str">
        <f t="shared" si="0"/>
        <v>Rétiré dans les délais</v>
      </c>
      <c r="E12" s="201">
        <v>45280</v>
      </c>
      <c r="F12" s="206">
        <v>0</v>
      </c>
      <c r="G12" s="760" t="s">
        <v>45</v>
      </c>
      <c r="H12" s="760"/>
      <c r="I12" s="760"/>
      <c r="J12" s="760"/>
    </row>
    <row r="13" spans="1:10" ht="18.75" hidden="1" x14ac:dyDescent="0.25">
      <c r="A13" s="266">
        <v>9</v>
      </c>
      <c r="B13" s="247">
        <v>4114639420</v>
      </c>
      <c r="C13" s="247" t="s">
        <v>56</v>
      </c>
      <c r="D13" s="264" t="str">
        <f t="shared" si="0"/>
        <v>Rétiré dans les délais</v>
      </c>
      <c r="E13" s="201">
        <v>45280</v>
      </c>
      <c r="F13" s="206">
        <v>0</v>
      </c>
      <c r="G13" s="760" t="s">
        <v>45</v>
      </c>
      <c r="H13" s="760"/>
      <c r="I13" s="760"/>
      <c r="J13" s="760"/>
    </row>
    <row r="14" spans="1:10" ht="18.75" hidden="1" x14ac:dyDescent="0.25">
      <c r="A14" s="266">
        <v>10</v>
      </c>
      <c r="B14" s="247">
        <v>4114639440</v>
      </c>
      <c r="C14" s="247" t="s">
        <v>56</v>
      </c>
      <c r="D14" s="264" t="str">
        <f t="shared" si="0"/>
        <v>Rétiré dans les délais</v>
      </c>
      <c r="E14" s="201">
        <v>45280</v>
      </c>
      <c r="F14" s="206">
        <v>0</v>
      </c>
      <c r="G14" s="760" t="s">
        <v>45</v>
      </c>
      <c r="H14" s="760"/>
      <c r="I14" s="760"/>
      <c r="J14" s="760"/>
    </row>
    <row r="15" spans="1:10" ht="18.75" hidden="1" x14ac:dyDescent="0.25">
      <c r="A15" s="266">
        <v>11</v>
      </c>
      <c r="B15" s="247">
        <v>4114639320</v>
      </c>
      <c r="C15" s="247" t="s">
        <v>56</v>
      </c>
      <c r="D15" s="264" t="str">
        <f t="shared" si="0"/>
        <v>Rétiré dans les délais</v>
      </c>
      <c r="E15" s="201">
        <v>45280</v>
      </c>
      <c r="F15" s="206">
        <v>0</v>
      </c>
      <c r="G15" s="760" t="s">
        <v>45</v>
      </c>
      <c r="H15" s="760"/>
      <c r="I15" s="760"/>
      <c r="J15" s="760"/>
    </row>
    <row r="16" spans="1:10" ht="18.75" hidden="1" x14ac:dyDescent="0.25">
      <c r="A16" s="266">
        <v>12</v>
      </c>
      <c r="B16" s="247">
        <v>4114639460</v>
      </c>
      <c r="C16" s="247" t="s">
        <v>56</v>
      </c>
      <c r="D16" s="264" t="str">
        <f t="shared" si="0"/>
        <v>Rétiré dans les délais</v>
      </c>
      <c r="E16" s="201">
        <v>45280</v>
      </c>
      <c r="F16" s="206">
        <v>0</v>
      </c>
      <c r="G16" s="760" t="s">
        <v>45</v>
      </c>
      <c r="H16" s="760"/>
      <c r="I16" s="760"/>
      <c r="J16" s="760"/>
    </row>
    <row r="17" spans="1:11" ht="18.75" hidden="1" x14ac:dyDescent="0.25">
      <c r="A17" s="266">
        <v>13</v>
      </c>
      <c r="B17" s="247">
        <v>4114639480</v>
      </c>
      <c r="C17" s="247" t="s">
        <v>56</v>
      </c>
      <c r="D17" s="264" t="str">
        <f t="shared" si="0"/>
        <v>Rétiré dans les délais</v>
      </c>
      <c r="E17" s="201">
        <v>45280</v>
      </c>
      <c r="F17" s="206">
        <v>0</v>
      </c>
      <c r="G17" s="760" t="s">
        <v>45</v>
      </c>
      <c r="H17" s="760"/>
      <c r="I17" s="760"/>
      <c r="J17" s="760"/>
    </row>
    <row r="18" spans="1:11" ht="18.75" hidden="1" x14ac:dyDescent="0.25">
      <c r="A18" s="266">
        <v>14</v>
      </c>
      <c r="B18" s="247">
        <v>2144057630</v>
      </c>
      <c r="C18" s="247" t="s">
        <v>55</v>
      </c>
      <c r="D18" s="264" t="str">
        <f t="shared" si="0"/>
        <v>Rétiré dans les délais</v>
      </c>
      <c r="E18" s="201">
        <v>45279</v>
      </c>
      <c r="F18" s="206">
        <v>0</v>
      </c>
      <c r="G18" s="760" t="s">
        <v>45</v>
      </c>
      <c r="H18" s="760"/>
      <c r="I18" s="760"/>
      <c r="J18" s="760"/>
    </row>
    <row r="19" spans="1:11" ht="18.75" hidden="1" x14ac:dyDescent="0.25">
      <c r="A19" s="266">
        <v>15</v>
      </c>
      <c r="B19" s="247">
        <v>4114622910</v>
      </c>
      <c r="C19" s="247" t="s">
        <v>108</v>
      </c>
      <c r="D19" s="264" t="str">
        <f t="shared" si="0"/>
        <v>Rétiré dans les délais</v>
      </c>
      <c r="E19" s="201">
        <v>45278</v>
      </c>
      <c r="F19" s="206">
        <v>0</v>
      </c>
      <c r="G19" s="760" t="s">
        <v>109</v>
      </c>
      <c r="H19" s="760"/>
      <c r="I19" s="760"/>
      <c r="J19" s="760"/>
      <c r="K19" s="105" t="s">
        <v>17</v>
      </c>
    </row>
    <row r="20" spans="1:11" ht="18.75" hidden="1" x14ac:dyDescent="0.25">
      <c r="A20" s="266">
        <v>16</v>
      </c>
      <c r="B20" s="247">
        <v>4114642210</v>
      </c>
      <c r="C20" s="247" t="s">
        <v>51</v>
      </c>
      <c r="D20" s="264" t="str">
        <f t="shared" si="0"/>
        <v>Rétiré dans les délais</v>
      </c>
      <c r="E20" s="201">
        <v>45279</v>
      </c>
      <c r="F20" s="206">
        <v>0</v>
      </c>
      <c r="G20" s="760" t="s">
        <v>13</v>
      </c>
      <c r="H20" s="760"/>
      <c r="I20" s="760"/>
      <c r="J20" s="760"/>
    </row>
    <row r="21" spans="1:11" ht="18.75" hidden="1" x14ac:dyDescent="0.25">
      <c r="A21" s="266">
        <v>17</v>
      </c>
      <c r="B21" s="247">
        <v>4114633980</v>
      </c>
      <c r="C21" s="247" t="s">
        <v>38</v>
      </c>
      <c r="D21" s="264" t="str">
        <f t="shared" si="0"/>
        <v>Rétiré dans les délais</v>
      </c>
      <c r="E21" s="201">
        <v>45281</v>
      </c>
      <c r="F21" s="206">
        <v>0</v>
      </c>
      <c r="G21" s="760" t="s">
        <v>45</v>
      </c>
      <c r="H21" s="760"/>
      <c r="I21" s="760"/>
      <c r="J21" s="760"/>
    </row>
    <row r="22" spans="1:11" ht="18.75" hidden="1" x14ac:dyDescent="0.25">
      <c r="A22" s="266">
        <v>18</v>
      </c>
      <c r="B22" s="247">
        <v>4114635830</v>
      </c>
      <c r="C22" s="247" t="s">
        <v>110</v>
      </c>
      <c r="D22" s="264" t="str">
        <f t="shared" si="0"/>
        <v>Rétiré dans les délais</v>
      </c>
      <c r="E22" s="273">
        <v>45280</v>
      </c>
      <c r="F22" s="206">
        <v>0</v>
      </c>
      <c r="G22" s="760" t="s">
        <v>13</v>
      </c>
      <c r="H22" s="760"/>
      <c r="I22" s="760"/>
      <c r="J22" s="760"/>
    </row>
    <row r="23" spans="1:11" ht="18.75" hidden="1" x14ac:dyDescent="0.25">
      <c r="A23" s="266">
        <v>19</v>
      </c>
      <c r="B23" s="247">
        <v>4112834220</v>
      </c>
      <c r="C23" s="247" t="s">
        <v>22</v>
      </c>
      <c r="D23" s="264" t="str">
        <f t="shared" si="0"/>
        <v>Rétiré dans les délais</v>
      </c>
      <c r="E23" s="273">
        <v>45279</v>
      </c>
      <c r="F23" s="206">
        <v>0</v>
      </c>
      <c r="G23" s="760" t="s">
        <v>111</v>
      </c>
      <c r="H23" s="760"/>
      <c r="I23" s="760"/>
      <c r="J23" s="760"/>
    </row>
    <row r="24" spans="1:11" s="23" customFormat="1" ht="18.75" hidden="1" x14ac:dyDescent="0.25">
      <c r="A24" s="266">
        <v>20</v>
      </c>
      <c r="B24" s="247">
        <v>4114640990</v>
      </c>
      <c r="C24" s="247" t="s">
        <v>25</v>
      </c>
      <c r="D24" s="264" t="str">
        <f t="shared" si="0"/>
        <v>Rétiré dans les délais</v>
      </c>
      <c r="E24" s="273">
        <v>45279</v>
      </c>
      <c r="F24" s="206">
        <v>0</v>
      </c>
      <c r="G24" s="760" t="s">
        <v>45</v>
      </c>
      <c r="H24" s="760"/>
      <c r="I24" s="760"/>
      <c r="J24" s="760"/>
      <c r="K24" s="60"/>
    </row>
    <row r="25" spans="1:11" s="23" customFormat="1" ht="18.75" hidden="1" x14ac:dyDescent="0.25">
      <c r="A25" s="266">
        <v>21</v>
      </c>
      <c r="B25" s="247">
        <v>4114620960</v>
      </c>
      <c r="C25" s="247" t="s">
        <v>25</v>
      </c>
      <c r="D25" s="264" t="str">
        <f t="shared" si="0"/>
        <v>Rétiré dans les délais</v>
      </c>
      <c r="E25" s="273">
        <v>45279</v>
      </c>
      <c r="F25" s="206">
        <v>0</v>
      </c>
      <c r="G25" s="760" t="s">
        <v>13</v>
      </c>
      <c r="H25" s="760"/>
      <c r="I25" s="760"/>
      <c r="J25" s="760"/>
      <c r="K25" s="60"/>
    </row>
    <row r="26" spans="1:11" ht="36.75" customHeight="1" x14ac:dyDescent="0.25">
      <c r="A26" s="266">
        <v>22</v>
      </c>
      <c r="B26" s="247">
        <v>4114602410</v>
      </c>
      <c r="C26" s="247" t="s">
        <v>1545</v>
      </c>
      <c r="D26" s="246" t="str">
        <f>IF(E26="",IF($F$2&lt;=15,"EnattentedeRetrait","EnAttented'unRetraitTardif"),IF(E26-$D$2&lt;=15,"Rétirédanslesdélais",IF(E26-$D$2&gt;15,"Rétirétardivement-30000FCFAamende")))</f>
        <v>Rétirétardivement-30000FCFAamende</v>
      </c>
      <c r="E26" s="273">
        <v>45303</v>
      </c>
      <c r="F26" s="206">
        <v>0</v>
      </c>
      <c r="G26" s="795" t="s">
        <v>1645</v>
      </c>
      <c r="H26" s="795"/>
      <c r="I26" s="795"/>
      <c r="J26" s="795"/>
    </row>
    <row r="27" spans="1:11" ht="18.75" hidden="1" x14ac:dyDescent="0.3">
      <c r="A27" s="266">
        <v>23</v>
      </c>
      <c r="B27" s="247">
        <v>2144388550</v>
      </c>
      <c r="C27" s="247" t="s">
        <v>112</v>
      </c>
      <c r="D27" s="264" t="str">
        <f t="shared" si="0"/>
        <v>Rétiré dans les délais</v>
      </c>
      <c r="E27" s="273">
        <v>45279</v>
      </c>
      <c r="F27" s="189">
        <v>0</v>
      </c>
      <c r="G27" s="793" t="s">
        <v>45</v>
      </c>
      <c r="H27" s="793"/>
      <c r="I27" s="793"/>
      <c r="J27" s="793"/>
    </row>
    <row r="28" spans="1:11" ht="18.75" hidden="1" x14ac:dyDescent="0.3">
      <c r="A28" s="266">
        <v>24</v>
      </c>
      <c r="B28" s="247">
        <v>2144388570</v>
      </c>
      <c r="C28" s="247" t="s">
        <v>112</v>
      </c>
      <c r="D28" s="264" t="str">
        <f t="shared" si="0"/>
        <v>Rétiré dans les délais</v>
      </c>
      <c r="E28" s="273">
        <v>45279</v>
      </c>
      <c r="F28" s="189">
        <v>0</v>
      </c>
      <c r="G28" s="793" t="s">
        <v>45</v>
      </c>
      <c r="H28" s="793"/>
      <c r="I28" s="793"/>
      <c r="J28" s="793"/>
    </row>
    <row r="29" spans="1:11" ht="18.75" hidden="1" x14ac:dyDescent="0.3">
      <c r="A29" s="266">
        <v>25</v>
      </c>
      <c r="B29" s="247">
        <v>4114648210</v>
      </c>
      <c r="C29" s="247" t="s">
        <v>47</v>
      </c>
      <c r="D29" s="264" t="str">
        <f t="shared" si="0"/>
        <v>Rétiré dans les délais</v>
      </c>
      <c r="E29" s="273">
        <v>45280</v>
      </c>
      <c r="F29" s="189">
        <v>0</v>
      </c>
      <c r="G29" s="793" t="s">
        <v>113</v>
      </c>
      <c r="H29" s="793"/>
      <c r="I29" s="793"/>
      <c r="J29" s="793"/>
    </row>
    <row r="30" spans="1:11" ht="18.75" hidden="1" x14ac:dyDescent="0.3">
      <c r="A30" s="266">
        <v>26</v>
      </c>
      <c r="B30" s="247">
        <v>4114648200</v>
      </c>
      <c r="C30" s="247" t="s">
        <v>47</v>
      </c>
      <c r="D30" s="264" t="str">
        <f t="shared" si="0"/>
        <v>Rétiré dans les délais</v>
      </c>
      <c r="E30" s="273">
        <v>45280</v>
      </c>
      <c r="F30" s="189">
        <v>0</v>
      </c>
      <c r="G30" s="793" t="s">
        <v>113</v>
      </c>
      <c r="H30" s="793"/>
      <c r="I30" s="793"/>
      <c r="J30" s="793"/>
    </row>
    <row r="31" spans="1:11" ht="18.75" hidden="1" x14ac:dyDescent="0.3">
      <c r="A31" s="266">
        <v>27</v>
      </c>
      <c r="B31" s="247">
        <v>4114650130</v>
      </c>
      <c r="C31" s="247" t="s">
        <v>41</v>
      </c>
      <c r="D31" s="264" t="str">
        <f t="shared" si="0"/>
        <v>Rétiré dans les délais</v>
      </c>
      <c r="E31" s="273">
        <v>45289</v>
      </c>
      <c r="F31" s="189">
        <v>0</v>
      </c>
      <c r="G31" s="793" t="s">
        <v>45</v>
      </c>
      <c r="H31" s="793"/>
      <c r="I31" s="793"/>
      <c r="J31" s="793"/>
    </row>
    <row r="32" spans="1:11" s="23" customFormat="1" ht="18.75" hidden="1" x14ac:dyDescent="0.3">
      <c r="A32" s="266">
        <v>28</v>
      </c>
      <c r="B32" s="247">
        <v>4114649850</v>
      </c>
      <c r="C32" s="247" t="s">
        <v>50</v>
      </c>
      <c r="D32" s="264" t="str">
        <f t="shared" si="0"/>
        <v>Rétiré dans les délais</v>
      </c>
      <c r="E32" s="274">
        <v>45281</v>
      </c>
      <c r="F32" s="189">
        <v>0</v>
      </c>
      <c r="G32" s="792" t="s">
        <v>114</v>
      </c>
      <c r="H32" s="792"/>
      <c r="I32" s="792"/>
      <c r="J32" s="792"/>
      <c r="K32" s="60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</sheetData>
  <autoFilter ref="A4:J32" xr:uid="{4FFF77A8-D0E7-4807-964D-17CE9D4C25D0}">
    <filterColumn colId="2">
      <filters>
        <filter val="Foods Company"/>
      </filters>
    </filterColumn>
    <filterColumn colId="6" showButton="0"/>
    <filterColumn colId="7" showButton="0"/>
    <filterColumn colId="8" showButton="0"/>
  </autoFilter>
  <mergeCells count="33">
    <mergeCell ref="G21:J21"/>
    <mergeCell ref="G26:J26"/>
    <mergeCell ref="G22:J22"/>
    <mergeCell ref="G23:J23"/>
    <mergeCell ref="G24:J24"/>
    <mergeCell ref="G25:J25"/>
    <mergeCell ref="G15:J15"/>
    <mergeCell ref="G16:J16"/>
    <mergeCell ref="G18:J18"/>
    <mergeCell ref="G19:J19"/>
    <mergeCell ref="G20:J20"/>
    <mergeCell ref="A1:B1"/>
    <mergeCell ref="D1:E1"/>
    <mergeCell ref="A2:B2"/>
    <mergeCell ref="G4:J4"/>
    <mergeCell ref="G5:J5"/>
    <mergeCell ref="A3:B3"/>
    <mergeCell ref="G6:J6"/>
    <mergeCell ref="G32:J32"/>
    <mergeCell ref="G27:J27"/>
    <mergeCell ref="G28:J28"/>
    <mergeCell ref="G29:J29"/>
    <mergeCell ref="G30:J30"/>
    <mergeCell ref="G31:J31"/>
    <mergeCell ref="G17:J17"/>
    <mergeCell ref="G7:J7"/>
    <mergeCell ref="G8:J8"/>
    <mergeCell ref="G9:J9"/>
    <mergeCell ref="G10:J10"/>
    <mergeCell ref="G11:J11"/>
    <mergeCell ref="G12:J12"/>
    <mergeCell ref="G13:J13"/>
    <mergeCell ref="G14:J14"/>
  </mergeCells>
  <conditionalFormatting sqref="B1:B1048576">
    <cfRule type="duplicateValues" dxfId="280" priority="1"/>
  </conditionalFormatting>
  <conditionalFormatting sqref="D5:D32">
    <cfRule type="containsText" dxfId="279" priority="2" operator="containsText" text="En Attente d'un Retrait Tardif">
      <formula>NOT(ISERROR(SEARCH("En Attente d'un Retrait Tardif",D5)))</formula>
    </cfRule>
    <cfRule type="containsText" dxfId="278" priority="3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8B69-ED35-4E70-828F-6826A3A8E165}">
  <sheetPr codeName="Feuil7">
    <tabColor theme="9" tint="-0.249977111117893"/>
  </sheetPr>
  <dimension ref="A1:L15"/>
  <sheetViews>
    <sheetView workbookViewId="0">
      <selection activeCell="G26" sqref="G26"/>
    </sheetView>
  </sheetViews>
  <sheetFormatPr baseColWidth="10" defaultColWidth="11.42578125" defaultRowHeight="15" x14ac:dyDescent="0.25"/>
  <cols>
    <col min="1" max="1" width="9.7109375" customWidth="1"/>
    <col min="2" max="2" width="24.140625" customWidth="1"/>
    <col min="3" max="3" width="48.28515625" customWidth="1"/>
    <col min="4" max="4" width="39.85546875" customWidth="1"/>
    <col min="5" max="5" width="18.85546875" customWidth="1"/>
    <col min="7" max="7" width="29.28515625" customWidth="1"/>
    <col min="8" max="10" width="11.42578125" hidden="1" customWidth="1"/>
    <col min="11" max="11" width="7.85546875" customWidth="1"/>
  </cols>
  <sheetData>
    <row r="1" spans="1:12" ht="16.5" thickBot="1" x14ac:dyDescent="0.3">
      <c r="A1" s="762" t="s">
        <v>1646</v>
      </c>
      <c r="B1" s="762"/>
      <c r="C1" s="59"/>
      <c r="D1" s="163"/>
      <c r="E1" s="163"/>
    </row>
    <row r="2" spans="1:12" ht="24" thickBot="1" x14ac:dyDescent="0.3">
      <c r="A2" s="24" t="s">
        <v>0</v>
      </c>
      <c r="B2" s="24"/>
      <c r="C2" s="60"/>
      <c r="D2" s="13">
        <v>45268</v>
      </c>
      <c r="E2" s="4">
        <f ca="1">TODAY()</f>
        <v>46096</v>
      </c>
      <c r="F2" s="5">
        <f ca="1">E2-D2</f>
        <v>828</v>
      </c>
    </row>
    <row r="3" spans="1:12" ht="24" thickBot="1" x14ac:dyDescent="0.35">
      <c r="A3" s="24" t="s">
        <v>88</v>
      </c>
      <c r="B3" s="204">
        <v>45266</v>
      </c>
      <c r="D3" s="105"/>
    </row>
    <row r="4" spans="1:12" ht="15.75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 t="s">
        <v>1514</v>
      </c>
      <c r="F4" s="41" t="s">
        <v>8</v>
      </c>
      <c r="G4" s="165" t="s">
        <v>11</v>
      </c>
      <c r="H4" s="165"/>
      <c r="I4" s="165"/>
      <c r="J4" s="166"/>
    </row>
    <row r="5" spans="1:12" ht="19.5" thickBot="1" x14ac:dyDescent="0.35">
      <c r="A5" s="205">
        <v>1</v>
      </c>
      <c r="B5" s="189">
        <v>4114640890</v>
      </c>
      <c r="C5" s="189" t="s">
        <v>1141</v>
      </c>
      <c r="D5" s="246" t="str">
        <f t="shared" ref="D5:D15" si="0">IF(E5="",IF($F$2&lt;=15,"EnattentedeRetrait","EnAttented'unRetraitTardif"),IF(E5-$D$2&lt;=15,"Rétirédanslesdélais",IF(E5-$D$2&gt;15,"Rétirétardivement-30000FCFAamende")))</f>
        <v>Rétirédanslesdélais</v>
      </c>
      <c r="E5" s="245">
        <v>45280</v>
      </c>
      <c r="F5" s="189">
        <v>0</v>
      </c>
      <c r="G5" s="189" t="s">
        <v>1207</v>
      </c>
      <c r="H5" s="199"/>
      <c r="K5" s="207" t="s">
        <v>115</v>
      </c>
    </row>
    <row r="6" spans="1:12" ht="19.5" thickBot="1" x14ac:dyDescent="0.35">
      <c r="A6" s="205">
        <v>2</v>
      </c>
      <c r="B6" s="189">
        <v>4114633910</v>
      </c>
      <c r="C6" s="189" t="s">
        <v>1499</v>
      </c>
      <c r="D6" s="246" t="str">
        <f t="shared" si="0"/>
        <v>Rétirédanslesdélais</v>
      </c>
      <c r="E6" s="245">
        <v>45274</v>
      </c>
      <c r="F6" s="189">
        <v>0</v>
      </c>
      <c r="G6" s="189" t="s">
        <v>1143</v>
      </c>
      <c r="H6" s="199"/>
      <c r="K6" s="207" t="s">
        <v>116</v>
      </c>
    </row>
    <row r="7" spans="1:12" ht="19.5" thickBot="1" x14ac:dyDescent="0.35">
      <c r="A7" s="205">
        <v>3</v>
      </c>
      <c r="B7" s="189">
        <v>4114640920</v>
      </c>
      <c r="C7" s="189" t="s">
        <v>1141</v>
      </c>
      <c r="D7" s="246" t="str">
        <f t="shared" si="0"/>
        <v>Rétirédanslesdélais</v>
      </c>
      <c r="E7" s="245">
        <v>45273</v>
      </c>
      <c r="F7" s="189">
        <v>0</v>
      </c>
      <c r="G7" s="189" t="s">
        <v>1207</v>
      </c>
      <c r="H7" s="199"/>
      <c r="K7" s="207" t="s">
        <v>115</v>
      </c>
    </row>
    <row r="8" spans="1:12" ht="19.5" thickBot="1" x14ac:dyDescent="0.35">
      <c r="A8" s="205">
        <v>4</v>
      </c>
      <c r="B8" s="189">
        <v>4114649600</v>
      </c>
      <c r="C8" s="189" t="s">
        <v>1518</v>
      </c>
      <c r="D8" s="246" t="str">
        <f t="shared" si="0"/>
        <v>Rétirétardivement-30000FCFAamende</v>
      </c>
      <c r="E8" s="245">
        <v>45296</v>
      </c>
      <c r="F8" s="189">
        <v>0</v>
      </c>
      <c r="G8" s="189" t="s">
        <v>1207</v>
      </c>
      <c r="H8" s="199"/>
      <c r="K8" s="207" t="s">
        <v>117</v>
      </c>
    </row>
    <row r="9" spans="1:12" ht="19.5" thickBot="1" x14ac:dyDescent="0.35">
      <c r="A9" s="205">
        <v>5</v>
      </c>
      <c r="B9" s="189">
        <v>4114621050</v>
      </c>
      <c r="C9" s="189" t="s">
        <v>1141</v>
      </c>
      <c r="D9" s="246" t="str">
        <f t="shared" si="0"/>
        <v>Rétirédanslesdélais</v>
      </c>
      <c r="E9" s="245">
        <v>45273</v>
      </c>
      <c r="F9" s="189">
        <v>0</v>
      </c>
      <c r="G9" s="189" t="s">
        <v>1207</v>
      </c>
      <c r="H9" s="199"/>
      <c r="K9" s="207" t="s">
        <v>115</v>
      </c>
    </row>
    <row r="10" spans="1:12" ht="19.5" thickBot="1" x14ac:dyDescent="0.35">
      <c r="A10" s="205">
        <v>6</v>
      </c>
      <c r="B10" s="189">
        <v>4114621060</v>
      </c>
      <c r="C10" s="189" t="s">
        <v>1141</v>
      </c>
      <c r="D10" s="246" t="str">
        <f t="shared" si="0"/>
        <v>Rétirédanslesdélais</v>
      </c>
      <c r="E10" s="245">
        <v>45273</v>
      </c>
      <c r="F10" s="189">
        <v>0</v>
      </c>
      <c r="G10" s="189" t="s">
        <v>1207</v>
      </c>
      <c r="H10" s="199"/>
      <c r="K10" s="207" t="s">
        <v>115</v>
      </c>
    </row>
    <row r="11" spans="1:12" ht="19.5" thickBot="1" x14ac:dyDescent="0.35">
      <c r="A11" s="205">
        <v>7</v>
      </c>
      <c r="B11" s="189">
        <v>4114610210</v>
      </c>
      <c r="C11" s="189" t="s">
        <v>1157</v>
      </c>
      <c r="D11" s="246" t="str">
        <f t="shared" si="0"/>
        <v>Rétirédanslesdélais</v>
      </c>
      <c r="E11" s="245">
        <v>45272</v>
      </c>
      <c r="F11" s="189">
        <v>0</v>
      </c>
      <c r="G11" s="189" t="s">
        <v>1207</v>
      </c>
      <c r="H11" s="199"/>
      <c r="K11" s="207" t="s">
        <v>118</v>
      </c>
    </row>
    <row r="12" spans="1:12" ht="19.5" thickBot="1" x14ac:dyDescent="0.35">
      <c r="A12" s="205">
        <v>8</v>
      </c>
      <c r="B12" s="189">
        <v>4114640970</v>
      </c>
      <c r="C12" s="189" t="s">
        <v>1141</v>
      </c>
      <c r="D12" s="246" t="str">
        <f t="shared" si="0"/>
        <v>Rétirédanslesdélais</v>
      </c>
      <c r="E12" s="245">
        <v>45271</v>
      </c>
      <c r="F12" s="189">
        <v>0</v>
      </c>
      <c r="G12" s="189" t="s">
        <v>1207</v>
      </c>
      <c r="H12" s="199"/>
      <c r="K12" s="207" t="s">
        <v>115</v>
      </c>
      <c r="L12" t="s">
        <v>119</v>
      </c>
    </row>
    <row r="13" spans="1:12" ht="19.5" thickBot="1" x14ac:dyDescent="0.35">
      <c r="A13" s="205">
        <v>9</v>
      </c>
      <c r="B13" s="189">
        <v>4114620240</v>
      </c>
      <c r="C13" s="189" t="s">
        <v>1647</v>
      </c>
      <c r="D13" s="246" t="str">
        <f t="shared" si="0"/>
        <v>Rétirédanslesdélais</v>
      </c>
      <c r="E13" s="245">
        <v>45272</v>
      </c>
      <c r="F13" s="189">
        <v>0</v>
      </c>
      <c r="G13" s="189" t="s">
        <v>1207</v>
      </c>
      <c r="H13" s="199"/>
      <c r="K13" s="207" t="s">
        <v>115</v>
      </c>
    </row>
    <row r="14" spans="1:12" s="23" customFormat="1" ht="19.5" thickBot="1" x14ac:dyDescent="0.35">
      <c r="A14" s="205">
        <v>10</v>
      </c>
      <c r="B14" s="189">
        <v>4114572100</v>
      </c>
      <c r="C14" s="189" t="s">
        <v>1141</v>
      </c>
      <c r="D14" s="246" t="str">
        <f t="shared" si="0"/>
        <v>Rétirédanslesdélais</v>
      </c>
      <c r="E14" s="245">
        <v>45273</v>
      </c>
      <c r="F14" s="189">
        <v>0</v>
      </c>
      <c r="G14" s="189" t="s">
        <v>1207</v>
      </c>
      <c r="H14" s="200"/>
      <c r="K14" s="207" t="s">
        <v>115</v>
      </c>
    </row>
    <row r="15" spans="1:12" ht="18.75" x14ac:dyDescent="0.3">
      <c r="A15" s="205">
        <v>11</v>
      </c>
      <c r="B15" s="189">
        <v>4114603230</v>
      </c>
      <c r="C15" s="189" t="s">
        <v>1141</v>
      </c>
      <c r="D15" s="246" t="str">
        <f t="shared" si="0"/>
        <v>Rétirédanslesdélais</v>
      </c>
      <c r="E15" s="245">
        <v>45273</v>
      </c>
      <c r="F15" s="189">
        <v>0</v>
      </c>
      <c r="G15" s="189" t="s">
        <v>1207</v>
      </c>
      <c r="H15" s="199"/>
      <c r="K15" s="207" t="s">
        <v>115</v>
      </c>
    </row>
  </sheetData>
  <autoFilter ref="A4:G15" xr:uid="{265E8B69-ED35-4E70-828F-6826A3A8E165}"/>
  <mergeCells count="1">
    <mergeCell ref="A1:B1"/>
  </mergeCells>
  <conditionalFormatting sqref="B1:B22 B24:B1048576">
    <cfRule type="duplicateValues" dxfId="277" priority="4"/>
    <cfRule type="duplicateValues" dxfId="276" priority="239"/>
  </conditionalFormatting>
  <conditionalFormatting sqref="B1:B1048576">
    <cfRule type="duplicateValues" dxfId="275" priority="1"/>
  </conditionalFormatting>
  <conditionalFormatting sqref="B2:B4">
    <cfRule type="duplicateValues" dxfId="274" priority="12"/>
    <cfRule type="duplicateValues" dxfId="273" priority="13"/>
    <cfRule type="duplicateValues" dxfId="272" priority="14"/>
  </conditionalFormatting>
  <conditionalFormatting sqref="B6:B22 B2:B4 B24:B1048576">
    <cfRule type="duplicateValues" dxfId="271" priority="242"/>
  </conditionalFormatting>
  <conditionalFormatting sqref="D5:D15">
    <cfRule type="containsText" dxfId="270" priority="2" operator="containsText" text="En Attente d'un Retrait Tardif">
      <formula>NOT(ISERROR(SEARCH("En Attente d'un Retrait Tardif",D5)))</formula>
    </cfRule>
    <cfRule type="containsText" dxfId="269" priority="3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F7D-4793-4DEB-A89A-8DFB313AC9D2}">
  <sheetPr codeName="Feuil8">
    <tabColor theme="9" tint="-0.249977111117893"/>
  </sheetPr>
  <dimension ref="A1:J13"/>
  <sheetViews>
    <sheetView workbookViewId="0">
      <selection sqref="A1:B1"/>
    </sheetView>
  </sheetViews>
  <sheetFormatPr baseColWidth="10" defaultColWidth="11.42578125" defaultRowHeight="15" x14ac:dyDescent="0.25"/>
  <cols>
    <col min="1" max="1" width="9.28515625" customWidth="1"/>
    <col min="2" max="2" width="22.140625" customWidth="1"/>
    <col min="3" max="3" width="40.5703125" customWidth="1"/>
    <col min="4" max="4" width="27" customWidth="1"/>
    <col min="5" max="5" width="19.140625" customWidth="1"/>
    <col min="10" max="10" width="24.7109375" customWidth="1"/>
  </cols>
  <sheetData>
    <row r="1" spans="1:10" ht="16.5" thickBot="1" x14ac:dyDescent="0.3">
      <c r="A1" s="762" t="s">
        <v>1648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45258</v>
      </c>
      <c r="E2" s="4">
        <f ca="1">TODAY()</f>
        <v>46096</v>
      </c>
      <c r="F2" s="5">
        <f ca="1">E2-D2</f>
        <v>838</v>
      </c>
    </row>
    <row r="3" spans="1:10" ht="15.75" thickBot="1" x14ac:dyDescent="0.3">
      <c r="D3" s="105"/>
    </row>
    <row r="4" spans="1:10" ht="19.5" thickBot="1" x14ac:dyDescent="0.3">
      <c r="A4" s="112" t="s">
        <v>1</v>
      </c>
      <c r="B4" s="194" t="s">
        <v>87</v>
      </c>
      <c r="C4" s="195" t="s">
        <v>1620</v>
      </c>
      <c r="D4" s="196" t="s">
        <v>7</v>
      </c>
      <c r="E4" s="197" t="s">
        <v>1514</v>
      </c>
      <c r="F4" s="198" t="s">
        <v>8</v>
      </c>
      <c r="G4" s="780" t="s">
        <v>11</v>
      </c>
      <c r="H4" s="780"/>
      <c r="I4" s="780"/>
      <c r="J4" s="781"/>
    </row>
    <row r="5" spans="1:10" ht="19.5" thickBot="1" x14ac:dyDescent="0.35">
      <c r="A5" s="162">
        <v>1</v>
      </c>
      <c r="B5" s="189">
        <v>4114614700</v>
      </c>
      <c r="C5" s="189" t="s">
        <v>1158</v>
      </c>
      <c r="D5" s="190" t="str">
        <f t="shared" ref="D5:D13" si="0">IF(E5="",IF($F$2&lt;=15,"EnattentedeRetrait","EnAttented'unRetraitTardif"),IF(E5-$D$2&lt;=15,"Rétirédanslesdélais",IF(E5-$D$2&gt;15,"Rétirétardivement-30000FCFAamende")))</f>
        <v>Rétirédanslesdélais</v>
      </c>
      <c r="E5" s="269">
        <v>45260</v>
      </c>
      <c r="F5" s="172">
        <v>0</v>
      </c>
      <c r="G5" s="785" t="s">
        <v>1245</v>
      </c>
      <c r="H5" s="760"/>
      <c r="I5" s="760"/>
      <c r="J5" s="779"/>
    </row>
    <row r="6" spans="1:10" ht="19.5" thickBot="1" x14ac:dyDescent="0.35">
      <c r="A6" s="162">
        <v>2</v>
      </c>
      <c r="B6" s="189">
        <v>4114615410</v>
      </c>
      <c r="C6" s="189" t="s">
        <v>53</v>
      </c>
      <c r="D6" s="190" t="str">
        <f t="shared" si="0"/>
        <v>Rétirédanslesdélais</v>
      </c>
      <c r="E6" s="269">
        <v>45260</v>
      </c>
      <c r="F6" s="172">
        <v>0</v>
      </c>
      <c r="G6" s="785" t="s">
        <v>1245</v>
      </c>
      <c r="H6" s="760"/>
      <c r="I6" s="760"/>
      <c r="J6" s="779"/>
    </row>
    <row r="7" spans="1:10" ht="19.5" thickBot="1" x14ac:dyDescent="0.35">
      <c r="A7" s="162">
        <v>3</v>
      </c>
      <c r="B7" s="189">
        <v>4114577660</v>
      </c>
      <c r="C7" s="189" t="s">
        <v>53</v>
      </c>
      <c r="D7" s="190" t="str">
        <f t="shared" si="0"/>
        <v>Rétirédanslesdélais</v>
      </c>
      <c r="E7" s="269">
        <v>45260</v>
      </c>
      <c r="F7" s="172">
        <v>0</v>
      </c>
      <c r="G7" s="785" t="s">
        <v>1245</v>
      </c>
      <c r="H7" s="760"/>
      <c r="I7" s="760"/>
      <c r="J7" s="779"/>
    </row>
    <row r="8" spans="1:10" s="23" customFormat="1" ht="19.5" thickBot="1" x14ac:dyDescent="0.35">
      <c r="A8" s="65">
        <v>4</v>
      </c>
      <c r="B8" s="189">
        <v>4112801994</v>
      </c>
      <c r="C8" s="189" t="s">
        <v>1069</v>
      </c>
      <c r="D8" s="190" t="str">
        <f t="shared" si="0"/>
        <v>Rétirédanslesdélais</v>
      </c>
      <c r="E8" s="269">
        <v>45260</v>
      </c>
      <c r="F8" s="172">
        <v>0</v>
      </c>
      <c r="G8" s="785" t="s">
        <v>1245</v>
      </c>
      <c r="H8" s="760"/>
      <c r="I8" s="760"/>
      <c r="J8" s="779"/>
    </row>
    <row r="9" spans="1:10" s="23" customFormat="1" ht="19.5" thickBot="1" x14ac:dyDescent="0.35">
      <c r="A9" s="65">
        <v>5</v>
      </c>
      <c r="B9" s="189">
        <v>4112801993</v>
      </c>
      <c r="C9" s="189" t="s">
        <v>1069</v>
      </c>
      <c r="D9" s="190" t="str">
        <f t="shared" si="0"/>
        <v>Rétirédanslesdélais</v>
      </c>
      <c r="E9" s="269">
        <v>45260</v>
      </c>
      <c r="F9" s="172">
        <v>0</v>
      </c>
      <c r="G9" s="785" t="s">
        <v>1245</v>
      </c>
      <c r="H9" s="760"/>
      <c r="I9" s="760"/>
      <c r="J9" s="779"/>
    </row>
    <row r="10" spans="1:10" ht="19.5" thickBot="1" x14ac:dyDescent="0.35">
      <c r="A10" s="162">
        <v>6</v>
      </c>
      <c r="B10" s="189">
        <v>2143945260</v>
      </c>
      <c r="C10" s="189" t="s">
        <v>1334</v>
      </c>
      <c r="D10" s="190" t="str">
        <f t="shared" si="0"/>
        <v>Rétirédanslesdélais</v>
      </c>
      <c r="E10" s="269">
        <v>45265</v>
      </c>
      <c r="F10" s="172">
        <v>0</v>
      </c>
      <c r="G10" s="785" t="s">
        <v>1416</v>
      </c>
      <c r="H10" s="760"/>
      <c r="I10" s="760"/>
      <c r="J10" s="779"/>
    </row>
    <row r="11" spans="1:10" ht="19.5" thickBot="1" x14ac:dyDescent="0.35">
      <c r="A11" s="162">
        <v>7</v>
      </c>
      <c r="B11" s="189">
        <v>4114621040</v>
      </c>
      <c r="C11" s="189" t="s">
        <v>1141</v>
      </c>
      <c r="D11" s="190" t="str">
        <f t="shared" si="0"/>
        <v>Rétirédanslesdélais</v>
      </c>
      <c r="E11" s="269">
        <v>45261</v>
      </c>
      <c r="F11" s="172">
        <v>0</v>
      </c>
      <c r="G11" s="785" t="s">
        <v>1245</v>
      </c>
      <c r="H11" s="760"/>
      <c r="I11" s="760"/>
      <c r="J11" s="779"/>
    </row>
    <row r="12" spans="1:10" ht="19.5" thickBot="1" x14ac:dyDescent="0.35">
      <c r="A12" s="162">
        <v>8</v>
      </c>
      <c r="B12" s="189">
        <v>4114592450</v>
      </c>
      <c r="C12" s="189" t="s">
        <v>1141</v>
      </c>
      <c r="D12" s="190" t="str">
        <f t="shared" si="0"/>
        <v>Rétirédanslesdélais</v>
      </c>
      <c r="E12" s="269">
        <v>45273</v>
      </c>
      <c r="F12" s="172">
        <v>0</v>
      </c>
      <c r="G12" s="785" t="s">
        <v>1649</v>
      </c>
      <c r="H12" s="760"/>
      <c r="I12" s="760"/>
      <c r="J12" s="779"/>
    </row>
    <row r="13" spans="1:10" s="23" customFormat="1" ht="18.75" x14ac:dyDescent="0.3">
      <c r="A13" s="65">
        <v>9</v>
      </c>
      <c r="B13" s="189">
        <v>4112846820</v>
      </c>
      <c r="C13" s="189" t="s">
        <v>1141</v>
      </c>
      <c r="D13" s="190" t="str">
        <f t="shared" si="0"/>
        <v>Rétirédanslesdélais</v>
      </c>
      <c r="E13" s="170">
        <v>45260</v>
      </c>
      <c r="F13" s="172">
        <v>0</v>
      </c>
      <c r="G13" s="785" t="s">
        <v>1245</v>
      </c>
      <c r="H13" s="760"/>
      <c r="I13" s="760"/>
      <c r="J13" s="779"/>
    </row>
  </sheetData>
  <mergeCells count="13">
    <mergeCell ref="G12:J12"/>
    <mergeCell ref="G13:J13"/>
    <mergeCell ref="G6:J6"/>
    <mergeCell ref="G7:J7"/>
    <mergeCell ref="G8:J8"/>
    <mergeCell ref="G9:J9"/>
    <mergeCell ref="G10:J10"/>
    <mergeCell ref="G11:J11"/>
    <mergeCell ref="A1:B1"/>
    <mergeCell ref="D1:E1"/>
    <mergeCell ref="A2:B2"/>
    <mergeCell ref="G4:J4"/>
    <mergeCell ref="G5:J5"/>
  </mergeCells>
  <conditionalFormatting sqref="B1:B4">
    <cfRule type="duplicateValues" dxfId="268" priority="17"/>
    <cfRule type="duplicateValues" dxfId="267" priority="18"/>
    <cfRule type="duplicateValues" dxfId="266" priority="19"/>
  </conditionalFormatting>
  <conditionalFormatting sqref="B1:B13">
    <cfRule type="duplicateValues" dxfId="265" priority="214"/>
  </conditionalFormatting>
  <conditionalFormatting sqref="B1:B1048576">
    <cfRule type="duplicateValues" dxfId="264" priority="1"/>
  </conditionalFormatting>
  <conditionalFormatting sqref="D5:D13">
    <cfRule type="containsText" dxfId="263" priority="15" operator="containsText" text="En Attente d'un Retrait Tardif">
      <formula>NOT(ISERROR(SEARCH("En Attente d'un Retrait Tardif",D5)))</formula>
    </cfRule>
    <cfRule type="containsText" dxfId="262" priority="16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5270-4A57-4610-9045-22E1FF5A90B0}">
  <sheetPr codeName="Feuil9">
    <tabColor theme="9" tint="-0.249977111117893"/>
  </sheetPr>
  <dimension ref="A1:J24"/>
  <sheetViews>
    <sheetView workbookViewId="0">
      <selection activeCell="C19" sqref="C19"/>
    </sheetView>
  </sheetViews>
  <sheetFormatPr baseColWidth="10" defaultColWidth="11.42578125" defaultRowHeight="15" x14ac:dyDescent="0.25"/>
  <cols>
    <col min="1" max="1" width="6.5703125" customWidth="1"/>
    <col min="2" max="2" width="21.140625" customWidth="1"/>
    <col min="3" max="3" width="37.5703125" customWidth="1"/>
    <col min="4" max="4" width="31" customWidth="1"/>
    <col min="5" max="5" width="16.42578125" customWidth="1"/>
    <col min="10" max="10" width="30.42578125" customWidth="1"/>
  </cols>
  <sheetData>
    <row r="1" spans="1:10" ht="16.5" thickBot="1" x14ac:dyDescent="0.3">
      <c r="A1" s="762" t="s">
        <v>1650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45250</v>
      </c>
      <c r="E2" s="4">
        <f ca="1">TODAY()</f>
        <v>46096</v>
      </c>
      <c r="F2" s="5">
        <f ca="1">E2-D2</f>
        <v>846</v>
      </c>
    </row>
    <row r="3" spans="1:10" ht="15.75" thickBot="1" x14ac:dyDescent="0.3">
      <c r="D3" s="105"/>
    </row>
    <row r="4" spans="1:10" ht="15.75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 t="s">
        <v>1514</v>
      </c>
      <c r="F4" s="41" t="s">
        <v>8</v>
      </c>
      <c r="G4" s="796" t="s">
        <v>11</v>
      </c>
      <c r="H4" s="796"/>
      <c r="I4" s="796"/>
      <c r="J4" s="797"/>
    </row>
    <row r="5" spans="1:10" ht="19.5" thickBot="1" x14ac:dyDescent="0.35">
      <c r="A5" s="162">
        <v>1</v>
      </c>
      <c r="B5" s="189">
        <v>4114603330</v>
      </c>
      <c r="C5" s="189" t="s">
        <v>1363</v>
      </c>
      <c r="D5" s="190" t="str">
        <f t="shared" ref="D5:D24" si="0">IF(E5="",IF($F$2&lt;=15,"EnattentedeRetrait","EnAttented'unRetraitTardif"),IF(E5-$D$2&lt;=15,"Rétirédanslesdélais",IF(E5-$D$2&gt;15,"Rétirétardivement-30000FCFAamende")))</f>
        <v>Rétirédanslesdélais</v>
      </c>
      <c r="E5" s="269">
        <v>45253</v>
      </c>
      <c r="F5" s="191">
        <v>0</v>
      </c>
      <c r="G5" s="798" t="s">
        <v>1651</v>
      </c>
      <c r="H5" s="799"/>
      <c r="I5" s="799"/>
      <c r="J5" s="800"/>
    </row>
    <row r="6" spans="1:10" ht="19.5" thickBot="1" x14ac:dyDescent="0.35">
      <c r="A6" s="162">
        <v>2</v>
      </c>
      <c r="B6" s="189">
        <v>4112841700</v>
      </c>
      <c r="C6" s="189" t="s">
        <v>1363</v>
      </c>
      <c r="D6" s="190" t="str">
        <f t="shared" si="0"/>
        <v>Rétirédanslesdélais</v>
      </c>
      <c r="E6" s="269">
        <v>45253</v>
      </c>
      <c r="F6" s="191">
        <v>0</v>
      </c>
      <c r="G6" s="798" t="s">
        <v>1651</v>
      </c>
      <c r="H6" s="799"/>
      <c r="I6" s="799"/>
      <c r="J6" s="800"/>
    </row>
    <row r="7" spans="1:10" ht="19.5" thickBot="1" x14ac:dyDescent="0.35">
      <c r="A7" s="162">
        <v>3</v>
      </c>
      <c r="B7" s="189">
        <v>4114603300</v>
      </c>
      <c r="C7" s="189" t="s">
        <v>1363</v>
      </c>
      <c r="D7" s="190" t="str">
        <f t="shared" si="0"/>
        <v>Rétirédanslesdélais</v>
      </c>
      <c r="E7" s="269">
        <v>45253</v>
      </c>
      <c r="F7" s="191">
        <v>0</v>
      </c>
      <c r="G7" s="798" t="s">
        <v>1651</v>
      </c>
      <c r="H7" s="799"/>
      <c r="I7" s="799"/>
      <c r="J7" s="800"/>
    </row>
    <row r="8" spans="1:10" ht="19.5" thickBot="1" x14ac:dyDescent="0.35">
      <c r="A8" s="162">
        <v>4</v>
      </c>
      <c r="B8" s="189">
        <v>4112841810</v>
      </c>
      <c r="C8" s="189" t="s">
        <v>1363</v>
      </c>
      <c r="D8" s="190" t="str">
        <f t="shared" si="0"/>
        <v>Rétirédanslesdélais</v>
      </c>
      <c r="E8" s="269">
        <v>45253</v>
      </c>
      <c r="F8" s="191">
        <v>0</v>
      </c>
      <c r="G8" s="798" t="s">
        <v>1651</v>
      </c>
      <c r="H8" s="799"/>
      <c r="I8" s="799"/>
      <c r="J8" s="800"/>
    </row>
    <row r="9" spans="1:10" ht="19.5" thickBot="1" x14ac:dyDescent="0.35">
      <c r="A9" s="162">
        <v>5</v>
      </c>
      <c r="B9" s="189">
        <v>4112841770</v>
      </c>
      <c r="C9" s="189" t="s">
        <v>1363</v>
      </c>
      <c r="D9" s="190" t="str">
        <f t="shared" si="0"/>
        <v>Rétirédanslesdélais</v>
      </c>
      <c r="E9" s="269">
        <v>45253</v>
      </c>
      <c r="F9" s="191">
        <v>0</v>
      </c>
      <c r="G9" s="798" t="s">
        <v>1651</v>
      </c>
      <c r="H9" s="799"/>
      <c r="I9" s="799"/>
      <c r="J9" s="800"/>
    </row>
    <row r="10" spans="1:10" ht="19.5" thickBot="1" x14ac:dyDescent="0.35">
      <c r="A10" s="162">
        <v>6</v>
      </c>
      <c r="B10" s="189">
        <v>4112831800</v>
      </c>
      <c r="C10" s="189" t="s">
        <v>1363</v>
      </c>
      <c r="D10" s="190" t="str">
        <f t="shared" si="0"/>
        <v>Rétirédanslesdélais</v>
      </c>
      <c r="E10" s="269">
        <v>45253</v>
      </c>
      <c r="F10" s="191">
        <v>0</v>
      </c>
      <c r="G10" s="798" t="s">
        <v>1651</v>
      </c>
      <c r="H10" s="799"/>
      <c r="I10" s="799"/>
      <c r="J10" s="800"/>
    </row>
    <row r="11" spans="1:10" ht="19.5" thickBot="1" x14ac:dyDescent="0.35">
      <c r="A11" s="162">
        <v>7</v>
      </c>
      <c r="B11" s="189">
        <v>4114603410</v>
      </c>
      <c r="C11" s="189" t="s">
        <v>1363</v>
      </c>
      <c r="D11" s="190" t="str">
        <f t="shared" si="0"/>
        <v>Rétirédanslesdélais</v>
      </c>
      <c r="E11" s="269">
        <v>45253</v>
      </c>
      <c r="F11" s="191">
        <v>0</v>
      </c>
      <c r="G11" s="798" t="s">
        <v>1651</v>
      </c>
      <c r="H11" s="799"/>
      <c r="I11" s="799"/>
      <c r="J11" s="800"/>
    </row>
    <row r="12" spans="1:10" ht="19.5" thickBot="1" x14ac:dyDescent="0.35">
      <c r="A12" s="162">
        <v>8</v>
      </c>
      <c r="B12" s="189">
        <v>4114603360</v>
      </c>
      <c r="C12" s="189" t="s">
        <v>1363</v>
      </c>
      <c r="D12" s="190" t="str">
        <f t="shared" si="0"/>
        <v>Rétirédanslesdélais</v>
      </c>
      <c r="E12" s="269">
        <v>45253</v>
      </c>
      <c r="F12" s="191">
        <v>0</v>
      </c>
      <c r="G12" s="798" t="s">
        <v>1651</v>
      </c>
      <c r="H12" s="799"/>
      <c r="I12" s="799"/>
      <c r="J12" s="800"/>
    </row>
    <row r="13" spans="1:10" ht="19.5" thickBot="1" x14ac:dyDescent="0.35">
      <c r="A13" s="162">
        <v>9</v>
      </c>
      <c r="B13" s="189">
        <v>4114603340</v>
      </c>
      <c r="C13" s="189" t="s">
        <v>1363</v>
      </c>
      <c r="D13" s="190" t="str">
        <f t="shared" si="0"/>
        <v>Rétirédanslesdélais</v>
      </c>
      <c r="E13" s="269">
        <v>45253</v>
      </c>
      <c r="F13" s="191">
        <v>0</v>
      </c>
      <c r="G13" s="798" t="s">
        <v>1651</v>
      </c>
      <c r="H13" s="799"/>
      <c r="I13" s="799"/>
      <c r="J13" s="800"/>
    </row>
    <row r="14" spans="1:10" ht="19.5" thickBot="1" x14ac:dyDescent="0.35">
      <c r="A14" s="162">
        <v>10</v>
      </c>
      <c r="B14" s="189">
        <v>4114603400</v>
      </c>
      <c r="C14" s="189" t="s">
        <v>1363</v>
      </c>
      <c r="D14" s="190" t="str">
        <f t="shared" si="0"/>
        <v>Rétirédanslesdélais</v>
      </c>
      <c r="E14" s="269">
        <v>45253</v>
      </c>
      <c r="F14" s="191">
        <v>0</v>
      </c>
      <c r="G14" s="798" t="s">
        <v>1651</v>
      </c>
      <c r="H14" s="799"/>
      <c r="I14" s="799"/>
      <c r="J14" s="800"/>
    </row>
    <row r="15" spans="1:10" ht="19.5" thickBot="1" x14ac:dyDescent="0.35">
      <c r="A15" s="162">
        <v>11</v>
      </c>
      <c r="B15" s="189">
        <v>4114625930</v>
      </c>
      <c r="C15" s="189" t="s">
        <v>1363</v>
      </c>
      <c r="D15" s="190" t="str">
        <f t="shared" si="0"/>
        <v>Rétirédanslesdélais</v>
      </c>
      <c r="E15" s="269">
        <v>45253</v>
      </c>
      <c r="F15" s="191">
        <v>0</v>
      </c>
      <c r="G15" s="798" t="s">
        <v>1651</v>
      </c>
      <c r="H15" s="799"/>
      <c r="I15" s="799"/>
      <c r="J15" s="800"/>
    </row>
    <row r="16" spans="1:10" ht="19.5" thickBot="1" x14ac:dyDescent="0.35">
      <c r="A16" s="162">
        <v>12</v>
      </c>
      <c r="B16" s="189">
        <v>4114625990</v>
      </c>
      <c r="C16" s="189" t="s">
        <v>1363</v>
      </c>
      <c r="D16" s="190" t="str">
        <f t="shared" si="0"/>
        <v>Rétirédanslesdélais</v>
      </c>
      <c r="E16" s="269">
        <v>45253</v>
      </c>
      <c r="F16" s="191">
        <v>0</v>
      </c>
      <c r="G16" s="798" t="s">
        <v>1651</v>
      </c>
      <c r="H16" s="799"/>
      <c r="I16" s="799"/>
      <c r="J16" s="800"/>
    </row>
    <row r="17" spans="1:10" ht="19.5" thickBot="1" x14ac:dyDescent="0.35">
      <c r="A17" s="162">
        <v>13</v>
      </c>
      <c r="B17" s="189">
        <v>4114603380</v>
      </c>
      <c r="C17" s="189" t="s">
        <v>1363</v>
      </c>
      <c r="D17" s="190" t="str">
        <f t="shared" si="0"/>
        <v>Rétirédanslesdélais</v>
      </c>
      <c r="E17" s="269">
        <v>45253</v>
      </c>
      <c r="F17" s="191">
        <v>0</v>
      </c>
      <c r="G17" s="798" t="s">
        <v>1651</v>
      </c>
      <c r="H17" s="799"/>
      <c r="I17" s="799"/>
      <c r="J17" s="800"/>
    </row>
    <row r="18" spans="1:10" ht="19.5" thickBot="1" x14ac:dyDescent="0.35">
      <c r="A18" s="162">
        <v>14</v>
      </c>
      <c r="B18" s="192">
        <v>4112809570</v>
      </c>
      <c r="C18" s="192" t="s">
        <v>1383</v>
      </c>
      <c r="D18" s="190" t="str">
        <f t="shared" si="0"/>
        <v>Rétirédanslesdélais</v>
      </c>
      <c r="E18" s="270">
        <v>45254</v>
      </c>
      <c r="F18" s="191">
        <v>0</v>
      </c>
      <c r="G18" s="805" t="s">
        <v>1207</v>
      </c>
      <c r="H18" s="806"/>
      <c r="I18" s="806"/>
      <c r="J18" s="807"/>
    </row>
    <row r="19" spans="1:10" ht="19.5" thickBot="1" x14ac:dyDescent="0.35">
      <c r="A19" s="162">
        <v>15</v>
      </c>
      <c r="B19" s="189">
        <v>4114602370</v>
      </c>
      <c r="C19" s="189" t="s">
        <v>1545</v>
      </c>
      <c r="D19" s="190" t="str">
        <f t="shared" si="0"/>
        <v>Rétirédanslesdélais</v>
      </c>
      <c r="E19" s="272">
        <v>45261</v>
      </c>
      <c r="F19" s="191">
        <v>0</v>
      </c>
      <c r="G19" s="804" t="s">
        <v>1652</v>
      </c>
      <c r="H19" s="760"/>
      <c r="I19" s="760"/>
      <c r="J19" s="779"/>
    </row>
    <row r="20" spans="1:10" ht="19.5" thickBot="1" x14ac:dyDescent="0.35">
      <c r="A20" s="162">
        <v>16</v>
      </c>
      <c r="B20" s="193">
        <v>4114591430</v>
      </c>
      <c r="C20" s="193" t="s">
        <v>1442</v>
      </c>
      <c r="D20" s="190" t="str">
        <f t="shared" si="0"/>
        <v>Rétirédanslesdélais</v>
      </c>
      <c r="E20" s="271">
        <v>45260</v>
      </c>
      <c r="F20" s="191">
        <v>0</v>
      </c>
      <c r="G20" s="808" t="s">
        <v>1245</v>
      </c>
      <c r="H20" s="809"/>
      <c r="I20" s="809"/>
      <c r="J20" s="810"/>
    </row>
    <row r="21" spans="1:10" ht="19.5" thickBot="1" x14ac:dyDescent="0.35">
      <c r="A21" s="162">
        <v>17</v>
      </c>
      <c r="B21" s="189">
        <v>4114623220</v>
      </c>
      <c r="C21" s="189" t="s">
        <v>1122</v>
      </c>
      <c r="D21" s="190" t="str">
        <f t="shared" si="0"/>
        <v>Rétirédanslesdélais</v>
      </c>
      <c r="E21" s="269">
        <v>45253</v>
      </c>
      <c r="F21" s="191">
        <v>0</v>
      </c>
      <c r="G21" s="804" t="s">
        <v>1143</v>
      </c>
      <c r="H21" s="760"/>
      <c r="I21" s="760"/>
      <c r="J21" s="779"/>
    </row>
    <row r="22" spans="1:10" ht="19.5" thickBot="1" x14ac:dyDescent="0.35">
      <c r="A22" s="162">
        <v>18</v>
      </c>
      <c r="B22" s="189">
        <v>4114582730</v>
      </c>
      <c r="C22" s="189" t="s">
        <v>1499</v>
      </c>
      <c r="D22" s="190" t="str">
        <f t="shared" si="0"/>
        <v>Rétirédanslesdélais</v>
      </c>
      <c r="E22" s="269">
        <v>45258</v>
      </c>
      <c r="F22" s="191">
        <v>0</v>
      </c>
      <c r="G22" s="804" t="s">
        <v>1143</v>
      </c>
      <c r="H22" s="760"/>
      <c r="I22" s="760"/>
      <c r="J22" s="779"/>
    </row>
    <row r="23" spans="1:10" ht="19.5" thickBot="1" x14ac:dyDescent="0.35">
      <c r="A23" s="162">
        <v>19</v>
      </c>
      <c r="B23" s="189">
        <v>4114577900</v>
      </c>
      <c r="C23" s="189" t="s">
        <v>1499</v>
      </c>
      <c r="D23" s="190" t="str">
        <f t="shared" si="0"/>
        <v>Rétirédanslesdélais</v>
      </c>
      <c r="E23" s="269">
        <v>45253</v>
      </c>
      <c r="F23" s="191">
        <v>0</v>
      </c>
      <c r="G23" s="804" t="s">
        <v>1143</v>
      </c>
      <c r="H23" s="760"/>
      <c r="I23" s="760"/>
      <c r="J23" s="779"/>
    </row>
    <row r="24" spans="1:10" ht="19.5" thickBot="1" x14ac:dyDescent="0.35">
      <c r="A24" s="162">
        <v>20</v>
      </c>
      <c r="B24" s="189">
        <v>4114582750</v>
      </c>
      <c r="C24" s="189" t="s">
        <v>1499</v>
      </c>
      <c r="D24" s="190" t="str">
        <f t="shared" si="0"/>
        <v>Rétirédanslesdélais</v>
      </c>
      <c r="E24" s="269">
        <v>45257</v>
      </c>
      <c r="F24" s="191">
        <v>0</v>
      </c>
      <c r="G24" s="801" t="s">
        <v>1207</v>
      </c>
      <c r="H24" s="802"/>
      <c r="I24" s="802"/>
      <c r="J24" s="803"/>
    </row>
  </sheetData>
  <autoFilter ref="A4:J24" xr:uid="{50935270-4A57-4610-9045-22E1FF5A90B0}">
    <filterColumn colId="6" showButton="0"/>
    <filterColumn colId="7" showButton="0"/>
    <filterColumn colId="8" showButton="0"/>
  </autoFilter>
  <mergeCells count="24">
    <mergeCell ref="G24:J24"/>
    <mergeCell ref="G17:J17"/>
    <mergeCell ref="G10:J10"/>
    <mergeCell ref="G11:J11"/>
    <mergeCell ref="G12:J12"/>
    <mergeCell ref="G13:J13"/>
    <mergeCell ref="G14:J14"/>
    <mergeCell ref="G16:J16"/>
    <mergeCell ref="G23:J23"/>
    <mergeCell ref="G18:J18"/>
    <mergeCell ref="G22:J22"/>
    <mergeCell ref="G20:J20"/>
    <mergeCell ref="G19:J19"/>
    <mergeCell ref="G21:J21"/>
    <mergeCell ref="G6:J6"/>
    <mergeCell ref="G7:J7"/>
    <mergeCell ref="G8:J8"/>
    <mergeCell ref="G9:J9"/>
    <mergeCell ref="G15:J15"/>
    <mergeCell ref="A1:B1"/>
    <mergeCell ref="D1:E1"/>
    <mergeCell ref="A2:B2"/>
    <mergeCell ref="G4:J4"/>
    <mergeCell ref="G5:J5"/>
  </mergeCells>
  <conditionalFormatting sqref="B1:B4">
    <cfRule type="duplicateValues" dxfId="261" priority="204"/>
    <cfRule type="duplicateValues" dxfId="260" priority="206"/>
    <cfRule type="duplicateValues" dxfId="259" priority="207"/>
  </conditionalFormatting>
  <conditionalFormatting sqref="B1:B1048576">
    <cfRule type="duplicateValues" dxfId="258" priority="1"/>
  </conditionalFormatting>
  <conditionalFormatting sqref="D5:D21">
    <cfRule type="containsText" dxfId="257" priority="2" operator="containsText" text="En Attente d'un Retrait Tardif">
      <formula>NOT(ISERROR(SEARCH("En Attente d'un Retrait Tardif",D5)))</formula>
    </cfRule>
    <cfRule type="containsText" dxfId="256" priority="3" operator="containsText" text="Rétiré dans les délais">
      <formula>NOT(ISERROR(SEARCH("Rétiré dans les délais",D5)))</formula>
    </cfRule>
  </conditionalFormatting>
  <conditionalFormatting sqref="D5:D24">
    <cfRule type="containsText" dxfId="255" priority="14" operator="containsText" text="En Attente d'un Retrait Tardif">
      <formula>NOT(ISERROR(SEARCH("En Attente d'un Retrait Tardif",D5)))</formula>
    </cfRule>
    <cfRule type="containsText" dxfId="254" priority="15" operator="containsText" text="Rétiré dans les délais">
      <formula>NOT(ISERROR(SEARCH("Rétiré dans les délais",D5)))</formula>
    </cfRule>
  </conditionalFormatting>
  <conditionalFormatting sqref="D19:D24">
    <cfRule type="containsText" dxfId="253" priority="4" operator="containsText" text="En Attente d'un Retrait Tardif">
      <formula>NOT(ISERROR(SEARCH("En Attente d'un Retrait Tardif",D19)))</formula>
    </cfRule>
    <cfRule type="containsText" dxfId="252" priority="5" operator="containsText" text="Rétiré dans les délais">
      <formula>NOT(ISERROR(SEARCH("Rétiré dans les délais",D19)))</formula>
    </cfRule>
  </conditionalFormatting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6467-9B85-4102-AB2E-9A211C36FF9D}">
  <sheetPr codeName="Feuil10">
    <tabColor theme="9" tint="-0.249977111117893"/>
  </sheetPr>
  <dimension ref="A1:J16"/>
  <sheetViews>
    <sheetView workbookViewId="0">
      <selection activeCell="E27" sqref="E27"/>
    </sheetView>
  </sheetViews>
  <sheetFormatPr baseColWidth="10" defaultColWidth="11.42578125" defaultRowHeight="15" x14ac:dyDescent="0.25"/>
  <cols>
    <col min="1" max="1" width="5.7109375" customWidth="1"/>
    <col min="2" max="2" width="22.42578125" customWidth="1"/>
    <col min="3" max="3" width="48.85546875" customWidth="1"/>
    <col min="4" max="4" width="26.28515625" customWidth="1"/>
    <col min="5" max="5" width="16.42578125" customWidth="1"/>
    <col min="10" max="10" width="17.85546875" customWidth="1"/>
  </cols>
  <sheetData>
    <row r="1" spans="1:10" ht="16.5" thickBot="1" x14ac:dyDescent="0.3">
      <c r="A1" s="762" t="s">
        <v>1653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45244</v>
      </c>
      <c r="E2" s="4">
        <f ca="1">TODAY()</f>
        <v>46096</v>
      </c>
      <c r="F2" s="5">
        <f ca="1">E2-D2</f>
        <v>852</v>
      </c>
    </row>
    <row r="3" spans="1:10" ht="15.75" thickBot="1" x14ac:dyDescent="0.3">
      <c r="D3" s="105"/>
    </row>
    <row r="4" spans="1:10" ht="15.75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 t="s">
        <v>1514</v>
      </c>
      <c r="F4" s="41" t="s">
        <v>8</v>
      </c>
      <c r="G4" s="796" t="s">
        <v>11</v>
      </c>
      <c r="H4" s="796"/>
      <c r="I4" s="796"/>
      <c r="J4" s="797"/>
    </row>
    <row r="5" spans="1:10" ht="19.5" thickBot="1" x14ac:dyDescent="0.3">
      <c r="A5" s="162">
        <v>1</v>
      </c>
      <c r="B5" s="167">
        <v>2143406990</v>
      </c>
      <c r="C5" s="168" t="s">
        <v>1334</v>
      </c>
      <c r="D5" s="169" t="str">
        <f t="shared" ref="D5:D16" si="0">IF(E5="",IF($F$2&lt;=15,"EnattentedeRetrait","EnAttented'unRetraitTardif"),IF(E5-$D$2&lt;=15,"Rétirédanslesdélais",IF(E5-$D$2&gt;15,"Rétirétardivement-30000FCFAamende")))</f>
        <v>Rétirédanslesdélais</v>
      </c>
      <c r="E5" s="269">
        <v>45247</v>
      </c>
      <c r="F5" s="171">
        <v>0</v>
      </c>
      <c r="G5" s="785" t="s">
        <v>1143</v>
      </c>
      <c r="H5" s="760"/>
      <c r="I5" s="760"/>
      <c r="J5" s="779"/>
    </row>
    <row r="6" spans="1:10" ht="19.5" thickBot="1" x14ac:dyDescent="0.3">
      <c r="A6" s="162">
        <v>2</v>
      </c>
      <c r="B6" s="167">
        <v>2143406860</v>
      </c>
      <c r="C6" s="168" t="s">
        <v>1334</v>
      </c>
      <c r="D6" s="169" t="str">
        <f t="shared" si="0"/>
        <v>Rétirédanslesdélais</v>
      </c>
      <c r="E6" s="269">
        <v>45247</v>
      </c>
      <c r="F6" s="172">
        <v>0</v>
      </c>
      <c r="G6" s="785" t="s">
        <v>1143</v>
      </c>
      <c r="H6" s="760"/>
      <c r="I6" s="760"/>
      <c r="J6" s="779"/>
    </row>
    <row r="7" spans="1:10" ht="19.5" thickBot="1" x14ac:dyDescent="0.3">
      <c r="A7" s="162">
        <v>3</v>
      </c>
      <c r="B7" s="167">
        <v>2143407180</v>
      </c>
      <c r="C7" s="168" t="s">
        <v>1334</v>
      </c>
      <c r="D7" s="169" t="str">
        <f t="shared" si="0"/>
        <v>Rétirédanslesdélais</v>
      </c>
      <c r="E7" s="269">
        <v>45247</v>
      </c>
      <c r="F7" s="172">
        <v>0</v>
      </c>
      <c r="G7" s="785" t="s">
        <v>1143</v>
      </c>
      <c r="H7" s="760"/>
      <c r="I7" s="760"/>
      <c r="J7" s="779"/>
    </row>
    <row r="8" spans="1:10" ht="19.5" thickBot="1" x14ac:dyDescent="0.3">
      <c r="A8" s="162">
        <v>4</v>
      </c>
      <c r="B8" s="167">
        <v>2143407140</v>
      </c>
      <c r="C8" s="168" t="s">
        <v>1334</v>
      </c>
      <c r="D8" s="169" t="str">
        <f t="shared" si="0"/>
        <v>Rétirédanslesdélais</v>
      </c>
      <c r="E8" s="269">
        <v>45247</v>
      </c>
      <c r="F8" s="172">
        <v>0</v>
      </c>
      <c r="G8" s="785" t="s">
        <v>1143</v>
      </c>
      <c r="H8" s="760"/>
      <c r="I8" s="760"/>
      <c r="J8" s="779"/>
    </row>
    <row r="9" spans="1:10" ht="19.5" thickBot="1" x14ac:dyDescent="0.3">
      <c r="A9" s="65">
        <v>5</v>
      </c>
      <c r="B9" s="167">
        <v>4112845130</v>
      </c>
      <c r="C9" s="168" t="s">
        <v>1402</v>
      </c>
      <c r="D9" s="169" t="str">
        <f t="shared" si="0"/>
        <v>Rétirédanslesdélais</v>
      </c>
      <c r="E9" s="269">
        <v>45254</v>
      </c>
      <c r="F9" s="172">
        <v>0</v>
      </c>
      <c r="G9" s="785" t="s">
        <v>1654</v>
      </c>
      <c r="H9" s="760"/>
      <c r="I9" s="760"/>
      <c r="J9" s="779"/>
    </row>
    <row r="10" spans="1:10" ht="19.5" thickBot="1" x14ac:dyDescent="0.3">
      <c r="A10" s="162">
        <v>6</v>
      </c>
      <c r="B10" s="167">
        <v>4112801992</v>
      </c>
      <c r="C10" s="168" t="s">
        <v>1069</v>
      </c>
      <c r="D10" s="169" t="str">
        <f t="shared" si="0"/>
        <v>Rétirédanslesdélais</v>
      </c>
      <c r="E10" s="268">
        <v>45247</v>
      </c>
      <c r="F10" s="172">
        <v>0</v>
      </c>
      <c r="G10" s="785" t="s">
        <v>1207</v>
      </c>
      <c r="H10" s="760"/>
      <c r="I10" s="760"/>
      <c r="J10" s="779"/>
    </row>
    <row r="11" spans="1:10" ht="19.5" thickBot="1" x14ac:dyDescent="0.3">
      <c r="A11" s="65">
        <v>7</v>
      </c>
      <c r="B11" s="167">
        <v>4114579970</v>
      </c>
      <c r="C11" s="168" t="s">
        <v>21</v>
      </c>
      <c r="D11" s="169" t="str">
        <f t="shared" si="0"/>
        <v>Rétirédanslesdélais</v>
      </c>
      <c r="E11" s="269">
        <v>45247</v>
      </c>
      <c r="F11" s="172">
        <v>0</v>
      </c>
      <c r="G11" s="785" t="s">
        <v>1207</v>
      </c>
      <c r="H11" s="760"/>
      <c r="I11" s="760"/>
      <c r="J11" s="779"/>
    </row>
    <row r="12" spans="1:10" ht="19.5" thickBot="1" x14ac:dyDescent="0.3">
      <c r="A12" s="65">
        <v>8</v>
      </c>
      <c r="B12" s="167">
        <v>4114580720</v>
      </c>
      <c r="C12" s="168" t="s">
        <v>53</v>
      </c>
      <c r="D12" s="169" t="str">
        <f t="shared" si="0"/>
        <v>Rétirédanslesdélais</v>
      </c>
      <c r="E12" s="269">
        <v>45246</v>
      </c>
      <c r="F12" s="172">
        <v>0</v>
      </c>
      <c r="G12" s="785" t="s">
        <v>1207</v>
      </c>
      <c r="H12" s="760"/>
      <c r="I12" s="760"/>
      <c r="J12" s="779"/>
    </row>
    <row r="13" spans="1:10" ht="19.5" thickBot="1" x14ac:dyDescent="0.3">
      <c r="A13" s="162">
        <v>9</v>
      </c>
      <c r="B13" s="167">
        <v>4114580721</v>
      </c>
      <c r="C13" s="168" t="s">
        <v>53</v>
      </c>
      <c r="D13" s="169" t="str">
        <f t="shared" si="0"/>
        <v>Rétirédanslesdélais</v>
      </c>
      <c r="E13" s="268">
        <v>45247</v>
      </c>
      <c r="F13" s="172">
        <v>0</v>
      </c>
      <c r="G13" s="785" t="s">
        <v>1207</v>
      </c>
      <c r="H13" s="760"/>
      <c r="I13" s="760"/>
      <c r="J13" s="779"/>
    </row>
    <row r="14" spans="1:10" ht="19.5" thickBot="1" x14ac:dyDescent="0.3">
      <c r="A14" s="162">
        <v>10</v>
      </c>
      <c r="B14" s="167">
        <v>4114580722</v>
      </c>
      <c r="C14" s="168" t="s">
        <v>53</v>
      </c>
      <c r="D14" s="169" t="str">
        <f t="shared" si="0"/>
        <v>Rétirédanslesdélais</v>
      </c>
      <c r="E14" s="268">
        <v>45247</v>
      </c>
      <c r="F14" s="172">
        <v>0</v>
      </c>
      <c r="G14" s="785" t="s">
        <v>1207</v>
      </c>
      <c r="H14" s="760"/>
      <c r="I14" s="760"/>
      <c r="J14" s="779"/>
    </row>
    <row r="15" spans="1:10" ht="19.5" thickBot="1" x14ac:dyDescent="0.3">
      <c r="A15" s="162">
        <v>11</v>
      </c>
      <c r="B15" s="167">
        <v>4114578040</v>
      </c>
      <c r="C15" s="168" t="s">
        <v>53</v>
      </c>
      <c r="D15" s="169" t="str">
        <f t="shared" si="0"/>
        <v>Rétirédanslesdélais</v>
      </c>
      <c r="E15" s="269">
        <v>45254</v>
      </c>
      <c r="F15" s="172">
        <v>0</v>
      </c>
      <c r="G15" s="785" t="s">
        <v>1207</v>
      </c>
      <c r="H15" s="760"/>
      <c r="I15" s="760"/>
      <c r="J15" s="779"/>
    </row>
    <row r="16" spans="1:10" ht="18.75" x14ac:dyDescent="0.25">
      <c r="A16" s="162">
        <v>12</v>
      </c>
      <c r="B16" s="167">
        <v>4114577190</v>
      </c>
      <c r="C16" s="168" t="s">
        <v>1075</v>
      </c>
      <c r="D16" s="169" t="str">
        <f t="shared" si="0"/>
        <v>Rétirédanslesdélais</v>
      </c>
      <c r="E16" s="269">
        <v>45247</v>
      </c>
      <c r="F16" s="172">
        <v>0</v>
      </c>
      <c r="G16" s="785" t="s">
        <v>1207</v>
      </c>
      <c r="H16" s="760"/>
      <c r="I16" s="760"/>
      <c r="J16" s="779"/>
    </row>
  </sheetData>
  <mergeCells count="16">
    <mergeCell ref="G6:J6"/>
    <mergeCell ref="A1:B1"/>
    <mergeCell ref="D1:E1"/>
    <mergeCell ref="A2:B2"/>
    <mergeCell ref="G4:J4"/>
    <mergeCell ref="G5:J5"/>
    <mergeCell ref="G13:J13"/>
    <mergeCell ref="G14:J14"/>
    <mergeCell ref="G16:J16"/>
    <mergeCell ref="G15:J15"/>
    <mergeCell ref="G7:J7"/>
    <mergeCell ref="G8:J8"/>
    <mergeCell ref="G9:J9"/>
    <mergeCell ref="G10:J10"/>
    <mergeCell ref="G11:J11"/>
    <mergeCell ref="G12:J12"/>
  </mergeCells>
  <conditionalFormatting sqref="B1:B5">
    <cfRule type="duplicateValues" dxfId="251" priority="9"/>
  </conditionalFormatting>
  <conditionalFormatting sqref="B1:B16">
    <cfRule type="duplicateValues" dxfId="250" priority="182"/>
    <cfRule type="duplicateValues" dxfId="249" priority="184"/>
    <cfRule type="duplicateValues" dxfId="248" priority="185"/>
  </conditionalFormatting>
  <conditionalFormatting sqref="B6:B16">
    <cfRule type="duplicateValues" dxfId="247" priority="190"/>
  </conditionalFormatting>
  <conditionalFormatting sqref="D5:D16">
    <cfRule type="containsText" dxfId="246" priority="7" operator="containsText" text="En Attente d'un Retrait Tardif">
      <formula>NOT(ISERROR(SEARCH("En Attente d'un Retrait Tardif",D5)))</formula>
    </cfRule>
    <cfRule type="containsText" dxfId="245" priority="8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2890-EC5B-47A6-8DA3-357794E409B6}">
  <sheetPr codeName="Feuil11">
    <tabColor theme="9" tint="-0.249977111117893"/>
  </sheetPr>
  <dimension ref="A1:J15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6.5703125" customWidth="1"/>
    <col min="2" max="2" width="20.5703125" customWidth="1"/>
    <col min="3" max="3" width="37.140625" customWidth="1"/>
    <col min="4" max="4" width="33.28515625" style="105" customWidth="1"/>
    <col min="5" max="5" width="17" customWidth="1"/>
    <col min="6" max="6" width="18.42578125" customWidth="1"/>
    <col min="7" max="7" width="13.5703125" bestFit="1" customWidth="1"/>
    <col min="8" max="11" width="16.7109375" customWidth="1"/>
  </cols>
  <sheetData>
    <row r="1" spans="1:10" ht="16.5" thickBot="1" x14ac:dyDescent="0.3">
      <c r="A1" s="762" t="s">
        <v>1655</v>
      </c>
      <c r="B1" s="762"/>
      <c r="C1" s="59"/>
      <c r="D1" s="729"/>
      <c r="E1" s="729"/>
    </row>
    <row r="2" spans="1:10" ht="23.25" customHeight="1" thickBot="1" x14ac:dyDescent="0.3">
      <c r="A2" s="730" t="s">
        <v>0</v>
      </c>
      <c r="B2" s="730"/>
      <c r="C2" s="60"/>
      <c r="D2" s="13">
        <v>45237</v>
      </c>
      <c r="E2" s="4">
        <f ca="1">TODAY()</f>
        <v>46096</v>
      </c>
      <c r="F2" s="5">
        <f ca="1">E2-D2</f>
        <v>859</v>
      </c>
    </row>
    <row r="3" spans="1:10" ht="15.75" thickBot="1" x14ac:dyDescent="0.3"/>
    <row r="4" spans="1:10" ht="24" customHeight="1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 t="s">
        <v>1514</v>
      </c>
      <c r="F4" s="41" t="s">
        <v>8</v>
      </c>
      <c r="G4" s="796" t="s">
        <v>11</v>
      </c>
      <c r="H4" s="796"/>
      <c r="I4" s="796"/>
      <c r="J4" s="797"/>
    </row>
    <row r="5" spans="1:10" ht="21.75" customHeight="1" thickBot="1" x14ac:dyDescent="0.3">
      <c r="A5" s="162">
        <v>1</v>
      </c>
      <c r="B5" s="167">
        <v>4114560870</v>
      </c>
      <c r="C5" s="168" t="s">
        <v>1499</v>
      </c>
      <c r="D5" s="169" t="str">
        <f t="shared" ref="D5:D15" si="0">IF(E5="",IF($F$2&lt;=15,"EnattentedeRetrait","EnAttented'unRetraitTardif"),IF(E5-$D$2&lt;=15,"Rétirédanslesdélais",IF(E5-$D$2&gt;15,"Rétirétardivement-30000FCFAamende")))</f>
        <v>Rétirédanslesdélais</v>
      </c>
      <c r="E5" s="269">
        <v>45239</v>
      </c>
      <c r="F5" s="171">
        <v>0</v>
      </c>
      <c r="G5" s="785" t="s">
        <v>1143</v>
      </c>
      <c r="H5" s="760"/>
      <c r="I5" s="760"/>
      <c r="J5" s="779"/>
    </row>
    <row r="6" spans="1:10" ht="21.75" customHeight="1" thickBot="1" x14ac:dyDescent="0.3">
      <c r="A6" s="162">
        <v>2</v>
      </c>
      <c r="B6" s="167">
        <v>4112844510</v>
      </c>
      <c r="C6" s="168" t="s">
        <v>1499</v>
      </c>
      <c r="D6" s="169" t="str">
        <f t="shared" si="0"/>
        <v>Rétirédanslesdélais</v>
      </c>
      <c r="E6" s="269">
        <v>45239</v>
      </c>
      <c r="F6" s="172">
        <v>0</v>
      </c>
      <c r="G6" s="785" t="s">
        <v>1143</v>
      </c>
      <c r="H6" s="760"/>
      <c r="I6" s="760"/>
      <c r="J6" s="779"/>
    </row>
    <row r="7" spans="1:10" ht="21.75" customHeight="1" thickBot="1" x14ac:dyDescent="0.3">
      <c r="A7" s="162">
        <v>3</v>
      </c>
      <c r="B7" s="167">
        <v>4112844540</v>
      </c>
      <c r="C7" s="168" t="s">
        <v>1499</v>
      </c>
      <c r="D7" s="169" t="str">
        <f t="shared" si="0"/>
        <v>Rétirédanslesdélais</v>
      </c>
      <c r="E7" s="269">
        <v>45239</v>
      </c>
      <c r="F7" s="172">
        <v>0</v>
      </c>
      <c r="G7" s="785" t="s">
        <v>1143</v>
      </c>
      <c r="H7" s="760"/>
      <c r="I7" s="760"/>
      <c r="J7" s="779"/>
    </row>
    <row r="8" spans="1:10" ht="21.75" customHeight="1" thickBot="1" x14ac:dyDescent="0.3">
      <c r="A8" s="162">
        <v>4</v>
      </c>
      <c r="B8" s="167">
        <v>4112844550</v>
      </c>
      <c r="C8" s="168" t="s">
        <v>1499</v>
      </c>
      <c r="D8" s="169" t="str">
        <f t="shared" si="0"/>
        <v>Rétirédanslesdélais</v>
      </c>
      <c r="E8" s="269">
        <v>45239</v>
      </c>
      <c r="F8" s="172">
        <v>0</v>
      </c>
      <c r="G8" s="785" t="s">
        <v>1143</v>
      </c>
      <c r="H8" s="760"/>
      <c r="I8" s="760"/>
      <c r="J8" s="779"/>
    </row>
    <row r="9" spans="1:10" ht="21.75" customHeight="1" thickBot="1" x14ac:dyDescent="0.3">
      <c r="A9" s="162">
        <v>5</v>
      </c>
      <c r="B9" s="167">
        <v>4112841630</v>
      </c>
      <c r="C9" s="168" t="s">
        <v>1450</v>
      </c>
      <c r="D9" s="169" t="str">
        <f t="shared" si="0"/>
        <v>Rétirédanslesdélais</v>
      </c>
      <c r="E9" s="269">
        <v>45251</v>
      </c>
      <c r="F9" s="172">
        <v>662200</v>
      </c>
      <c r="G9" s="785" t="s">
        <v>1656</v>
      </c>
      <c r="H9" s="760"/>
      <c r="I9" s="760"/>
      <c r="J9" s="779"/>
    </row>
    <row r="10" spans="1:10" ht="21.75" customHeight="1" thickBot="1" x14ac:dyDescent="0.3">
      <c r="A10" s="162">
        <v>6</v>
      </c>
      <c r="B10" s="167">
        <v>4114557710</v>
      </c>
      <c r="C10" s="168" t="s">
        <v>1450</v>
      </c>
      <c r="D10" s="169" t="str">
        <f t="shared" si="0"/>
        <v>Rétirédanslesdélais</v>
      </c>
      <c r="E10" s="268">
        <v>45246</v>
      </c>
      <c r="F10" s="172">
        <v>0</v>
      </c>
      <c r="G10" s="785" t="s">
        <v>1656</v>
      </c>
      <c r="H10" s="760"/>
      <c r="I10" s="760"/>
      <c r="J10" s="779"/>
    </row>
    <row r="11" spans="1:10" ht="21.75" customHeight="1" thickBot="1" x14ac:dyDescent="0.3">
      <c r="A11" s="162">
        <v>7</v>
      </c>
      <c r="B11" s="167">
        <v>4114557690</v>
      </c>
      <c r="C11" s="168" t="s">
        <v>1450</v>
      </c>
      <c r="D11" s="169" t="str">
        <f t="shared" si="0"/>
        <v>Rétirédanslesdélais</v>
      </c>
      <c r="E11" s="268">
        <v>45246</v>
      </c>
      <c r="F11" s="172">
        <v>0</v>
      </c>
      <c r="G11" s="785" t="s">
        <v>1657</v>
      </c>
      <c r="H11" s="760"/>
      <c r="I11" s="760"/>
      <c r="J11" s="779"/>
    </row>
    <row r="12" spans="1:10" ht="21.75" customHeight="1" thickBot="1" x14ac:dyDescent="0.3">
      <c r="A12" s="162">
        <v>8</v>
      </c>
      <c r="B12" s="167">
        <v>4112852550</v>
      </c>
      <c r="C12" s="168" t="s">
        <v>1545</v>
      </c>
      <c r="D12" s="169" t="str">
        <f t="shared" si="0"/>
        <v>Rétirédanslesdélais</v>
      </c>
      <c r="E12" s="269">
        <v>45251</v>
      </c>
      <c r="F12" s="172">
        <v>0</v>
      </c>
      <c r="G12" s="785" t="s">
        <v>1658</v>
      </c>
      <c r="H12" s="760"/>
      <c r="I12" s="760"/>
      <c r="J12" s="779"/>
    </row>
    <row r="13" spans="1:10" ht="21.75" customHeight="1" thickBot="1" x14ac:dyDescent="0.3">
      <c r="A13" s="162">
        <v>9</v>
      </c>
      <c r="B13" s="167">
        <v>4112814890</v>
      </c>
      <c r="C13" s="168" t="s">
        <v>1368</v>
      </c>
      <c r="D13" s="169" t="str">
        <f t="shared" si="0"/>
        <v>Rétirédanslesdélais</v>
      </c>
      <c r="E13" s="268">
        <v>45243</v>
      </c>
      <c r="F13" s="172">
        <v>0</v>
      </c>
      <c r="G13" s="785" t="s">
        <v>1143</v>
      </c>
      <c r="H13" s="760"/>
      <c r="I13" s="760"/>
      <c r="J13" s="779"/>
    </row>
    <row r="14" spans="1:10" ht="24" customHeight="1" thickBot="1" x14ac:dyDescent="0.3">
      <c r="A14" s="162">
        <v>10</v>
      </c>
      <c r="B14" s="167">
        <v>4112844580</v>
      </c>
      <c r="C14" s="168" t="s">
        <v>1499</v>
      </c>
      <c r="D14" s="169" t="str">
        <f t="shared" si="0"/>
        <v>Rétirédanslesdélais</v>
      </c>
      <c r="E14" s="269">
        <v>45246</v>
      </c>
      <c r="F14" s="172">
        <v>0</v>
      </c>
      <c r="G14" s="785" t="s">
        <v>1143</v>
      </c>
      <c r="H14" s="760"/>
      <c r="I14" s="760"/>
      <c r="J14" s="779"/>
    </row>
    <row r="15" spans="1:10" ht="24" customHeight="1" x14ac:dyDescent="0.25">
      <c r="A15" s="162">
        <v>11</v>
      </c>
      <c r="B15" s="167">
        <v>4114582800</v>
      </c>
      <c r="C15" s="168" t="s">
        <v>37</v>
      </c>
      <c r="D15" s="169" t="str">
        <f t="shared" si="0"/>
        <v>Rétirédanslesdélais</v>
      </c>
      <c r="E15" s="269">
        <v>45240</v>
      </c>
      <c r="F15" s="172">
        <v>0</v>
      </c>
      <c r="G15" s="785" t="s">
        <v>1659</v>
      </c>
      <c r="H15" s="760"/>
      <c r="I15" s="760"/>
      <c r="J15" s="779"/>
    </row>
  </sheetData>
  <mergeCells count="15">
    <mergeCell ref="G6:J6"/>
    <mergeCell ref="A1:B1"/>
    <mergeCell ref="D1:E1"/>
    <mergeCell ref="A2:B2"/>
    <mergeCell ref="G4:J4"/>
    <mergeCell ref="G5:J5"/>
    <mergeCell ref="G13:J13"/>
    <mergeCell ref="G14:J14"/>
    <mergeCell ref="G15:J15"/>
    <mergeCell ref="G7:J7"/>
    <mergeCell ref="G8:J8"/>
    <mergeCell ref="G9:J9"/>
    <mergeCell ref="G10:J10"/>
    <mergeCell ref="G11:J11"/>
    <mergeCell ref="G12:J12"/>
  </mergeCells>
  <conditionalFormatting sqref="A34:A49 B1:B1048576">
    <cfRule type="duplicateValues" dxfId="244" priority="2"/>
    <cfRule type="duplicateValues" dxfId="243" priority="9"/>
    <cfRule type="duplicateValues" dxfId="242" priority="10"/>
    <cfRule type="duplicateValues" dxfId="241" priority="21"/>
  </conditionalFormatting>
  <conditionalFormatting sqref="A34:A49">
    <cfRule type="duplicateValues" dxfId="240" priority="1"/>
  </conditionalFormatting>
  <conditionalFormatting sqref="B6:B15">
    <cfRule type="duplicateValues" dxfId="239" priority="177"/>
  </conditionalFormatting>
  <conditionalFormatting sqref="B16:B1048576 A34:A49">
    <cfRule type="duplicateValues" dxfId="238" priority="27"/>
  </conditionalFormatting>
  <conditionalFormatting sqref="B16:B1048576 B1:B5 A34:A49">
    <cfRule type="duplicateValues" dxfId="237" priority="26"/>
  </conditionalFormatting>
  <conditionalFormatting sqref="D5:D15">
    <cfRule type="containsText" dxfId="236" priority="22" operator="containsText" text="En Attente d'un Retrait Tardif">
      <formula>NOT(ISERROR(SEARCH("En Attente d'un Retrait Tardif",D5)))</formula>
    </cfRule>
    <cfRule type="containsText" dxfId="235" priority="23" operator="containsText" text="Rétiré dans les délais">
      <formula>NOT(ISERROR(SEARCH("Rétiré dans les délais",D5)))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2BEE-05D1-4FDA-826B-40B25002340E}">
  <sheetPr codeName="Feuil12">
    <tabColor theme="9" tint="-0.249977111117893"/>
  </sheetPr>
  <dimension ref="A1:J17"/>
  <sheetViews>
    <sheetView workbookViewId="0">
      <selection activeCell="C8" sqref="C8"/>
    </sheetView>
  </sheetViews>
  <sheetFormatPr baseColWidth="10" defaultColWidth="11.42578125" defaultRowHeight="15" x14ac:dyDescent="0.25"/>
  <cols>
    <col min="2" max="2" width="20.42578125" customWidth="1"/>
    <col min="3" max="3" width="41" customWidth="1"/>
    <col min="4" max="4" width="28" customWidth="1"/>
    <col min="5" max="5" width="21.28515625" customWidth="1"/>
    <col min="10" max="10" width="21" customWidth="1"/>
  </cols>
  <sheetData>
    <row r="1" spans="1:10" ht="16.5" thickBot="1" x14ac:dyDescent="0.3">
      <c r="A1" s="762" t="s">
        <v>1660</v>
      </c>
      <c r="B1" s="762"/>
      <c r="C1" s="59"/>
      <c r="D1" s="729"/>
      <c r="E1" s="729"/>
    </row>
    <row r="2" spans="1:10" ht="24" thickBot="1" x14ac:dyDescent="0.3">
      <c r="A2" s="730" t="s">
        <v>0</v>
      </c>
      <c r="B2" s="730"/>
      <c r="C2" s="60"/>
      <c r="D2" s="13">
        <v>45237</v>
      </c>
      <c r="E2" s="4">
        <f ca="1">TODAY()</f>
        <v>46096</v>
      </c>
      <c r="F2" s="5">
        <f ca="1">E2-D2</f>
        <v>859</v>
      </c>
    </row>
    <row r="3" spans="1:10" ht="15.75" thickBot="1" x14ac:dyDescent="0.3">
      <c r="D3" s="105"/>
    </row>
    <row r="4" spans="1:10" ht="15.75" thickBot="1" x14ac:dyDescent="0.3">
      <c r="A4" s="143" t="s">
        <v>1</v>
      </c>
      <c r="B4" s="144" t="s">
        <v>87</v>
      </c>
      <c r="C4" s="145" t="s">
        <v>1620</v>
      </c>
      <c r="D4" s="146" t="s">
        <v>7</v>
      </c>
      <c r="E4" s="147" t="s">
        <v>1514</v>
      </c>
      <c r="F4" s="148" t="s">
        <v>8</v>
      </c>
      <c r="G4" s="811" t="s">
        <v>11</v>
      </c>
      <c r="H4" s="811"/>
      <c r="I4" s="811"/>
      <c r="J4" s="812"/>
    </row>
    <row r="5" spans="1:10" ht="19.5" thickBot="1" x14ac:dyDescent="0.3">
      <c r="A5" s="8">
        <v>1</v>
      </c>
      <c r="B5" s="174">
        <v>4114560000</v>
      </c>
      <c r="C5" s="174" t="s">
        <v>1661</v>
      </c>
      <c r="D5" s="175" t="str">
        <f t="shared" ref="D5:D17" si="0">IF(E5="",IF($F$2&lt;=15,"EnattentedeRetrait","EnAttented'unRetraitTardif"),IF(E5-$D$2&lt;=15,"Rétirédanslesdélais",IF(E5-$D$2&gt;15,"Rétirétardivement-30000FCFAamende")))</f>
        <v>Rétirédanslesdélais</v>
      </c>
      <c r="E5" s="271">
        <v>45240</v>
      </c>
      <c r="F5" s="176">
        <v>0</v>
      </c>
      <c r="G5" s="759" t="s">
        <v>1207</v>
      </c>
      <c r="H5" s="809"/>
      <c r="I5" s="809"/>
      <c r="J5" s="810"/>
    </row>
    <row r="6" spans="1:10" ht="19.5" thickBot="1" x14ac:dyDescent="0.3">
      <c r="A6" s="8">
        <v>2</v>
      </c>
      <c r="B6" s="177">
        <v>4112836410</v>
      </c>
      <c r="C6" s="177" t="s">
        <v>53</v>
      </c>
      <c r="D6" s="178" t="str">
        <f t="shared" si="0"/>
        <v>Rétirédanslesdélais</v>
      </c>
      <c r="E6" s="271">
        <v>45240</v>
      </c>
      <c r="F6" s="172">
        <v>0</v>
      </c>
      <c r="G6" s="759" t="s">
        <v>1207</v>
      </c>
      <c r="H6" s="809"/>
      <c r="I6" s="809"/>
      <c r="J6" s="810"/>
    </row>
    <row r="7" spans="1:10" ht="19.5" thickBot="1" x14ac:dyDescent="0.3">
      <c r="A7" s="8">
        <v>3</v>
      </c>
      <c r="B7" s="179">
        <v>4112846881</v>
      </c>
      <c r="C7" s="180" t="s">
        <v>1662</v>
      </c>
      <c r="D7" s="178" t="str">
        <f t="shared" si="0"/>
        <v>Rétirédanslesdélais</v>
      </c>
      <c r="E7" s="269">
        <v>45243</v>
      </c>
      <c r="F7" s="172">
        <v>0</v>
      </c>
      <c r="G7" s="785" t="s">
        <v>1663</v>
      </c>
      <c r="H7" s="760"/>
      <c r="I7" s="760"/>
      <c r="J7" s="779"/>
    </row>
    <row r="8" spans="1:10" ht="19.5" thickBot="1" x14ac:dyDescent="0.3">
      <c r="A8" s="8">
        <v>4</v>
      </c>
      <c r="B8" s="177">
        <v>4114566320</v>
      </c>
      <c r="C8" s="180" t="s">
        <v>1545</v>
      </c>
      <c r="D8" s="178" t="str">
        <f t="shared" si="0"/>
        <v>Rétirédanslesdélais</v>
      </c>
      <c r="E8" s="269">
        <v>45251</v>
      </c>
      <c r="F8" s="172">
        <v>0</v>
      </c>
      <c r="G8" s="785" t="s">
        <v>1664</v>
      </c>
      <c r="H8" s="760"/>
      <c r="I8" s="760"/>
      <c r="J8" s="779"/>
    </row>
    <row r="9" spans="1:10" ht="19.5" thickBot="1" x14ac:dyDescent="0.3">
      <c r="A9" s="8">
        <v>5</v>
      </c>
      <c r="B9" s="179">
        <v>4112829380</v>
      </c>
      <c r="C9" s="181" t="s">
        <v>1402</v>
      </c>
      <c r="D9" s="179" t="str">
        <f t="shared" si="0"/>
        <v>Rétirédanslesdélais</v>
      </c>
      <c r="E9" s="270">
        <v>45251</v>
      </c>
      <c r="F9" s="182">
        <v>0</v>
      </c>
      <c r="G9" s="785" t="s">
        <v>1654</v>
      </c>
      <c r="H9" s="760"/>
      <c r="I9" s="760"/>
      <c r="J9" s="779"/>
    </row>
    <row r="10" spans="1:10" ht="19.5" thickBot="1" x14ac:dyDescent="0.3">
      <c r="A10" s="8">
        <v>6</v>
      </c>
      <c r="B10" s="177">
        <v>4112845180</v>
      </c>
      <c r="C10" s="183" t="s">
        <v>1499</v>
      </c>
      <c r="D10" s="177" t="str">
        <f t="shared" si="0"/>
        <v>Rétirédanslesdélais</v>
      </c>
      <c r="E10" s="268">
        <v>45246</v>
      </c>
      <c r="F10" s="184">
        <v>0</v>
      </c>
      <c r="G10" s="785" t="s">
        <v>1143</v>
      </c>
      <c r="H10" s="760"/>
      <c r="I10" s="760"/>
      <c r="J10" s="779"/>
    </row>
    <row r="11" spans="1:10" ht="19.5" thickBot="1" x14ac:dyDescent="0.3">
      <c r="A11" s="8">
        <v>7</v>
      </c>
      <c r="B11" s="177">
        <v>4112850610</v>
      </c>
      <c r="C11" s="183" t="s">
        <v>1146</v>
      </c>
      <c r="D11" s="177" t="str">
        <f t="shared" si="0"/>
        <v>Rétirédanslesdélais</v>
      </c>
      <c r="E11" s="268">
        <v>45246</v>
      </c>
      <c r="F11" s="184">
        <v>0</v>
      </c>
      <c r="G11" s="785" t="s">
        <v>1207</v>
      </c>
      <c r="H11" s="760"/>
      <c r="I11" s="760"/>
      <c r="J11" s="779"/>
    </row>
    <row r="12" spans="1:10" ht="19.5" thickBot="1" x14ac:dyDescent="0.3">
      <c r="A12" s="8">
        <v>8</v>
      </c>
      <c r="B12" s="185">
        <v>4112850590</v>
      </c>
      <c r="C12" s="186" t="s">
        <v>1146</v>
      </c>
      <c r="D12" s="185" t="str">
        <f t="shared" si="0"/>
        <v>Rétirédanslesdélais</v>
      </c>
      <c r="E12" s="268">
        <v>45247</v>
      </c>
      <c r="F12" s="187">
        <v>0</v>
      </c>
      <c r="G12" s="785" t="s">
        <v>1207</v>
      </c>
      <c r="H12" s="760"/>
      <c r="I12" s="760"/>
      <c r="J12" s="779"/>
    </row>
    <row r="13" spans="1:10" ht="19.5" thickBot="1" x14ac:dyDescent="0.3">
      <c r="A13" s="8">
        <v>9</v>
      </c>
      <c r="B13" s="177">
        <v>4112850660</v>
      </c>
      <c r="C13" s="183" t="s">
        <v>1146</v>
      </c>
      <c r="D13" s="177" t="str">
        <f t="shared" si="0"/>
        <v>Rétirédanslesdélais</v>
      </c>
      <c r="E13" s="268">
        <v>45246</v>
      </c>
      <c r="F13" s="184">
        <v>0</v>
      </c>
      <c r="G13" s="785" t="s">
        <v>1207</v>
      </c>
      <c r="H13" s="760"/>
      <c r="I13" s="760"/>
      <c r="J13" s="779"/>
    </row>
    <row r="14" spans="1:10" ht="19.5" thickBot="1" x14ac:dyDescent="0.3">
      <c r="A14" s="8">
        <v>10</v>
      </c>
      <c r="B14" s="174">
        <v>4112810450</v>
      </c>
      <c r="C14" s="188" t="s">
        <v>1141</v>
      </c>
      <c r="D14" s="174" t="str">
        <f t="shared" si="0"/>
        <v>Rétirédanslesdélais</v>
      </c>
      <c r="E14" s="270">
        <v>45240</v>
      </c>
      <c r="F14" s="184">
        <v>0</v>
      </c>
      <c r="G14" s="785" t="s">
        <v>1207</v>
      </c>
      <c r="H14" s="760"/>
      <c r="I14" s="760"/>
      <c r="J14" s="779"/>
    </row>
    <row r="15" spans="1:10" ht="19.5" thickBot="1" x14ac:dyDescent="0.3">
      <c r="A15" s="8">
        <v>11</v>
      </c>
      <c r="B15" s="177">
        <v>4112810420</v>
      </c>
      <c r="C15" s="183" t="s">
        <v>1141</v>
      </c>
      <c r="D15" s="177" t="str">
        <f t="shared" si="0"/>
        <v>Rétirédanslesdélais</v>
      </c>
      <c r="E15" s="270">
        <v>45240</v>
      </c>
      <c r="F15" s="184">
        <v>0</v>
      </c>
      <c r="G15" s="785" t="s">
        <v>1207</v>
      </c>
      <c r="H15" s="760"/>
      <c r="I15" s="760"/>
      <c r="J15" s="779"/>
    </row>
    <row r="16" spans="1:10" ht="19.5" thickBot="1" x14ac:dyDescent="0.3">
      <c r="A16" s="8">
        <v>12</v>
      </c>
      <c r="B16" s="185">
        <v>4112756960</v>
      </c>
      <c r="C16" s="186" t="s">
        <v>1141</v>
      </c>
      <c r="D16" s="177" t="str">
        <f t="shared" si="0"/>
        <v>Rétirédanslesdélais</v>
      </c>
      <c r="E16" s="270">
        <v>45240</v>
      </c>
      <c r="F16" s="184">
        <v>0</v>
      </c>
      <c r="G16" s="785" t="s">
        <v>1207</v>
      </c>
      <c r="H16" s="760"/>
      <c r="I16" s="760"/>
      <c r="J16" s="779"/>
    </row>
    <row r="17" spans="1:10" ht="19.5" thickBot="1" x14ac:dyDescent="0.3">
      <c r="A17" s="8">
        <v>13</v>
      </c>
      <c r="B17" s="177">
        <v>4112831500</v>
      </c>
      <c r="C17" s="183" t="s">
        <v>1462</v>
      </c>
      <c r="D17" s="177" t="str">
        <f t="shared" si="0"/>
        <v>Rétirédanslesdélais</v>
      </c>
      <c r="E17" s="268">
        <v>45239</v>
      </c>
      <c r="F17" s="184">
        <v>0</v>
      </c>
      <c r="G17" s="785" t="s">
        <v>1207</v>
      </c>
      <c r="H17" s="760"/>
      <c r="I17" s="760"/>
      <c r="J17" s="779"/>
    </row>
  </sheetData>
  <mergeCells count="17"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  <mergeCell ref="G13:J13"/>
    <mergeCell ref="G14:J14"/>
    <mergeCell ref="G15:J15"/>
    <mergeCell ref="G16:J16"/>
    <mergeCell ref="G17:J17"/>
  </mergeCells>
  <conditionalFormatting sqref="B1:B5">
    <cfRule type="duplicateValues" dxfId="234" priority="6"/>
  </conditionalFormatting>
  <conditionalFormatting sqref="B1:B17">
    <cfRule type="duplicateValues" dxfId="233" priority="158"/>
    <cfRule type="duplicateValues" dxfId="232" priority="159"/>
    <cfRule type="duplicateValues" dxfId="231" priority="160"/>
  </conditionalFormatting>
  <conditionalFormatting sqref="B6:B17">
    <cfRule type="duplicateValues" dxfId="230" priority="161"/>
  </conditionalFormatting>
  <conditionalFormatting sqref="D5:D17">
    <cfRule type="containsText" dxfId="229" priority="1" operator="containsText" text="En Attente d'un Retrait Tardif">
      <formula>NOT(ISERROR(SEARCH("En Attente d'un Retrait Tardif",D5)))</formula>
    </cfRule>
    <cfRule type="containsText" dxfId="228" priority="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1DAF-4537-46D6-97C9-A5F1D4F7EDF9}">
  <sheetPr codeName="Feuil13">
    <tabColor theme="9" tint="-0.249977111117893"/>
  </sheetPr>
  <dimension ref="A1:J19"/>
  <sheetViews>
    <sheetView zoomScaleNormal="100" workbookViewId="0">
      <selection activeCell="N14" sqref="N14"/>
    </sheetView>
  </sheetViews>
  <sheetFormatPr baseColWidth="10" defaultColWidth="11.42578125" defaultRowHeight="15" x14ac:dyDescent="0.25"/>
  <cols>
    <col min="1" max="1" width="6.42578125" customWidth="1"/>
    <col min="2" max="2" width="20.5703125" customWidth="1"/>
    <col min="3" max="3" width="22.140625" customWidth="1"/>
    <col min="4" max="4" width="37.85546875" style="105" customWidth="1"/>
    <col min="5" max="5" width="17" customWidth="1"/>
    <col min="6" max="6" width="12.5703125" customWidth="1"/>
    <col min="7" max="10" width="12" customWidth="1"/>
    <col min="11" max="11" width="16.7109375" customWidth="1"/>
  </cols>
  <sheetData>
    <row r="1" spans="1:10" ht="16.5" thickBot="1" x14ac:dyDescent="0.3">
      <c r="A1" s="762" t="s">
        <v>1665</v>
      </c>
      <c r="B1" s="762"/>
      <c r="C1" s="59"/>
      <c r="D1" s="729"/>
      <c r="E1" s="729"/>
    </row>
    <row r="2" spans="1:10" ht="23.25" customHeight="1" thickBot="1" x14ac:dyDescent="0.3">
      <c r="A2" s="730"/>
      <c r="B2" s="730"/>
      <c r="C2" s="150" t="s">
        <v>0</v>
      </c>
      <c r="D2" s="13">
        <v>45216</v>
      </c>
      <c r="E2" s="4">
        <f ca="1">TODAY()</f>
        <v>46096</v>
      </c>
      <c r="F2" s="5">
        <f ca="1">E2-D2</f>
        <v>880</v>
      </c>
    </row>
    <row r="3" spans="1:10" ht="15.75" thickBot="1" x14ac:dyDescent="0.3"/>
    <row r="4" spans="1:10" ht="24" customHeight="1" thickBot="1" x14ac:dyDescent="0.3">
      <c r="A4" s="143" t="s">
        <v>1</v>
      </c>
      <c r="B4" s="144" t="s">
        <v>87</v>
      </c>
      <c r="C4" s="145" t="s">
        <v>1620</v>
      </c>
      <c r="D4" s="146" t="s">
        <v>7</v>
      </c>
      <c r="E4" s="147" t="s">
        <v>1514</v>
      </c>
      <c r="F4" s="148" t="s">
        <v>8</v>
      </c>
      <c r="G4" s="811" t="s">
        <v>11</v>
      </c>
      <c r="H4" s="811"/>
      <c r="I4" s="811"/>
      <c r="J4" s="812"/>
    </row>
    <row r="5" spans="1:10" ht="21.75" customHeight="1" thickBot="1" x14ac:dyDescent="0.3">
      <c r="A5" s="65">
        <v>1</v>
      </c>
      <c r="B5" s="124">
        <v>2143206410</v>
      </c>
      <c r="C5" s="126" t="s">
        <v>53</v>
      </c>
      <c r="D5" s="102" t="str">
        <f t="shared" ref="D5:D19" si="0">IF(E5="",IF($F$2&lt;=15,"EnattentedeRetrait","EnAttented'unRetraitTardif"),IF(E5-$D$2&lt;=15,"Rétirédanslesdélais",IF(E5-$D$2&gt;15,"Rétirétardivement-30000FCFAamende")))</f>
        <v>Rétirédanslesdélais</v>
      </c>
      <c r="E5" s="116">
        <v>45225</v>
      </c>
      <c r="F5" s="91">
        <v>0</v>
      </c>
      <c r="G5" s="813" t="s">
        <v>1666</v>
      </c>
      <c r="H5" s="814"/>
      <c r="I5" s="814"/>
      <c r="J5" s="815"/>
    </row>
    <row r="6" spans="1:10" ht="21.75" customHeight="1" thickBot="1" x14ac:dyDescent="0.3">
      <c r="A6" s="65">
        <v>2</v>
      </c>
      <c r="B6" s="124">
        <v>4112756980</v>
      </c>
      <c r="C6" s="126" t="s">
        <v>1075</v>
      </c>
      <c r="D6" s="102" t="str">
        <f t="shared" si="0"/>
        <v>Rétirédanslesdélais</v>
      </c>
      <c r="E6" s="116">
        <v>45222</v>
      </c>
      <c r="F6" s="91">
        <v>0</v>
      </c>
      <c r="G6" s="813" t="s">
        <v>1666</v>
      </c>
      <c r="H6" s="814"/>
      <c r="I6" s="814"/>
      <c r="J6" s="815"/>
    </row>
    <row r="7" spans="1:10" ht="21.75" customHeight="1" thickBot="1" x14ac:dyDescent="0.3">
      <c r="A7" s="65">
        <v>3</v>
      </c>
      <c r="B7" s="124">
        <v>4112824420</v>
      </c>
      <c r="C7" s="126" t="s">
        <v>43</v>
      </c>
      <c r="D7" s="102" t="str">
        <f t="shared" si="0"/>
        <v>Rétirédanslesdélais</v>
      </c>
      <c r="E7" s="116">
        <v>45223</v>
      </c>
      <c r="F7" s="91">
        <v>0</v>
      </c>
      <c r="G7" s="813" t="s">
        <v>1666</v>
      </c>
      <c r="H7" s="814"/>
      <c r="I7" s="814"/>
      <c r="J7" s="815"/>
    </row>
    <row r="8" spans="1:10" ht="21.75" customHeight="1" thickBot="1" x14ac:dyDescent="0.3">
      <c r="A8" s="65">
        <v>4</v>
      </c>
      <c r="B8" s="124">
        <v>4112846880</v>
      </c>
      <c r="C8" s="126" t="s">
        <v>122</v>
      </c>
      <c r="D8" s="102" t="str">
        <f t="shared" si="0"/>
        <v>Rétirétardivement-30000FCFAamende</v>
      </c>
      <c r="E8" s="116">
        <v>45240</v>
      </c>
      <c r="F8" s="91">
        <v>0</v>
      </c>
      <c r="G8" s="813" t="s">
        <v>1667</v>
      </c>
      <c r="H8" s="814"/>
      <c r="I8" s="814"/>
      <c r="J8" s="815"/>
    </row>
    <row r="9" spans="1:10" ht="21.75" customHeight="1" thickBot="1" x14ac:dyDescent="0.3">
      <c r="A9" s="65">
        <v>5</v>
      </c>
      <c r="B9" s="124">
        <v>4112846890</v>
      </c>
      <c r="C9" s="126" t="s">
        <v>122</v>
      </c>
      <c r="D9" s="102" t="str">
        <f t="shared" si="0"/>
        <v>Rétirétardivement-30000FCFAamende</v>
      </c>
      <c r="E9" s="116">
        <v>45233</v>
      </c>
      <c r="F9" s="91">
        <v>0</v>
      </c>
      <c r="G9" s="813" t="s">
        <v>1667</v>
      </c>
      <c r="H9" s="814"/>
      <c r="I9" s="814"/>
      <c r="J9" s="815"/>
    </row>
    <row r="10" spans="1:10" ht="21.75" customHeight="1" thickBot="1" x14ac:dyDescent="0.3">
      <c r="A10" s="65"/>
      <c r="B10" s="124">
        <v>4112846889</v>
      </c>
      <c r="C10" s="126" t="s">
        <v>122</v>
      </c>
      <c r="D10" s="102" t="str">
        <f t="shared" si="0"/>
        <v>Rétirétardivement-30000FCFAamende</v>
      </c>
      <c r="E10" s="116">
        <v>45233</v>
      </c>
      <c r="F10" s="91">
        <v>0</v>
      </c>
      <c r="G10" s="813" t="s">
        <v>1667</v>
      </c>
      <c r="H10" s="814"/>
      <c r="I10" s="814"/>
      <c r="J10" s="815"/>
    </row>
    <row r="11" spans="1:10" ht="21.75" customHeight="1" thickBot="1" x14ac:dyDescent="0.3">
      <c r="A11" s="65"/>
      <c r="B11" s="124">
        <v>4112846888</v>
      </c>
      <c r="C11" s="126" t="s">
        <v>122</v>
      </c>
      <c r="D11" s="102" t="str">
        <f t="shared" si="0"/>
        <v>Rétirétardivement-30000FCFAamende</v>
      </c>
      <c r="E11" s="116">
        <v>45233</v>
      </c>
      <c r="F11" s="91">
        <v>0</v>
      </c>
      <c r="G11" s="813" t="s">
        <v>1667</v>
      </c>
      <c r="H11" s="814"/>
      <c r="I11" s="814"/>
      <c r="J11" s="815"/>
    </row>
    <row r="12" spans="1:10" ht="21.75" customHeight="1" thickBot="1" x14ac:dyDescent="0.3">
      <c r="A12" s="65"/>
      <c r="B12" s="124">
        <v>4112846887</v>
      </c>
      <c r="C12" s="126" t="s">
        <v>122</v>
      </c>
      <c r="D12" s="102" t="str">
        <f t="shared" si="0"/>
        <v>Rétirétardivement-30000FCFAamende</v>
      </c>
      <c r="E12" s="116">
        <v>45233</v>
      </c>
      <c r="F12" s="91">
        <v>0</v>
      </c>
      <c r="G12" s="813" t="s">
        <v>1667</v>
      </c>
      <c r="H12" s="814"/>
      <c r="I12" s="814"/>
      <c r="J12" s="815"/>
    </row>
    <row r="13" spans="1:10" ht="21.75" customHeight="1" thickBot="1" x14ac:dyDescent="0.3">
      <c r="A13" s="65"/>
      <c r="B13" s="124">
        <v>4112846899</v>
      </c>
      <c r="C13" s="126" t="s">
        <v>122</v>
      </c>
      <c r="D13" s="102" t="str">
        <f t="shared" si="0"/>
        <v>Rétirétardivement-30000FCFAamende</v>
      </c>
      <c r="E13" s="116">
        <v>45233</v>
      </c>
      <c r="F13" s="91">
        <v>0</v>
      </c>
      <c r="G13" s="813" t="s">
        <v>1667</v>
      </c>
      <c r="H13" s="814"/>
      <c r="I13" s="814"/>
      <c r="J13" s="815"/>
    </row>
    <row r="14" spans="1:10" ht="21.75" customHeight="1" thickBot="1" x14ac:dyDescent="0.3">
      <c r="A14" s="65"/>
      <c r="B14" s="124">
        <v>4112846898</v>
      </c>
      <c r="C14" s="126" t="s">
        <v>122</v>
      </c>
      <c r="D14" s="102" t="str">
        <f t="shared" si="0"/>
        <v>Rétirétardivement-30000FCFAamende</v>
      </c>
      <c r="E14" s="116">
        <v>45233</v>
      </c>
      <c r="F14" s="91">
        <v>0</v>
      </c>
      <c r="G14" s="813" t="s">
        <v>1667</v>
      </c>
      <c r="H14" s="814"/>
      <c r="I14" s="814"/>
      <c r="J14" s="815"/>
    </row>
    <row r="15" spans="1:10" ht="21.75" customHeight="1" thickBot="1" x14ac:dyDescent="0.3">
      <c r="A15" s="65"/>
      <c r="B15" s="124">
        <v>4112846897</v>
      </c>
      <c r="C15" s="126" t="s">
        <v>122</v>
      </c>
      <c r="D15" s="102" t="str">
        <f t="shared" si="0"/>
        <v>Rétirétardivement-30000FCFAamende</v>
      </c>
      <c r="E15" s="116">
        <v>45233</v>
      </c>
      <c r="F15" s="91">
        <v>0</v>
      </c>
      <c r="G15" s="813" t="s">
        <v>1667</v>
      </c>
      <c r="H15" s="814"/>
      <c r="I15" s="814"/>
      <c r="J15" s="815"/>
    </row>
    <row r="16" spans="1:10" ht="21.75" customHeight="1" thickBot="1" x14ac:dyDescent="0.3">
      <c r="A16" s="65"/>
      <c r="B16" s="124">
        <v>4112846896</v>
      </c>
      <c r="C16" s="126" t="s">
        <v>122</v>
      </c>
      <c r="D16" s="102" t="str">
        <f t="shared" si="0"/>
        <v>Rétirétardivement-30000FCFAamende</v>
      </c>
      <c r="E16" s="116">
        <v>45233</v>
      </c>
      <c r="F16" s="91">
        <v>0</v>
      </c>
      <c r="G16" s="813" t="s">
        <v>1667</v>
      </c>
      <c r="H16" s="814"/>
      <c r="I16" s="814"/>
      <c r="J16" s="815"/>
    </row>
    <row r="17" spans="1:10" ht="21.75" customHeight="1" thickBot="1" x14ac:dyDescent="0.3">
      <c r="A17" s="65">
        <v>8</v>
      </c>
      <c r="B17" s="124">
        <v>4114557130</v>
      </c>
      <c r="C17" s="126" t="s">
        <v>122</v>
      </c>
      <c r="D17" s="102" t="str">
        <f t="shared" si="0"/>
        <v>Rétirétardivement-30000FCFAamende</v>
      </c>
      <c r="E17" s="116">
        <v>45233</v>
      </c>
      <c r="F17" s="91">
        <v>0</v>
      </c>
      <c r="G17" s="813" t="s">
        <v>1667</v>
      </c>
      <c r="H17" s="814"/>
      <c r="I17" s="814"/>
      <c r="J17" s="815"/>
    </row>
    <row r="18" spans="1:10" ht="21.75" customHeight="1" thickBot="1" x14ac:dyDescent="0.3">
      <c r="A18" s="65">
        <v>6</v>
      </c>
      <c r="B18" s="124">
        <v>4112848380</v>
      </c>
      <c r="C18" s="126" t="s">
        <v>61</v>
      </c>
      <c r="D18" s="102" t="str">
        <f t="shared" si="0"/>
        <v>Rétirédanslesdélais</v>
      </c>
      <c r="E18" s="116">
        <v>45222</v>
      </c>
      <c r="F18" s="91">
        <v>0</v>
      </c>
      <c r="G18" s="813" t="s">
        <v>1666</v>
      </c>
      <c r="H18" s="814"/>
      <c r="I18" s="814"/>
      <c r="J18" s="815"/>
    </row>
    <row r="19" spans="1:10" ht="21.75" customHeight="1" thickBot="1" x14ac:dyDescent="0.3">
      <c r="A19" s="113">
        <v>7</v>
      </c>
      <c r="B19" s="124">
        <v>4112849350</v>
      </c>
      <c r="C19" s="126" t="s">
        <v>1613</v>
      </c>
      <c r="D19" s="115" t="str">
        <f t="shared" si="0"/>
        <v>Rétirétardivement-30000FCFAamende</v>
      </c>
      <c r="E19" s="117">
        <v>45232</v>
      </c>
      <c r="F19" s="149">
        <v>0</v>
      </c>
      <c r="G19" s="816" t="s">
        <v>1667</v>
      </c>
      <c r="H19" s="817"/>
      <c r="I19" s="817"/>
      <c r="J19" s="818"/>
    </row>
  </sheetData>
  <sheetProtection selectLockedCells="1"/>
  <mergeCells count="19">
    <mergeCell ref="G6:J6"/>
    <mergeCell ref="G7:J7"/>
    <mergeCell ref="G8:J8"/>
    <mergeCell ref="G9:J9"/>
    <mergeCell ref="A1:B1"/>
    <mergeCell ref="D1:E1"/>
    <mergeCell ref="A2:B2"/>
    <mergeCell ref="G4:J4"/>
    <mergeCell ref="G5:J5"/>
    <mergeCell ref="G18:J18"/>
    <mergeCell ref="G19:J19"/>
    <mergeCell ref="G10:J10"/>
    <mergeCell ref="G11:J11"/>
    <mergeCell ref="G12:J12"/>
    <mergeCell ref="G13:J13"/>
    <mergeCell ref="G14:J14"/>
    <mergeCell ref="G15:J15"/>
    <mergeCell ref="G16:J16"/>
    <mergeCell ref="G17:J17"/>
  </mergeCells>
  <conditionalFormatting sqref="B6:B19">
    <cfRule type="duplicateValues" dxfId="227" priority="3"/>
    <cfRule type="duplicateValues" dxfId="226" priority="4"/>
    <cfRule type="duplicateValues" dxfId="225" priority="5"/>
    <cfRule type="duplicateValues" dxfId="224" priority="6"/>
  </conditionalFormatting>
  <conditionalFormatting sqref="B21:B1048576 B1:B5">
    <cfRule type="duplicateValues" dxfId="223" priority="22"/>
    <cfRule type="duplicateValues" dxfId="222" priority="23"/>
    <cfRule type="duplicateValues" dxfId="221" priority="25"/>
    <cfRule type="duplicateValues" dxfId="220" priority="26"/>
  </conditionalFormatting>
  <conditionalFormatting sqref="B21:B1048576">
    <cfRule type="duplicateValues" dxfId="219" priority="24"/>
  </conditionalFormatting>
  <conditionalFormatting sqref="D5:D19">
    <cfRule type="containsText" dxfId="218" priority="1" operator="containsText" text="En Attente d'un Retrait Tardif">
      <formula>NOT(ISERROR(SEARCH("En Attente d'un Retrait Tardif",D5)))</formula>
    </cfRule>
    <cfRule type="containsText" dxfId="217" priority="2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566E-7FB1-4966-8C3E-6C6EBD78FAD9}">
  <sheetPr codeName="Feuil14">
    <tabColor rgb="FF00B050"/>
  </sheetPr>
  <dimension ref="A1:J19"/>
  <sheetViews>
    <sheetView zoomScaleNormal="100" workbookViewId="0">
      <selection activeCell="C18" sqref="C18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12.5703125" customWidth="1"/>
    <col min="7" max="7" width="13.5703125" bestFit="1" customWidth="1"/>
    <col min="8" max="8" width="9.28515625" customWidth="1"/>
    <col min="9" max="10" width="16.7109375" customWidth="1"/>
    <col min="11" max="11" width="6.85546875" customWidth="1"/>
    <col min="12" max="12" width="2.7109375" customWidth="1"/>
  </cols>
  <sheetData>
    <row r="1" spans="1:10" ht="16.5" thickBot="1" x14ac:dyDescent="0.3">
      <c r="A1" s="762" t="s">
        <v>1668</v>
      </c>
      <c r="B1" s="762"/>
      <c r="C1" s="59"/>
      <c r="D1" s="729"/>
      <c r="E1" s="729"/>
    </row>
    <row r="2" spans="1:10" ht="23.25" customHeight="1" thickBot="1" x14ac:dyDescent="0.3">
      <c r="A2" s="730" t="s">
        <v>0</v>
      </c>
      <c r="B2" s="730"/>
      <c r="C2" s="60"/>
      <c r="D2" s="13">
        <v>45217</v>
      </c>
      <c r="E2" s="4">
        <f ca="1">TODAY()</f>
        <v>46096</v>
      </c>
      <c r="F2" s="5">
        <f ca="1">E2-D2</f>
        <v>879</v>
      </c>
    </row>
    <row r="3" spans="1:10" ht="15.75" thickBot="1" x14ac:dyDescent="0.3"/>
    <row r="4" spans="1:10" ht="24" customHeight="1" thickBot="1" x14ac:dyDescent="0.3">
      <c r="A4" s="143" t="s">
        <v>1</v>
      </c>
      <c r="B4" s="144" t="s">
        <v>87</v>
      </c>
      <c r="C4" s="145" t="s">
        <v>1620</v>
      </c>
      <c r="D4" s="146" t="s">
        <v>7</v>
      </c>
      <c r="E4" s="147"/>
      <c r="F4" s="148" t="s">
        <v>8</v>
      </c>
      <c r="G4" s="811" t="s">
        <v>11</v>
      </c>
      <c r="H4" s="811"/>
      <c r="I4" s="811"/>
      <c r="J4" s="812"/>
    </row>
    <row r="5" spans="1:10" ht="23.25" customHeight="1" thickBot="1" x14ac:dyDescent="0.3">
      <c r="A5" s="8">
        <v>1</v>
      </c>
      <c r="B5" s="131">
        <v>2143318990</v>
      </c>
      <c r="C5" s="132" t="s">
        <v>83</v>
      </c>
      <c r="D5" s="133" t="str">
        <f t="shared" ref="D5:D19" si="0">IF(E5="",IF($F$2&lt;=15,"EnattentedeRetrait","EnAttented'unRetraitTardif"),IF(E5-$D$2&lt;=15,"Rétirédanslesdélais",IF(E5-$D$2&gt;15,"Rétirétardivement-30000FCFAamende")))</f>
        <v>Rétirédanslesdélais</v>
      </c>
      <c r="E5" s="134">
        <v>45219</v>
      </c>
      <c r="F5" s="135">
        <v>0</v>
      </c>
      <c r="G5" s="822" t="s">
        <v>1666</v>
      </c>
      <c r="H5" s="823"/>
      <c r="I5" s="823"/>
      <c r="J5" s="824"/>
    </row>
    <row r="6" spans="1:10" ht="23.25" customHeight="1" thickBot="1" x14ac:dyDescent="0.3">
      <c r="A6" s="65">
        <v>2</v>
      </c>
      <c r="B6" s="124">
        <v>4053920704</v>
      </c>
      <c r="C6" s="126" t="s">
        <v>1669</v>
      </c>
      <c r="D6" s="102" t="str">
        <f t="shared" si="0"/>
        <v>Rétirédanslesdélais</v>
      </c>
      <c r="E6" s="117">
        <v>45224</v>
      </c>
      <c r="F6" s="71">
        <v>0</v>
      </c>
      <c r="G6" s="825" t="s">
        <v>1666</v>
      </c>
      <c r="H6" s="826"/>
      <c r="I6" s="826"/>
      <c r="J6" s="827"/>
    </row>
    <row r="7" spans="1:10" ht="23.25" customHeight="1" thickBot="1" x14ac:dyDescent="0.3">
      <c r="A7" s="65">
        <v>3</v>
      </c>
      <c r="B7" s="125">
        <v>4112756940</v>
      </c>
      <c r="C7" s="86" t="s">
        <v>1075</v>
      </c>
      <c r="D7" s="102" t="str">
        <f t="shared" si="0"/>
        <v>Rétirédanslesdélais</v>
      </c>
      <c r="E7" s="116">
        <v>45219</v>
      </c>
      <c r="F7" s="71">
        <v>0</v>
      </c>
      <c r="G7" s="825" t="s">
        <v>1666</v>
      </c>
      <c r="H7" s="826"/>
      <c r="I7" s="826"/>
      <c r="J7" s="827"/>
    </row>
    <row r="8" spans="1:10" ht="23.25" customHeight="1" thickBot="1" x14ac:dyDescent="0.3">
      <c r="A8" s="65">
        <v>4</v>
      </c>
      <c r="B8" s="124">
        <v>4112774720</v>
      </c>
      <c r="C8" s="86" t="s">
        <v>1627</v>
      </c>
      <c r="D8" s="102" t="str">
        <f t="shared" si="0"/>
        <v>Rétirétardivement-30000FCFAamende</v>
      </c>
      <c r="E8" s="116">
        <v>45233</v>
      </c>
      <c r="F8" s="71">
        <v>0</v>
      </c>
      <c r="G8" s="828" t="s">
        <v>1670</v>
      </c>
      <c r="H8" s="829"/>
      <c r="I8" s="829"/>
      <c r="J8" s="830"/>
    </row>
    <row r="9" spans="1:10" ht="23.25" customHeight="1" thickBot="1" x14ac:dyDescent="0.3">
      <c r="A9" s="127">
        <v>5</v>
      </c>
      <c r="B9" s="125">
        <v>4112797621</v>
      </c>
      <c r="C9" s="128" t="s">
        <v>1276</v>
      </c>
      <c r="D9" s="129" t="str">
        <f t="shared" si="0"/>
        <v>Rétirédanslesdélais</v>
      </c>
      <c r="E9" s="130">
        <v>45224</v>
      </c>
      <c r="F9" s="72">
        <v>0</v>
      </c>
      <c r="G9" s="831" t="s">
        <v>1666</v>
      </c>
      <c r="H9" s="832"/>
      <c r="I9" s="832"/>
      <c r="J9" s="833"/>
    </row>
    <row r="10" spans="1:10" ht="23.25" customHeight="1" thickBot="1" x14ac:dyDescent="0.3">
      <c r="A10" s="113">
        <v>6</v>
      </c>
      <c r="B10" s="124">
        <v>4112805580</v>
      </c>
      <c r="C10" s="114" t="s">
        <v>123</v>
      </c>
      <c r="D10" s="115" t="str">
        <f t="shared" si="0"/>
        <v>Rétirédanslesdélais</v>
      </c>
      <c r="E10" s="117">
        <v>45224</v>
      </c>
      <c r="F10" s="149">
        <v>0</v>
      </c>
      <c r="G10" s="834" t="s">
        <v>1671</v>
      </c>
      <c r="H10" s="835"/>
      <c r="I10" s="835"/>
      <c r="J10" s="836"/>
    </row>
    <row r="11" spans="1:10" ht="23.25" customHeight="1" thickBot="1" x14ac:dyDescent="0.3">
      <c r="A11" s="113">
        <v>7</v>
      </c>
      <c r="B11" s="124">
        <v>4112813190</v>
      </c>
      <c r="C11" s="114" t="s">
        <v>1106</v>
      </c>
      <c r="D11" s="115" t="str">
        <f t="shared" si="0"/>
        <v>Rétirédanslesdélais</v>
      </c>
      <c r="E11" s="117">
        <v>45222</v>
      </c>
      <c r="F11" s="149">
        <v>0</v>
      </c>
      <c r="G11" s="837" t="s">
        <v>1666</v>
      </c>
      <c r="H11" s="838"/>
      <c r="I11" s="838"/>
      <c r="J11" s="839"/>
    </row>
    <row r="12" spans="1:10" ht="23.25" customHeight="1" thickBot="1" x14ac:dyDescent="0.3">
      <c r="A12" s="136">
        <v>8</v>
      </c>
      <c r="B12" s="137">
        <v>4112815550</v>
      </c>
      <c r="C12" s="138" t="s">
        <v>1276</v>
      </c>
      <c r="D12" s="139" t="str">
        <f t="shared" si="0"/>
        <v>Rétirédanslesdélais</v>
      </c>
      <c r="E12" s="117">
        <v>45222</v>
      </c>
      <c r="F12" s="140">
        <v>0</v>
      </c>
      <c r="G12" s="819" t="s">
        <v>1666</v>
      </c>
      <c r="H12" s="820"/>
      <c r="I12" s="820"/>
      <c r="J12" s="821"/>
    </row>
    <row r="13" spans="1:10" ht="23.25" customHeight="1" thickBot="1" x14ac:dyDescent="0.3">
      <c r="A13" s="113">
        <v>9</v>
      </c>
      <c r="B13" s="124">
        <v>4112818100</v>
      </c>
      <c r="C13" s="114" t="s">
        <v>123</v>
      </c>
      <c r="D13" s="115" t="str">
        <f t="shared" si="0"/>
        <v>Rétirédanslesdélais</v>
      </c>
      <c r="E13" s="117">
        <v>45224</v>
      </c>
      <c r="F13" s="149">
        <v>0</v>
      </c>
      <c r="G13" s="834" t="s">
        <v>1671</v>
      </c>
      <c r="H13" s="835"/>
      <c r="I13" s="835"/>
      <c r="J13" s="836"/>
    </row>
    <row r="14" spans="1:10" ht="23.25" customHeight="1" thickBot="1" x14ac:dyDescent="0.3">
      <c r="A14" s="151">
        <v>10</v>
      </c>
      <c r="B14" s="131">
        <v>4112818240</v>
      </c>
      <c r="C14" s="141" t="s">
        <v>123</v>
      </c>
      <c r="D14" s="142" t="str">
        <f t="shared" si="0"/>
        <v>Rétirédanslesdélais</v>
      </c>
      <c r="E14" s="117">
        <v>45224</v>
      </c>
      <c r="F14" s="152">
        <v>0</v>
      </c>
      <c r="G14" s="843" t="s">
        <v>1671</v>
      </c>
      <c r="H14" s="844"/>
      <c r="I14" s="844"/>
      <c r="J14" s="845"/>
    </row>
    <row r="15" spans="1:10" ht="23.25" customHeight="1" thickBot="1" x14ac:dyDescent="0.3">
      <c r="A15" s="113">
        <v>11</v>
      </c>
      <c r="B15" s="124">
        <v>4112827010</v>
      </c>
      <c r="C15" s="114" t="s">
        <v>1672</v>
      </c>
      <c r="D15" s="115" t="str">
        <f t="shared" si="0"/>
        <v>Rétirédanslesdélais</v>
      </c>
      <c r="E15" s="117">
        <v>45219</v>
      </c>
      <c r="F15" s="149">
        <v>0</v>
      </c>
      <c r="G15" s="837" t="s">
        <v>1666</v>
      </c>
      <c r="H15" s="838"/>
      <c r="I15" s="838"/>
      <c r="J15" s="839"/>
    </row>
    <row r="16" spans="1:10" ht="23.25" customHeight="1" thickBot="1" x14ac:dyDescent="0.3">
      <c r="A16" s="136">
        <v>12</v>
      </c>
      <c r="B16" s="137">
        <v>4112827020</v>
      </c>
      <c r="C16" s="138" t="s">
        <v>1672</v>
      </c>
      <c r="D16" s="139" t="str">
        <f t="shared" si="0"/>
        <v>Rétirédanslesdélais</v>
      </c>
      <c r="E16" s="130">
        <v>45219</v>
      </c>
      <c r="F16" s="140">
        <v>0</v>
      </c>
      <c r="G16" s="819" t="s">
        <v>1666</v>
      </c>
      <c r="H16" s="820"/>
      <c r="I16" s="820"/>
      <c r="J16" s="821"/>
    </row>
    <row r="17" spans="1:10" ht="23.25" customHeight="1" thickBot="1" x14ac:dyDescent="0.3">
      <c r="A17" s="113">
        <v>13</v>
      </c>
      <c r="B17" s="124">
        <v>4112827030</v>
      </c>
      <c r="C17" s="114" t="s">
        <v>1673</v>
      </c>
      <c r="D17" s="115" t="str">
        <f t="shared" si="0"/>
        <v>Rétirédanslesdélais</v>
      </c>
      <c r="E17" s="117">
        <v>45219</v>
      </c>
      <c r="F17" s="149">
        <v>0</v>
      </c>
      <c r="G17" s="837" t="s">
        <v>1666</v>
      </c>
      <c r="H17" s="838"/>
      <c r="I17" s="838"/>
      <c r="J17" s="839"/>
    </row>
    <row r="18" spans="1:10" ht="23.25" customHeight="1" thickBot="1" x14ac:dyDescent="0.3">
      <c r="A18" s="113">
        <v>14</v>
      </c>
      <c r="B18" s="124">
        <v>4112827111</v>
      </c>
      <c r="C18" s="114" t="s">
        <v>1082</v>
      </c>
      <c r="D18" s="115" t="str">
        <f t="shared" si="0"/>
        <v>Rétirédanslesdélais</v>
      </c>
      <c r="E18" s="117">
        <v>45224</v>
      </c>
      <c r="F18" s="149">
        <v>0</v>
      </c>
      <c r="G18" s="834" t="s">
        <v>1674</v>
      </c>
      <c r="H18" s="835"/>
      <c r="I18" s="835"/>
      <c r="J18" s="836"/>
    </row>
    <row r="19" spans="1:10" ht="23.25" customHeight="1" thickBot="1" x14ac:dyDescent="0.3">
      <c r="A19" s="151">
        <v>15</v>
      </c>
      <c r="B19" s="131">
        <v>4112829360</v>
      </c>
      <c r="C19" s="141" t="s">
        <v>1627</v>
      </c>
      <c r="D19" s="142" t="str">
        <f t="shared" si="0"/>
        <v>Rétirétardivement-30000FCFAamende</v>
      </c>
      <c r="E19" s="117">
        <v>45233</v>
      </c>
      <c r="F19" s="152">
        <v>0</v>
      </c>
      <c r="G19" s="840" t="s">
        <v>1670</v>
      </c>
      <c r="H19" s="841"/>
      <c r="I19" s="841"/>
      <c r="J19" s="842"/>
    </row>
  </sheetData>
  <sheetProtection selectLockedCells="1"/>
  <autoFilter ref="A4:J19" xr:uid="{C44BFA83-827D-4C6C-B9B5-90A1B8EF2775}">
    <filterColumn colId="6" showButton="0"/>
    <filterColumn colId="7" showButton="0"/>
    <filterColumn colId="8" showButton="0"/>
  </autoFilter>
  <mergeCells count="19">
    <mergeCell ref="G19:J19"/>
    <mergeCell ref="G13:J13"/>
    <mergeCell ref="G14:J14"/>
    <mergeCell ref="G15:J15"/>
    <mergeCell ref="G16:J16"/>
    <mergeCell ref="G17:J17"/>
    <mergeCell ref="G18:J18"/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</mergeCells>
  <conditionalFormatting sqref="B1:B1048576">
    <cfRule type="duplicateValues" dxfId="216" priority="137"/>
    <cfRule type="duplicateValues" dxfId="215" priority="148"/>
    <cfRule type="duplicateValues" dxfId="214" priority="149"/>
  </conditionalFormatting>
  <conditionalFormatting sqref="B6:B19">
    <cfRule type="duplicateValues" dxfId="213" priority="151"/>
  </conditionalFormatting>
  <conditionalFormatting sqref="B20:B1048576 B1:B5">
    <cfRule type="duplicateValues" dxfId="212" priority="141"/>
  </conditionalFormatting>
  <conditionalFormatting sqref="B20:B1048576">
    <cfRule type="duplicateValues" dxfId="211" priority="145"/>
  </conditionalFormatting>
  <conditionalFormatting sqref="D5:D19">
    <cfRule type="containsText" dxfId="210" priority="28" operator="containsText" text="En Attente d'un Retrait Tardif">
      <formula>NOT(ISERROR(SEARCH("En Attente d'un Retrait Tardif",D5)))</formula>
    </cfRule>
    <cfRule type="containsText" dxfId="209" priority="29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011C-8EFF-44CA-9C93-6066F8705FE3}">
  <sheetPr codeName="Feuil15">
    <tabColor rgb="FF00B050"/>
  </sheetPr>
  <dimension ref="A1:J22"/>
  <sheetViews>
    <sheetView zoomScaleNormal="100" workbookViewId="0">
      <selection activeCell="D18" sqref="D18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12.5703125" customWidth="1"/>
    <col min="7" max="7" width="13.5703125" bestFit="1" customWidth="1"/>
    <col min="8" max="8" width="9.28515625" customWidth="1"/>
    <col min="9" max="11" width="16.7109375" customWidth="1"/>
  </cols>
  <sheetData>
    <row r="1" spans="1:10" ht="16.5" thickBot="1" x14ac:dyDescent="0.3">
      <c r="A1" s="762" t="s">
        <v>1675</v>
      </c>
      <c r="B1" s="762"/>
      <c r="C1" s="59"/>
      <c r="D1" s="729"/>
      <c r="E1" s="729"/>
    </row>
    <row r="2" spans="1:10" ht="23.25" customHeight="1" thickBot="1" x14ac:dyDescent="0.3">
      <c r="A2" s="730" t="s">
        <v>0</v>
      </c>
      <c r="B2" s="730"/>
      <c r="C2" s="60"/>
      <c r="D2" s="13">
        <v>45212</v>
      </c>
      <c r="E2" s="4">
        <f ca="1">TODAY()</f>
        <v>46096</v>
      </c>
      <c r="F2" s="5">
        <f ca="1">E2-D2</f>
        <v>884</v>
      </c>
    </row>
    <row r="3" spans="1:10" ht="15.75" thickBot="1" x14ac:dyDescent="0.3"/>
    <row r="4" spans="1:10" ht="24" customHeight="1" thickBot="1" x14ac:dyDescent="0.3">
      <c r="A4" s="143" t="s">
        <v>1</v>
      </c>
      <c r="B4" s="144" t="s">
        <v>87</v>
      </c>
      <c r="C4" s="145" t="s">
        <v>1620</v>
      </c>
      <c r="D4" s="146" t="s">
        <v>7</v>
      </c>
      <c r="E4" s="147"/>
      <c r="F4" s="148" t="s">
        <v>8</v>
      </c>
      <c r="G4" s="811" t="s">
        <v>11</v>
      </c>
      <c r="H4" s="811"/>
      <c r="I4" s="811"/>
      <c r="J4" s="812"/>
    </row>
    <row r="5" spans="1:10" ht="21.75" customHeight="1" thickBot="1" x14ac:dyDescent="0.3">
      <c r="A5" s="8">
        <v>1</v>
      </c>
      <c r="B5" s="131">
        <v>4053991681</v>
      </c>
      <c r="C5" s="159" t="s">
        <v>81</v>
      </c>
      <c r="D5" s="133" t="str">
        <f t="shared" ref="D5:D22" si="0">IF(E5="",IF($F$2&lt;=15,"EnattentedeRetrait","EnAttented'unRetraitTardif"),IF(E5-$D$2&lt;=15,"Rétirédanslesdélais",IF(E5-$D$2&gt;15,"Rétirétardivement-30000FCFAamende")))</f>
        <v>Rétirédanslesdélais</v>
      </c>
      <c r="E5" s="134">
        <v>45218</v>
      </c>
      <c r="F5" s="135">
        <v>0</v>
      </c>
      <c r="G5" s="849"/>
      <c r="H5" s="850"/>
      <c r="I5" s="850"/>
      <c r="J5" s="851"/>
    </row>
    <row r="6" spans="1:10" ht="21.75" customHeight="1" thickBot="1" x14ac:dyDescent="0.3">
      <c r="A6" s="65">
        <v>2</v>
      </c>
      <c r="B6" s="124">
        <v>4112781811</v>
      </c>
      <c r="C6" s="160" t="s">
        <v>82</v>
      </c>
      <c r="D6" s="102" t="str">
        <f t="shared" si="0"/>
        <v>Rétirédanslesdélais</v>
      </c>
      <c r="E6" s="117">
        <v>45217</v>
      </c>
      <c r="F6" s="71">
        <v>0</v>
      </c>
      <c r="G6" s="870"/>
      <c r="H6" s="871"/>
      <c r="I6" s="871"/>
      <c r="J6" s="872"/>
    </row>
    <row r="7" spans="1:10" ht="21.75" customHeight="1" thickBot="1" x14ac:dyDescent="0.3">
      <c r="A7" s="65">
        <v>3</v>
      </c>
      <c r="B7" s="125">
        <v>4112802050</v>
      </c>
      <c r="C7" s="153" t="s">
        <v>125</v>
      </c>
      <c r="D7" s="102" t="str">
        <f t="shared" si="0"/>
        <v>Rétirédanslesdélais</v>
      </c>
      <c r="E7" s="116">
        <v>45216</v>
      </c>
      <c r="F7" s="71">
        <v>0</v>
      </c>
      <c r="G7" s="870"/>
      <c r="H7" s="871"/>
      <c r="I7" s="871"/>
      <c r="J7" s="872"/>
    </row>
    <row r="8" spans="1:10" ht="21.75" customHeight="1" thickBot="1" x14ac:dyDescent="0.3">
      <c r="A8" s="65">
        <v>4</v>
      </c>
      <c r="B8" s="124">
        <v>4112809520</v>
      </c>
      <c r="C8" s="153" t="s">
        <v>75</v>
      </c>
      <c r="D8" s="102" t="str">
        <f t="shared" si="0"/>
        <v>Rétirédanslesdélais</v>
      </c>
      <c r="E8" s="116">
        <v>45218</v>
      </c>
      <c r="F8" s="71">
        <v>0</v>
      </c>
      <c r="G8" s="846"/>
      <c r="H8" s="847"/>
      <c r="I8" s="847"/>
      <c r="J8" s="848"/>
    </row>
    <row r="9" spans="1:10" ht="21.75" customHeight="1" thickBot="1" x14ac:dyDescent="0.3">
      <c r="A9" s="127">
        <v>5</v>
      </c>
      <c r="B9" s="125">
        <v>4112809621</v>
      </c>
      <c r="C9" s="154" t="s">
        <v>126</v>
      </c>
      <c r="D9" s="129" t="str">
        <f t="shared" si="0"/>
        <v>Rétirédanslesdélais</v>
      </c>
      <c r="E9" s="130">
        <v>45217</v>
      </c>
      <c r="F9" s="72">
        <v>0</v>
      </c>
      <c r="G9" s="873"/>
      <c r="H9" s="874"/>
      <c r="I9" s="874"/>
      <c r="J9" s="875"/>
    </row>
    <row r="10" spans="1:10" ht="21.75" customHeight="1" thickBot="1" x14ac:dyDescent="0.3">
      <c r="A10" s="113">
        <v>6</v>
      </c>
      <c r="B10" s="124">
        <v>4112812590</v>
      </c>
      <c r="C10" s="155" t="s">
        <v>127</v>
      </c>
      <c r="D10" s="115" t="str">
        <f t="shared" si="0"/>
        <v>Rétirédanslesdélais</v>
      </c>
      <c r="E10" s="117">
        <v>45224</v>
      </c>
      <c r="F10" s="149">
        <v>0</v>
      </c>
      <c r="G10" s="858"/>
      <c r="H10" s="859"/>
      <c r="I10" s="859"/>
      <c r="J10" s="860"/>
    </row>
    <row r="11" spans="1:10" ht="21.75" customHeight="1" thickBot="1" x14ac:dyDescent="0.3">
      <c r="A11" s="113">
        <v>7</v>
      </c>
      <c r="B11" s="124">
        <v>4112831820</v>
      </c>
      <c r="C11" s="155" t="s">
        <v>70</v>
      </c>
      <c r="D11" s="115" t="str">
        <f t="shared" si="0"/>
        <v>Rétirédanslesdélais</v>
      </c>
      <c r="E11" s="117">
        <v>45218</v>
      </c>
      <c r="F11" s="149">
        <v>0</v>
      </c>
      <c r="G11" s="864"/>
      <c r="H11" s="865"/>
      <c r="I11" s="865"/>
      <c r="J11" s="866"/>
    </row>
    <row r="12" spans="1:10" ht="21.75" customHeight="1" thickBot="1" x14ac:dyDescent="0.3">
      <c r="A12" s="136">
        <v>8</v>
      </c>
      <c r="B12" s="137">
        <v>4112831850</v>
      </c>
      <c r="C12" s="156" t="s">
        <v>70</v>
      </c>
      <c r="D12" s="139" t="str">
        <f t="shared" si="0"/>
        <v>Rétirédanslesdélais</v>
      </c>
      <c r="E12" s="117">
        <v>45218</v>
      </c>
      <c r="F12" s="140">
        <v>0</v>
      </c>
      <c r="G12" s="867"/>
      <c r="H12" s="868"/>
      <c r="I12" s="868"/>
      <c r="J12" s="869"/>
    </row>
    <row r="13" spans="1:10" ht="21.75" customHeight="1" thickBot="1" x14ac:dyDescent="0.3">
      <c r="A13" s="113">
        <v>9</v>
      </c>
      <c r="B13" s="124">
        <v>4112831860</v>
      </c>
      <c r="C13" s="155" t="s">
        <v>70</v>
      </c>
      <c r="D13" s="115" t="str">
        <f t="shared" si="0"/>
        <v>Rétirédanslesdélais</v>
      </c>
      <c r="E13" s="117">
        <v>45218</v>
      </c>
      <c r="F13" s="149">
        <v>0</v>
      </c>
      <c r="G13" s="858"/>
      <c r="H13" s="859"/>
      <c r="I13" s="859"/>
      <c r="J13" s="860"/>
    </row>
    <row r="14" spans="1:10" ht="24" customHeight="1" thickBot="1" x14ac:dyDescent="0.3">
      <c r="A14" s="151">
        <v>10</v>
      </c>
      <c r="B14" s="131">
        <v>4112831870</v>
      </c>
      <c r="C14" s="157" t="s">
        <v>70</v>
      </c>
      <c r="D14" s="142" t="str">
        <f t="shared" si="0"/>
        <v>Rétirédanslesdélais</v>
      </c>
      <c r="E14" s="117">
        <v>45218</v>
      </c>
      <c r="F14" s="152">
        <v>0</v>
      </c>
      <c r="G14" s="861"/>
      <c r="H14" s="862"/>
      <c r="I14" s="862"/>
      <c r="J14" s="863"/>
    </row>
    <row r="15" spans="1:10" ht="24" customHeight="1" thickBot="1" x14ac:dyDescent="0.3">
      <c r="A15" s="113">
        <v>11</v>
      </c>
      <c r="B15" s="124">
        <v>4112831890</v>
      </c>
      <c r="C15" s="155" t="s">
        <v>70</v>
      </c>
      <c r="D15" s="115" t="str">
        <f t="shared" si="0"/>
        <v>Rétirédanslesdélais</v>
      </c>
      <c r="E15" s="117">
        <v>45218</v>
      </c>
      <c r="F15" s="149">
        <v>0</v>
      </c>
      <c r="G15" s="864"/>
      <c r="H15" s="865"/>
      <c r="I15" s="865"/>
      <c r="J15" s="866"/>
    </row>
    <row r="16" spans="1:10" ht="24" customHeight="1" thickBot="1" x14ac:dyDescent="0.3">
      <c r="A16" s="136">
        <v>12</v>
      </c>
      <c r="B16" s="131">
        <v>4112831900</v>
      </c>
      <c r="C16" s="156" t="s">
        <v>70</v>
      </c>
      <c r="D16" s="139" t="str">
        <f t="shared" si="0"/>
        <v>Rétirédanslesdélais</v>
      </c>
      <c r="E16" s="130">
        <v>45218</v>
      </c>
      <c r="F16" s="140">
        <v>0</v>
      </c>
      <c r="G16" s="867"/>
      <c r="H16" s="868"/>
      <c r="I16" s="868"/>
      <c r="J16" s="869"/>
    </row>
    <row r="17" spans="1:10" ht="24" customHeight="1" thickBot="1" x14ac:dyDescent="0.3">
      <c r="A17" s="113">
        <v>13</v>
      </c>
      <c r="B17" s="124">
        <v>4112832600</v>
      </c>
      <c r="C17" s="155" t="s">
        <v>127</v>
      </c>
      <c r="D17" s="115" t="str">
        <f t="shared" si="0"/>
        <v>Rétirédanslesdélais</v>
      </c>
      <c r="E17" s="117">
        <v>45224</v>
      </c>
      <c r="F17" s="149">
        <v>0</v>
      </c>
      <c r="G17" s="864"/>
      <c r="H17" s="865"/>
      <c r="I17" s="865"/>
      <c r="J17" s="866"/>
    </row>
    <row r="18" spans="1:10" ht="24" customHeight="1" thickBot="1" x14ac:dyDescent="0.3">
      <c r="A18" s="113">
        <v>14</v>
      </c>
      <c r="B18" s="124">
        <v>4112841290</v>
      </c>
      <c r="C18" s="155" t="s">
        <v>70</v>
      </c>
      <c r="D18" s="115" t="str">
        <f t="shared" si="0"/>
        <v>Rétirédanslesdélais</v>
      </c>
      <c r="E18" s="117">
        <v>45218</v>
      </c>
      <c r="F18" s="149">
        <v>0</v>
      </c>
      <c r="G18" s="858"/>
      <c r="H18" s="859"/>
      <c r="I18" s="859"/>
      <c r="J18" s="860"/>
    </row>
    <row r="19" spans="1:10" ht="24" customHeight="1" thickBot="1" x14ac:dyDescent="0.3">
      <c r="A19" s="151">
        <v>15</v>
      </c>
      <c r="B19" s="131">
        <v>4112841670</v>
      </c>
      <c r="C19" s="157" t="s">
        <v>70</v>
      </c>
      <c r="D19" s="142" t="str">
        <f t="shared" si="0"/>
        <v>Rétirédanslesdélais</v>
      </c>
      <c r="E19" s="117">
        <v>45218</v>
      </c>
      <c r="F19" s="152">
        <v>0</v>
      </c>
      <c r="G19" s="846"/>
      <c r="H19" s="847"/>
      <c r="I19" s="847"/>
      <c r="J19" s="848"/>
    </row>
    <row r="20" spans="1:10" ht="24" customHeight="1" thickBot="1" x14ac:dyDescent="0.3">
      <c r="A20" s="8">
        <v>16</v>
      </c>
      <c r="B20" s="137">
        <v>4112842070</v>
      </c>
      <c r="C20" s="158" t="s">
        <v>1676</v>
      </c>
      <c r="D20" s="133" t="str">
        <f t="shared" si="0"/>
        <v>Rétirédanslesdélais</v>
      </c>
      <c r="E20" s="134">
        <v>45218</v>
      </c>
      <c r="F20" s="135">
        <v>0</v>
      </c>
      <c r="G20" s="849"/>
      <c r="H20" s="850"/>
      <c r="I20" s="850"/>
      <c r="J20" s="851"/>
    </row>
    <row r="21" spans="1:10" ht="24" customHeight="1" thickBot="1" x14ac:dyDescent="0.3">
      <c r="A21" s="65">
        <v>17</v>
      </c>
      <c r="B21" s="124">
        <v>4112850810</v>
      </c>
      <c r="C21" s="153" t="s">
        <v>70</v>
      </c>
      <c r="D21" s="115" t="str">
        <f t="shared" si="0"/>
        <v>Rétirédanslesdélais</v>
      </c>
      <c r="E21" s="117">
        <v>45218</v>
      </c>
      <c r="F21" s="71">
        <v>0</v>
      </c>
      <c r="G21" s="852"/>
      <c r="H21" s="853"/>
      <c r="I21" s="853"/>
      <c r="J21" s="854"/>
    </row>
    <row r="22" spans="1:10" ht="19.5" thickBot="1" x14ac:dyDescent="0.3">
      <c r="A22" s="113">
        <v>18</v>
      </c>
      <c r="B22" s="124">
        <v>4112850820</v>
      </c>
      <c r="C22" s="155" t="s">
        <v>70</v>
      </c>
      <c r="D22" s="115" t="str">
        <f t="shared" si="0"/>
        <v>Rétirédanslesdélais</v>
      </c>
      <c r="E22" s="117">
        <v>45218</v>
      </c>
      <c r="F22" s="73">
        <v>0</v>
      </c>
      <c r="G22" s="855"/>
      <c r="H22" s="856"/>
      <c r="I22" s="856"/>
      <c r="J22" s="857"/>
    </row>
  </sheetData>
  <sheetProtection selectLockedCells="1"/>
  <autoFilter ref="A4:J22" xr:uid="{C44BFA83-827D-4C6C-B9B5-90A1B8EF2775}">
    <filterColumn colId="6" showButton="0"/>
    <filterColumn colId="7" showButton="0"/>
    <filterColumn colId="8" showButton="0"/>
  </autoFilter>
  <mergeCells count="22">
    <mergeCell ref="G12:J12"/>
    <mergeCell ref="A1:B1"/>
    <mergeCell ref="D1:E1"/>
    <mergeCell ref="A2:B2"/>
    <mergeCell ref="G4:J4"/>
    <mergeCell ref="G5:J5"/>
    <mergeCell ref="G6:J6"/>
    <mergeCell ref="G7:J7"/>
    <mergeCell ref="G8:J8"/>
    <mergeCell ref="G9:J9"/>
    <mergeCell ref="G10:J10"/>
    <mergeCell ref="G11:J11"/>
    <mergeCell ref="G19:J19"/>
    <mergeCell ref="G20:J20"/>
    <mergeCell ref="G21:J21"/>
    <mergeCell ref="G22:J22"/>
    <mergeCell ref="G13:J13"/>
    <mergeCell ref="G14:J14"/>
    <mergeCell ref="G15:J15"/>
    <mergeCell ref="G16:J16"/>
    <mergeCell ref="G17:J17"/>
    <mergeCell ref="G18:J18"/>
  </mergeCells>
  <conditionalFormatting sqref="B1:B5 B23:B1048576">
    <cfRule type="duplicateValues" dxfId="208" priority="11"/>
  </conditionalFormatting>
  <conditionalFormatting sqref="B6:B21">
    <cfRule type="duplicateValues" dxfId="207" priority="9"/>
  </conditionalFormatting>
  <conditionalFormatting sqref="B22">
    <cfRule type="duplicateValues" dxfId="206" priority="1"/>
    <cfRule type="duplicateValues" dxfId="205" priority="2"/>
    <cfRule type="duplicateValues" dxfId="204" priority="3"/>
    <cfRule type="duplicateValues" dxfId="203" priority="4"/>
  </conditionalFormatting>
  <conditionalFormatting sqref="B23:B1048576 B1:B21">
    <cfRule type="duplicateValues" dxfId="202" priority="10"/>
    <cfRule type="duplicateValues" dxfId="201" priority="13"/>
    <cfRule type="duplicateValues" dxfId="200" priority="14"/>
  </conditionalFormatting>
  <conditionalFormatting sqref="B23:B1048576">
    <cfRule type="duplicateValues" dxfId="199" priority="12"/>
  </conditionalFormatting>
  <conditionalFormatting sqref="D5:D22">
    <cfRule type="containsText" dxfId="198" priority="5" operator="containsText" text="En Attente d'un Retrait Tardif">
      <formula>NOT(ISERROR(SEARCH("En Attente d'un Retrait Tardif",D5)))</formula>
    </cfRule>
    <cfRule type="containsText" dxfId="197" priority="6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FA83-827D-4C6C-B9B5-90A1B8EF2775}">
  <sheetPr codeName="Feuil16">
    <tabColor rgb="FF00B050"/>
  </sheetPr>
  <dimension ref="A1:J43"/>
  <sheetViews>
    <sheetView topLeftCell="A18" zoomScaleNormal="100" workbookViewId="0">
      <selection activeCell="B25" sqref="B25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7.28515625" customWidth="1"/>
    <col min="7" max="7" width="13.5703125" bestFit="1" customWidth="1"/>
    <col min="8" max="11" width="16.7109375" customWidth="1"/>
  </cols>
  <sheetData>
    <row r="1" spans="1:10" ht="16.5" thickBot="1" x14ac:dyDescent="0.3">
      <c r="A1" s="762" t="s">
        <v>1677</v>
      </c>
      <c r="B1" s="762"/>
      <c r="C1" s="59"/>
      <c r="D1" s="729"/>
      <c r="E1" s="729"/>
    </row>
    <row r="2" spans="1:10" ht="23.25" customHeight="1" thickBot="1" x14ac:dyDescent="0.3">
      <c r="A2" s="730" t="s">
        <v>0</v>
      </c>
      <c r="B2" s="730"/>
      <c r="C2" s="60"/>
      <c r="D2" s="13">
        <v>45204</v>
      </c>
      <c r="E2" s="4">
        <f ca="1">TODAY()</f>
        <v>46096</v>
      </c>
      <c r="F2" s="5">
        <f ca="1">E2-D2</f>
        <v>892</v>
      </c>
    </row>
    <row r="3" spans="1:10" ht="15.75" thickBot="1" x14ac:dyDescent="0.3"/>
    <row r="4" spans="1:10" ht="24" customHeight="1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/>
      <c r="F4" s="41" t="s">
        <v>8</v>
      </c>
      <c r="G4" s="796" t="s">
        <v>11</v>
      </c>
      <c r="H4" s="796"/>
      <c r="I4" s="796"/>
      <c r="J4" s="797"/>
    </row>
    <row r="5" spans="1:10" ht="21.75" customHeight="1" thickBot="1" x14ac:dyDescent="0.3">
      <c r="A5" s="65">
        <v>1</v>
      </c>
      <c r="B5" s="118">
        <v>4053983991</v>
      </c>
      <c r="C5" s="86" t="s">
        <v>70</v>
      </c>
      <c r="D5" s="102" t="str">
        <f t="shared" ref="D5:D43" si="0">IF(E5="",IF($F$2&lt;=15,"EnattentedeRetrait","EnAttented'unRetraitTardif"),IF(E5-$D$2&lt;=15,"Rétirédanslesdélais",IF(E5-$D$2&gt;15,"Rétirétardivement-30000FCFAamende")))</f>
        <v>Rétirédanslesdélais</v>
      </c>
      <c r="E5" s="116">
        <v>45210</v>
      </c>
      <c r="F5" s="91">
        <v>0</v>
      </c>
      <c r="G5" s="876"/>
      <c r="H5" s="877"/>
      <c r="I5" s="877"/>
      <c r="J5" s="878"/>
    </row>
    <row r="6" spans="1:10" ht="21.75" customHeight="1" thickBot="1" x14ac:dyDescent="0.3">
      <c r="A6" s="65">
        <v>2</v>
      </c>
      <c r="B6" s="118">
        <v>4112736281</v>
      </c>
      <c r="C6" s="86" t="s">
        <v>70</v>
      </c>
      <c r="D6" s="102" t="str">
        <f t="shared" si="0"/>
        <v>Rétirédanslesdélais</v>
      </c>
      <c r="E6" s="117">
        <v>45211</v>
      </c>
      <c r="F6" s="71">
        <v>0</v>
      </c>
      <c r="G6" s="870" t="s">
        <v>128</v>
      </c>
      <c r="H6" s="871"/>
      <c r="I6" s="871"/>
      <c r="J6" s="872"/>
    </row>
    <row r="7" spans="1:10" ht="21.75" customHeight="1" thickBot="1" x14ac:dyDescent="0.3">
      <c r="A7" s="65">
        <v>3</v>
      </c>
      <c r="B7" s="118">
        <v>4112738311</v>
      </c>
      <c r="C7" s="86" t="s">
        <v>70</v>
      </c>
      <c r="D7" s="102" t="str">
        <f t="shared" si="0"/>
        <v>Rétirédanslesdélais</v>
      </c>
      <c r="E7" s="116">
        <v>45210</v>
      </c>
      <c r="F7" s="71">
        <v>0</v>
      </c>
      <c r="G7" s="870"/>
      <c r="H7" s="871"/>
      <c r="I7" s="871"/>
      <c r="J7" s="872"/>
    </row>
    <row r="8" spans="1:10" ht="21.75" customHeight="1" thickBot="1" x14ac:dyDescent="0.3">
      <c r="A8" s="65">
        <v>4</v>
      </c>
      <c r="B8" s="118">
        <v>4112738401</v>
      </c>
      <c r="C8" s="86" t="s">
        <v>70</v>
      </c>
      <c r="D8" s="102" t="str">
        <f t="shared" si="0"/>
        <v>Rétirédanslesdélais</v>
      </c>
      <c r="E8" s="116">
        <v>45210</v>
      </c>
      <c r="F8" s="71">
        <v>0</v>
      </c>
      <c r="G8" s="870"/>
      <c r="H8" s="871"/>
      <c r="I8" s="871"/>
      <c r="J8" s="872"/>
    </row>
    <row r="9" spans="1:10" ht="21.75" customHeight="1" thickBot="1" x14ac:dyDescent="0.3">
      <c r="A9" s="65">
        <v>5</v>
      </c>
      <c r="B9" s="118">
        <v>4112738491</v>
      </c>
      <c r="C9" s="86" t="s">
        <v>70</v>
      </c>
      <c r="D9" s="102" t="str">
        <f t="shared" si="0"/>
        <v>Rétirédanslesdélais</v>
      </c>
      <c r="E9" s="116">
        <v>45209</v>
      </c>
      <c r="F9" s="71">
        <v>0</v>
      </c>
      <c r="G9" s="870"/>
      <c r="H9" s="871"/>
      <c r="I9" s="871"/>
      <c r="J9" s="872"/>
    </row>
    <row r="10" spans="1:10" ht="21.75" customHeight="1" thickBot="1" x14ac:dyDescent="0.3">
      <c r="A10" s="65">
        <v>6</v>
      </c>
      <c r="B10" s="118">
        <v>4112742651</v>
      </c>
      <c r="C10" s="86" t="s">
        <v>70</v>
      </c>
      <c r="D10" s="102" t="str">
        <f t="shared" si="0"/>
        <v>Rétirédanslesdélais</v>
      </c>
      <c r="E10" s="117">
        <v>45211</v>
      </c>
      <c r="F10" s="71">
        <v>0</v>
      </c>
      <c r="G10" s="852" t="s">
        <v>128</v>
      </c>
      <c r="H10" s="853"/>
      <c r="I10" s="853"/>
      <c r="J10" s="854"/>
    </row>
    <row r="11" spans="1:10" ht="21.75" customHeight="1" thickBot="1" x14ac:dyDescent="0.3">
      <c r="A11" s="65">
        <v>7</v>
      </c>
      <c r="B11" s="118">
        <v>4112742661</v>
      </c>
      <c r="C11" s="86" t="s">
        <v>70</v>
      </c>
      <c r="D11" s="102" t="str">
        <f t="shared" si="0"/>
        <v>Rétirédanslesdélais</v>
      </c>
      <c r="E11" s="116">
        <v>45209</v>
      </c>
      <c r="F11" s="71">
        <v>0</v>
      </c>
      <c r="G11" s="870"/>
      <c r="H11" s="871"/>
      <c r="I11" s="871"/>
      <c r="J11" s="872"/>
    </row>
    <row r="12" spans="1:10" ht="21.75" customHeight="1" thickBot="1" x14ac:dyDescent="0.3">
      <c r="A12" s="65">
        <v>8</v>
      </c>
      <c r="B12" s="118">
        <v>4112756910</v>
      </c>
      <c r="C12" s="86" t="s">
        <v>70</v>
      </c>
      <c r="D12" s="102" t="str">
        <f t="shared" si="0"/>
        <v>Rétirédanslesdélais</v>
      </c>
      <c r="E12" s="116">
        <v>45210</v>
      </c>
      <c r="F12" s="71">
        <v>0</v>
      </c>
      <c r="G12" s="870"/>
      <c r="H12" s="871"/>
      <c r="I12" s="871"/>
      <c r="J12" s="872"/>
    </row>
    <row r="13" spans="1:10" ht="21.75" customHeight="1" thickBot="1" x14ac:dyDescent="0.3">
      <c r="A13" s="65">
        <v>9</v>
      </c>
      <c r="B13" s="118">
        <v>4112757011</v>
      </c>
      <c r="C13" s="86" t="s">
        <v>70</v>
      </c>
      <c r="D13" s="102" t="str">
        <f t="shared" si="0"/>
        <v>Rétirédanslesdélais</v>
      </c>
      <c r="E13" s="117">
        <v>45211</v>
      </c>
      <c r="F13" s="71">
        <v>0</v>
      </c>
      <c r="G13" s="870" t="s">
        <v>128</v>
      </c>
      <c r="H13" s="871"/>
      <c r="I13" s="871"/>
      <c r="J13" s="872"/>
    </row>
    <row r="14" spans="1:10" ht="24" customHeight="1" thickBot="1" x14ac:dyDescent="0.3">
      <c r="A14" s="65">
        <v>10</v>
      </c>
      <c r="B14" s="118">
        <v>4112764810</v>
      </c>
      <c r="C14" s="86" t="s">
        <v>70</v>
      </c>
      <c r="D14" s="102" t="str">
        <f t="shared" si="0"/>
        <v>Rétirédanslesdélais</v>
      </c>
      <c r="E14" s="116">
        <v>45209</v>
      </c>
      <c r="F14" s="71">
        <v>0</v>
      </c>
      <c r="G14" s="879"/>
      <c r="H14" s="746"/>
      <c r="I14" s="746"/>
      <c r="J14" s="880"/>
    </row>
    <row r="15" spans="1:10" ht="24" customHeight="1" thickBot="1" x14ac:dyDescent="0.3">
      <c r="A15" s="65">
        <v>11</v>
      </c>
      <c r="B15" s="118">
        <v>4112764830</v>
      </c>
      <c r="C15" s="86" t="s">
        <v>70</v>
      </c>
      <c r="D15" s="102" t="str">
        <f t="shared" si="0"/>
        <v>Rétirédanslesdélais</v>
      </c>
      <c r="E15" s="116">
        <v>45209</v>
      </c>
      <c r="F15" s="71">
        <v>0</v>
      </c>
      <c r="G15" s="870"/>
      <c r="H15" s="871"/>
      <c r="I15" s="871"/>
      <c r="J15" s="872"/>
    </row>
    <row r="16" spans="1:10" ht="24" customHeight="1" thickBot="1" x14ac:dyDescent="0.3">
      <c r="A16" s="65">
        <v>12</v>
      </c>
      <c r="B16" s="118">
        <v>4112764840</v>
      </c>
      <c r="C16" s="86" t="s">
        <v>70</v>
      </c>
      <c r="D16" s="102" t="str">
        <f t="shared" si="0"/>
        <v>Rétirédanslesdélais</v>
      </c>
      <c r="E16" s="116">
        <v>45209</v>
      </c>
      <c r="F16" s="71">
        <v>0</v>
      </c>
      <c r="G16" s="870"/>
      <c r="H16" s="871"/>
      <c r="I16" s="871"/>
      <c r="J16" s="872"/>
    </row>
    <row r="17" spans="1:10" ht="24" customHeight="1" thickBot="1" x14ac:dyDescent="0.3">
      <c r="A17" s="65">
        <v>13</v>
      </c>
      <c r="B17" s="119">
        <v>4112764850</v>
      </c>
      <c r="C17" s="114" t="s">
        <v>70</v>
      </c>
      <c r="D17" s="115" t="str">
        <f t="shared" si="0"/>
        <v>Rétirédanslesdélais</v>
      </c>
      <c r="E17" s="117">
        <v>45211</v>
      </c>
      <c r="F17" s="71">
        <v>0</v>
      </c>
      <c r="G17" s="870" t="s">
        <v>128</v>
      </c>
      <c r="H17" s="871"/>
      <c r="I17" s="871"/>
      <c r="J17" s="872"/>
    </row>
    <row r="18" spans="1:10" ht="24" customHeight="1" thickBot="1" x14ac:dyDescent="0.3">
      <c r="A18" s="65">
        <v>14</v>
      </c>
      <c r="B18" s="118">
        <v>4112779320</v>
      </c>
      <c r="C18" s="86" t="s">
        <v>70</v>
      </c>
      <c r="D18" s="102" t="str">
        <f t="shared" si="0"/>
        <v>Rétirédanslesdélais</v>
      </c>
      <c r="E18" s="117">
        <v>45211</v>
      </c>
      <c r="F18" s="71">
        <v>0</v>
      </c>
      <c r="G18" s="870" t="s">
        <v>128</v>
      </c>
      <c r="H18" s="871"/>
      <c r="I18" s="871"/>
      <c r="J18" s="872"/>
    </row>
    <row r="19" spans="1:10" ht="24" customHeight="1" thickBot="1" x14ac:dyDescent="0.3">
      <c r="A19" s="65">
        <v>15</v>
      </c>
      <c r="B19" s="119">
        <v>4112764800</v>
      </c>
      <c r="C19" s="114" t="s">
        <v>70</v>
      </c>
      <c r="D19" s="115" t="str">
        <f t="shared" si="0"/>
        <v>Rétirédanslesdélais</v>
      </c>
      <c r="E19" s="117">
        <v>45209</v>
      </c>
      <c r="F19" s="71">
        <v>0</v>
      </c>
      <c r="G19" s="870"/>
      <c r="H19" s="871"/>
      <c r="I19" s="871"/>
      <c r="J19" s="872"/>
    </row>
    <row r="20" spans="1:10" ht="24" customHeight="1" thickBot="1" x14ac:dyDescent="0.3">
      <c r="A20" s="65">
        <v>16</v>
      </c>
      <c r="B20" s="118">
        <v>4112705240</v>
      </c>
      <c r="C20" s="86" t="s">
        <v>1678</v>
      </c>
      <c r="D20" s="102" t="str">
        <f t="shared" si="0"/>
        <v>Rétirédanslesdélais</v>
      </c>
      <c r="E20" s="116">
        <v>45218</v>
      </c>
      <c r="F20" s="71">
        <v>0</v>
      </c>
      <c r="G20" s="870" t="s">
        <v>1679</v>
      </c>
      <c r="H20" s="871"/>
      <c r="I20" s="871"/>
      <c r="J20" s="872"/>
    </row>
    <row r="21" spans="1:10" ht="24" customHeight="1" thickBot="1" x14ac:dyDescent="0.3">
      <c r="A21" s="65">
        <v>17</v>
      </c>
      <c r="B21" s="119">
        <v>4112708970</v>
      </c>
      <c r="C21" s="86" t="s">
        <v>1678</v>
      </c>
      <c r="D21" s="115" t="str">
        <f t="shared" si="0"/>
        <v>Rétirédanslesdélais</v>
      </c>
      <c r="E21" s="117">
        <v>45218</v>
      </c>
      <c r="F21" s="71">
        <v>0</v>
      </c>
      <c r="G21" s="870" t="s">
        <v>1680</v>
      </c>
      <c r="H21" s="871"/>
      <c r="I21" s="871"/>
      <c r="J21" s="872"/>
    </row>
    <row r="22" spans="1:10" ht="24" customHeight="1" thickBot="1" x14ac:dyDescent="0.3">
      <c r="A22" s="65">
        <v>18</v>
      </c>
      <c r="B22" s="118">
        <v>4112737650</v>
      </c>
      <c r="C22" s="86" t="s">
        <v>70</v>
      </c>
      <c r="D22" s="102" t="str">
        <f t="shared" si="0"/>
        <v>Rétirédanslesdélais</v>
      </c>
      <c r="E22" s="116">
        <v>45209</v>
      </c>
      <c r="F22" s="71">
        <v>0</v>
      </c>
      <c r="G22" s="870" t="s">
        <v>1681</v>
      </c>
      <c r="H22" s="871"/>
      <c r="I22" s="871"/>
      <c r="J22" s="872"/>
    </row>
    <row r="23" spans="1:10" ht="24" customHeight="1" thickBot="1" x14ac:dyDescent="0.3">
      <c r="A23" s="65">
        <v>19</v>
      </c>
      <c r="B23" s="119">
        <v>4112737901</v>
      </c>
      <c r="C23" s="86" t="s">
        <v>70</v>
      </c>
      <c r="D23" s="115" t="str">
        <f t="shared" si="0"/>
        <v>Rétirédanslesdélais</v>
      </c>
      <c r="E23" s="117">
        <v>45211</v>
      </c>
      <c r="F23" s="71">
        <v>0</v>
      </c>
      <c r="G23" s="870" t="s">
        <v>128</v>
      </c>
      <c r="H23" s="871"/>
      <c r="I23" s="871"/>
      <c r="J23" s="872"/>
    </row>
    <row r="24" spans="1:10" ht="22.5" customHeight="1" thickBot="1" x14ac:dyDescent="0.3">
      <c r="A24" s="65">
        <v>20</v>
      </c>
      <c r="B24" s="118">
        <v>4112778820</v>
      </c>
      <c r="C24" s="86" t="s">
        <v>82</v>
      </c>
      <c r="D24" s="102" t="str">
        <f t="shared" si="0"/>
        <v>Rétirédanslesdélais</v>
      </c>
      <c r="E24" s="116">
        <v>45210</v>
      </c>
      <c r="F24" s="71">
        <v>0</v>
      </c>
      <c r="G24" s="870" t="s">
        <v>129</v>
      </c>
      <c r="H24" s="871"/>
      <c r="I24" s="871"/>
      <c r="J24" s="872"/>
    </row>
    <row r="25" spans="1:10" ht="22.5" customHeight="1" thickBot="1" x14ac:dyDescent="0.3">
      <c r="A25" s="65">
        <v>21</v>
      </c>
      <c r="B25" s="119">
        <v>4112781810</v>
      </c>
      <c r="C25" s="114" t="s">
        <v>82</v>
      </c>
      <c r="D25" s="115" t="str">
        <f t="shared" si="0"/>
        <v>Rétirédanslesdélais</v>
      </c>
      <c r="E25" s="117">
        <v>45210</v>
      </c>
      <c r="F25" s="71">
        <v>0</v>
      </c>
      <c r="G25" s="870"/>
      <c r="H25" s="871"/>
      <c r="I25" s="871"/>
      <c r="J25" s="872"/>
    </row>
    <row r="26" spans="1:10" ht="22.5" customHeight="1" thickBot="1" x14ac:dyDescent="0.3">
      <c r="A26" s="65">
        <v>22</v>
      </c>
      <c r="B26" s="118">
        <v>4112781830</v>
      </c>
      <c r="C26" s="86" t="s">
        <v>82</v>
      </c>
      <c r="D26" s="102" t="str">
        <f t="shared" si="0"/>
        <v>Rétirédanslesdélais</v>
      </c>
      <c r="E26" s="116">
        <v>45210</v>
      </c>
      <c r="F26" s="71">
        <v>0</v>
      </c>
      <c r="G26" s="870">
        <v>0</v>
      </c>
      <c r="H26" s="871"/>
      <c r="I26" s="871"/>
      <c r="J26" s="872"/>
    </row>
    <row r="27" spans="1:10" ht="22.5" customHeight="1" thickBot="1" x14ac:dyDescent="0.3">
      <c r="A27" s="65">
        <v>23</v>
      </c>
      <c r="B27" s="119">
        <v>4112781850</v>
      </c>
      <c r="C27" s="114" t="s">
        <v>82</v>
      </c>
      <c r="D27" s="115" t="str">
        <f t="shared" si="0"/>
        <v>Rétirédanslesdélais</v>
      </c>
      <c r="E27" s="117">
        <v>45210</v>
      </c>
      <c r="F27" s="71">
        <v>0</v>
      </c>
      <c r="G27" s="870">
        <v>0</v>
      </c>
      <c r="H27" s="871"/>
      <c r="I27" s="871"/>
      <c r="J27" s="872"/>
    </row>
    <row r="28" spans="1:10" ht="22.5" customHeight="1" thickBot="1" x14ac:dyDescent="0.3">
      <c r="A28" s="65">
        <v>24</v>
      </c>
      <c r="B28" s="118">
        <v>4112799290</v>
      </c>
      <c r="C28" s="86" t="s">
        <v>82</v>
      </c>
      <c r="D28" s="102" t="str">
        <f t="shared" si="0"/>
        <v>Rétirédanslesdélais</v>
      </c>
      <c r="E28" s="116">
        <v>45210</v>
      </c>
      <c r="F28" s="71">
        <v>0</v>
      </c>
      <c r="G28" s="870"/>
      <c r="H28" s="871"/>
      <c r="I28" s="871"/>
      <c r="J28" s="872"/>
    </row>
    <row r="29" spans="1:10" ht="22.5" customHeight="1" thickBot="1" x14ac:dyDescent="0.3">
      <c r="A29" s="65">
        <v>25</v>
      </c>
      <c r="B29" s="119">
        <v>4112799300</v>
      </c>
      <c r="C29" s="114" t="s">
        <v>82</v>
      </c>
      <c r="D29" s="115" t="str">
        <f t="shared" si="0"/>
        <v>Rétirédanslesdélais</v>
      </c>
      <c r="E29" s="117">
        <v>45210</v>
      </c>
      <c r="F29" s="71">
        <v>0</v>
      </c>
      <c r="G29" s="870"/>
      <c r="H29" s="871"/>
      <c r="I29" s="871"/>
      <c r="J29" s="872"/>
    </row>
    <row r="30" spans="1:10" ht="22.5" customHeight="1" thickBot="1" x14ac:dyDescent="0.3">
      <c r="A30" s="65">
        <v>26</v>
      </c>
      <c r="B30" s="118">
        <v>4112799320</v>
      </c>
      <c r="C30" s="86" t="s">
        <v>82</v>
      </c>
      <c r="D30" s="102" t="str">
        <f t="shared" si="0"/>
        <v>Rétirédanslesdélais</v>
      </c>
      <c r="E30" s="116">
        <v>45210</v>
      </c>
      <c r="F30" s="71">
        <v>0</v>
      </c>
      <c r="G30" s="870">
        <v>0</v>
      </c>
      <c r="H30" s="871"/>
      <c r="I30" s="871"/>
      <c r="J30" s="872"/>
    </row>
    <row r="31" spans="1:10" ht="22.5" customHeight="1" thickBot="1" x14ac:dyDescent="0.3">
      <c r="A31" s="65">
        <v>27</v>
      </c>
      <c r="B31" s="118">
        <v>4112799350</v>
      </c>
      <c r="C31" s="86" t="s">
        <v>82</v>
      </c>
      <c r="D31" s="102" t="str">
        <f t="shared" si="0"/>
        <v>Rétirédanslesdélais</v>
      </c>
      <c r="E31" s="116">
        <v>45210</v>
      </c>
      <c r="F31" s="71">
        <v>0</v>
      </c>
      <c r="G31" s="870">
        <v>0</v>
      </c>
      <c r="H31" s="871"/>
      <c r="I31" s="871"/>
      <c r="J31" s="872"/>
    </row>
    <row r="32" spans="1:10" ht="22.5" customHeight="1" thickBot="1" x14ac:dyDescent="0.3">
      <c r="A32" s="65">
        <v>28</v>
      </c>
      <c r="B32" s="118">
        <v>4112800020</v>
      </c>
      <c r="C32" s="86" t="s">
        <v>82</v>
      </c>
      <c r="D32" s="102" t="str">
        <f t="shared" si="0"/>
        <v>Rétirédanslesdélais</v>
      </c>
      <c r="E32" s="116">
        <v>45210</v>
      </c>
      <c r="F32" s="71">
        <v>0</v>
      </c>
      <c r="G32" s="870">
        <v>0</v>
      </c>
      <c r="H32" s="871"/>
      <c r="I32" s="871"/>
      <c r="J32" s="872"/>
    </row>
    <row r="33" spans="1:10" ht="23.25" customHeight="1" thickBot="1" x14ac:dyDescent="0.3">
      <c r="A33" s="65">
        <v>29</v>
      </c>
      <c r="B33" s="118">
        <v>4112807500</v>
      </c>
      <c r="C33" s="86" t="s">
        <v>1676</v>
      </c>
      <c r="D33" s="102" t="str">
        <f t="shared" si="0"/>
        <v>Rétirédanslesdélais</v>
      </c>
      <c r="E33" s="116">
        <v>45210</v>
      </c>
      <c r="F33" s="71">
        <v>0</v>
      </c>
      <c r="G33" s="881" t="s">
        <v>1682</v>
      </c>
      <c r="H33" s="882"/>
      <c r="I33" s="882"/>
      <c r="J33" s="883"/>
    </row>
    <row r="34" spans="1:10" ht="25.5" customHeight="1" thickBot="1" x14ac:dyDescent="0.3">
      <c r="A34" s="65">
        <v>30</v>
      </c>
      <c r="B34" s="118">
        <v>4112808180</v>
      </c>
      <c r="C34" s="86" t="s">
        <v>82</v>
      </c>
      <c r="D34" s="102" t="str">
        <f t="shared" si="0"/>
        <v>Rétirédanslesdélais</v>
      </c>
      <c r="E34" s="116">
        <v>45210</v>
      </c>
      <c r="F34" s="71">
        <v>0</v>
      </c>
      <c r="G34" s="870">
        <v>0</v>
      </c>
      <c r="H34" s="871"/>
      <c r="I34" s="871"/>
      <c r="J34" s="872"/>
    </row>
    <row r="35" spans="1:10" ht="25.5" customHeight="1" thickBot="1" x14ac:dyDescent="0.3">
      <c r="A35" s="65">
        <v>31</v>
      </c>
      <c r="B35" s="118">
        <v>4112808340</v>
      </c>
      <c r="C35" s="86" t="s">
        <v>70</v>
      </c>
      <c r="D35" s="102" t="str">
        <f t="shared" si="0"/>
        <v>Rétirédanslesdélais</v>
      </c>
      <c r="E35" s="116">
        <v>45209</v>
      </c>
      <c r="F35" s="71">
        <v>0</v>
      </c>
      <c r="G35" s="870">
        <v>0</v>
      </c>
      <c r="H35" s="871"/>
      <c r="I35" s="871"/>
      <c r="J35" s="872"/>
    </row>
    <row r="36" spans="1:10" ht="25.5" customHeight="1" thickBot="1" x14ac:dyDescent="0.3">
      <c r="A36" s="65">
        <v>32</v>
      </c>
      <c r="B36" s="118">
        <v>4112680391</v>
      </c>
      <c r="C36" s="86" t="s">
        <v>126</v>
      </c>
      <c r="D36" s="102" t="str">
        <f t="shared" si="0"/>
        <v>Rétirédanslesdélais</v>
      </c>
      <c r="E36" s="116">
        <v>45209</v>
      </c>
      <c r="F36" s="71">
        <v>0</v>
      </c>
      <c r="G36" s="870">
        <v>0</v>
      </c>
      <c r="H36" s="871"/>
      <c r="I36" s="871"/>
      <c r="J36" s="872"/>
    </row>
    <row r="37" spans="1:10" ht="25.5" customHeight="1" thickBot="1" x14ac:dyDescent="0.3">
      <c r="A37" s="65">
        <v>33</v>
      </c>
      <c r="B37" s="118">
        <v>4112680393</v>
      </c>
      <c r="C37" s="86" t="s">
        <v>126</v>
      </c>
      <c r="D37" s="102" t="str">
        <f t="shared" si="0"/>
        <v>Rétirédanslesdélais</v>
      </c>
      <c r="E37" s="116">
        <v>45210</v>
      </c>
      <c r="F37" s="71">
        <v>0</v>
      </c>
      <c r="G37" s="870" t="s">
        <v>1683</v>
      </c>
      <c r="H37" s="871"/>
      <c r="I37" s="871"/>
      <c r="J37" s="872"/>
    </row>
    <row r="38" spans="1:10" ht="25.5" customHeight="1" thickBot="1" x14ac:dyDescent="0.3">
      <c r="A38" s="65">
        <v>34</v>
      </c>
      <c r="B38" s="118">
        <v>4112680394</v>
      </c>
      <c r="C38" s="86" t="s">
        <v>126</v>
      </c>
      <c r="D38" s="102" t="str">
        <f t="shared" si="0"/>
        <v>Rétirédanslesdélais</v>
      </c>
      <c r="E38" s="116">
        <v>45210</v>
      </c>
      <c r="F38" s="71">
        <v>0</v>
      </c>
      <c r="G38" s="870" t="s">
        <v>1684</v>
      </c>
      <c r="H38" s="871"/>
      <c r="I38" s="871"/>
      <c r="J38" s="872"/>
    </row>
    <row r="39" spans="1:10" ht="24" customHeight="1" thickBot="1" x14ac:dyDescent="0.3">
      <c r="A39" s="65">
        <v>35</v>
      </c>
      <c r="B39" s="118">
        <v>4112764880</v>
      </c>
      <c r="C39" s="86" t="s">
        <v>70</v>
      </c>
      <c r="D39" s="102" t="str">
        <f t="shared" si="0"/>
        <v>Rétirédanslesdélais</v>
      </c>
      <c r="E39" s="116">
        <v>45209</v>
      </c>
      <c r="F39" s="71">
        <v>0</v>
      </c>
      <c r="G39" s="870"/>
      <c r="H39" s="871"/>
      <c r="I39" s="871"/>
      <c r="J39" s="872"/>
    </row>
    <row r="40" spans="1:10" ht="22.5" customHeight="1" thickBot="1" x14ac:dyDescent="0.3">
      <c r="A40" s="65">
        <v>36</v>
      </c>
      <c r="B40" s="118">
        <v>4112764940</v>
      </c>
      <c r="C40" s="86" t="s">
        <v>70</v>
      </c>
      <c r="D40" s="102" t="str">
        <f t="shared" si="0"/>
        <v>Rétirédanslesdélais</v>
      </c>
      <c r="E40" s="116">
        <v>45209</v>
      </c>
      <c r="F40" s="71">
        <v>0</v>
      </c>
      <c r="G40" s="870"/>
      <c r="H40" s="871"/>
      <c r="I40" s="871"/>
      <c r="J40" s="872"/>
    </row>
    <row r="41" spans="1:10" ht="22.5" customHeight="1" thickBot="1" x14ac:dyDescent="0.3">
      <c r="A41" s="65">
        <v>37</v>
      </c>
      <c r="B41" s="118">
        <v>4112764920</v>
      </c>
      <c r="C41" s="86" t="s">
        <v>70</v>
      </c>
      <c r="D41" s="102" t="str">
        <f t="shared" si="0"/>
        <v>Rétirédanslesdélais</v>
      </c>
      <c r="E41" s="116">
        <v>45212</v>
      </c>
      <c r="F41" s="71">
        <v>0</v>
      </c>
      <c r="G41" s="870"/>
      <c r="H41" s="871"/>
      <c r="I41" s="871"/>
      <c r="J41" s="872"/>
    </row>
    <row r="42" spans="1:10" ht="22.5" customHeight="1" thickBot="1" x14ac:dyDescent="0.3">
      <c r="A42" s="65">
        <v>38</v>
      </c>
      <c r="B42" s="118">
        <v>4112779260</v>
      </c>
      <c r="C42" s="86" t="s">
        <v>70</v>
      </c>
      <c r="D42" s="102" t="str">
        <f t="shared" si="0"/>
        <v>Rétirédanslesdélais</v>
      </c>
      <c r="E42" s="116">
        <v>45212</v>
      </c>
      <c r="F42" s="71">
        <v>0</v>
      </c>
      <c r="G42" s="870"/>
      <c r="H42" s="871"/>
      <c r="I42" s="871"/>
      <c r="J42" s="872"/>
    </row>
    <row r="43" spans="1:10" ht="22.5" customHeight="1" x14ac:dyDescent="0.25">
      <c r="A43" s="65">
        <v>39</v>
      </c>
      <c r="B43" s="118">
        <v>4112746350</v>
      </c>
      <c r="C43" s="86" t="s">
        <v>1685</v>
      </c>
      <c r="D43" s="102" t="str">
        <f t="shared" si="0"/>
        <v>Rétirédanslesdélais</v>
      </c>
      <c r="E43" s="116">
        <v>45215</v>
      </c>
      <c r="F43" s="71">
        <v>0</v>
      </c>
      <c r="G43" s="870" t="s">
        <v>1686</v>
      </c>
      <c r="H43" s="871"/>
      <c r="I43" s="871"/>
      <c r="J43" s="872"/>
    </row>
  </sheetData>
  <sheetProtection selectLockedCells="1"/>
  <autoFilter ref="A4:J43" xr:uid="{C44BFA83-827D-4C6C-B9B5-90A1B8EF2775}">
    <filterColumn colId="6" showButton="0"/>
    <filterColumn colId="7" showButton="0"/>
    <filterColumn colId="8" showButton="0"/>
  </autoFilter>
  <mergeCells count="43">
    <mergeCell ref="G43:J43"/>
    <mergeCell ref="G31:J31"/>
    <mergeCell ref="G33:J33"/>
    <mergeCell ref="G34:J34"/>
    <mergeCell ref="G35:J35"/>
    <mergeCell ref="G32:J32"/>
    <mergeCell ref="G36:J36"/>
    <mergeCell ref="G37:J37"/>
    <mergeCell ref="G38:J38"/>
    <mergeCell ref="G39:J39"/>
    <mergeCell ref="G40:J40"/>
    <mergeCell ref="G14:J14"/>
    <mergeCell ref="G15:J15"/>
    <mergeCell ref="G16:J16"/>
    <mergeCell ref="G17:J17"/>
    <mergeCell ref="G30:J30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6:J6"/>
    <mergeCell ref="G41:J41"/>
    <mergeCell ref="G42:J42"/>
    <mergeCell ref="A1:B1"/>
    <mergeCell ref="D1:E1"/>
    <mergeCell ref="A2:B2"/>
    <mergeCell ref="G4:J4"/>
    <mergeCell ref="G5:J5"/>
    <mergeCell ref="G18:J18"/>
    <mergeCell ref="G7:J7"/>
    <mergeCell ref="G8:J8"/>
    <mergeCell ref="G9:J9"/>
    <mergeCell ref="G10:J10"/>
    <mergeCell ref="G11:J11"/>
    <mergeCell ref="G12:J12"/>
    <mergeCell ref="G13:J13"/>
  </mergeCells>
  <conditionalFormatting sqref="B1:B40 B43:B64 B74:B1048576 A62:B77">
    <cfRule type="duplicateValues" dxfId="196" priority="15"/>
    <cfRule type="duplicateValues" dxfId="195" priority="16"/>
  </conditionalFormatting>
  <conditionalFormatting sqref="B1:B64 B74:B1048576 A62:B77">
    <cfRule type="duplicateValues" dxfId="194" priority="2"/>
  </conditionalFormatting>
  <conditionalFormatting sqref="B1:B1048576 A62:B77">
    <cfRule type="duplicateValues" dxfId="193" priority="1"/>
  </conditionalFormatting>
  <conditionalFormatting sqref="B6:B34">
    <cfRule type="duplicateValues" dxfId="192" priority="124"/>
  </conditionalFormatting>
  <conditionalFormatting sqref="B35">
    <cfRule type="duplicateValues" dxfId="191" priority="40"/>
    <cfRule type="duplicateValues" dxfId="190" priority="43"/>
  </conditionalFormatting>
  <conditionalFormatting sqref="B36:B38">
    <cfRule type="duplicateValues" dxfId="189" priority="36"/>
    <cfRule type="duplicateValues" dxfId="188" priority="39"/>
  </conditionalFormatting>
  <conditionalFormatting sqref="B39:B40">
    <cfRule type="duplicateValues" dxfId="187" priority="28"/>
    <cfRule type="duplicateValues" dxfId="186" priority="29"/>
  </conditionalFormatting>
  <conditionalFormatting sqref="B41:B42">
    <cfRule type="duplicateValues" dxfId="185" priority="3"/>
    <cfRule type="duplicateValues" dxfId="184" priority="4"/>
    <cfRule type="duplicateValues" dxfId="183" priority="5"/>
    <cfRule type="duplicateValues" dxfId="182" priority="6"/>
  </conditionalFormatting>
  <conditionalFormatting sqref="B43">
    <cfRule type="duplicateValues" dxfId="181" priority="17"/>
    <cfRule type="duplicateValues" dxfId="180" priority="18"/>
  </conditionalFormatting>
  <conditionalFormatting sqref="B44:B64 B1:B5 B74:B1048576 A62:B77">
    <cfRule type="duplicateValues" dxfId="179" priority="119"/>
  </conditionalFormatting>
  <conditionalFormatting sqref="B44:B64 B1:B34 B74:B1048576 A62:B77">
    <cfRule type="duplicateValues" dxfId="178" priority="44"/>
  </conditionalFormatting>
  <conditionalFormatting sqref="B44:B64 B74:B1048576 A62:B77">
    <cfRule type="duplicateValues" dxfId="177" priority="122"/>
  </conditionalFormatting>
  <conditionalFormatting sqref="D5:D43">
    <cfRule type="containsText" dxfId="176" priority="7" operator="containsText" text="En Attente d'un Retrait Tardif">
      <formula>NOT(ISERROR(SEARCH("En Attente d'un Retrait Tardif",D5)))</formula>
    </cfRule>
    <cfRule type="containsText" dxfId="175" priority="8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A385-CC81-4556-8E7A-A94F3BBE9B97}">
  <sheetPr codeName="Feuil17">
    <tabColor rgb="FF00B050"/>
  </sheetPr>
  <dimension ref="A1:J30"/>
  <sheetViews>
    <sheetView zoomScaleNormal="100" workbookViewId="0">
      <selection activeCell="C5" sqref="C5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34" style="105" customWidth="1"/>
    <col min="5" max="5" width="17" customWidth="1"/>
    <col min="6" max="6" width="8.42578125" customWidth="1"/>
    <col min="7" max="7" width="13.5703125" bestFit="1" customWidth="1"/>
    <col min="8" max="11" width="16.7109375" customWidth="1"/>
  </cols>
  <sheetData>
    <row r="1" spans="1:10" ht="15.75" thickBot="1" x14ac:dyDescent="0.3">
      <c r="A1" s="887" t="s">
        <v>1687</v>
      </c>
      <c r="B1" s="887"/>
      <c r="C1" s="59"/>
      <c r="D1" s="729"/>
      <c r="E1" s="729"/>
    </row>
    <row r="2" spans="1:10" ht="23.25" customHeight="1" thickBot="1" x14ac:dyDescent="0.3">
      <c r="A2" s="730" t="s">
        <v>0</v>
      </c>
      <c r="B2" s="730"/>
      <c r="C2" s="60"/>
      <c r="D2" s="13">
        <v>45195</v>
      </c>
      <c r="E2" s="4">
        <f ca="1">TODAY()</f>
        <v>46096</v>
      </c>
      <c r="F2" s="5">
        <f ca="1">E2-D2</f>
        <v>901</v>
      </c>
    </row>
    <row r="3" spans="1:10" ht="15.75" thickBot="1" x14ac:dyDescent="0.3"/>
    <row r="4" spans="1:10" ht="24" customHeight="1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/>
      <c r="F4" s="41" t="s">
        <v>8</v>
      </c>
      <c r="G4" s="796" t="s">
        <v>11</v>
      </c>
      <c r="H4" s="796"/>
      <c r="I4" s="796"/>
      <c r="J4" s="797"/>
    </row>
    <row r="5" spans="1:10" ht="21.75" customHeight="1" thickBot="1" x14ac:dyDescent="0.3">
      <c r="A5" s="65">
        <v>1</v>
      </c>
      <c r="B5" s="118">
        <v>2142838620</v>
      </c>
      <c r="C5" s="86" t="s">
        <v>77</v>
      </c>
      <c r="D5" s="122" t="str">
        <f t="shared" ref="D5:D30" si="0">IF(E5="",IF($F$2&lt;=15,"EnattentedeRetrait","EnAttented'unRetraitTardif"),IF(E5-$D$2&lt;=15,"Rétirédanslesdélais",IF(E5-$D$2&gt;15,"Rétirétardivement-30000FCFAamende")))</f>
        <v>Rétirédanslesdélais</v>
      </c>
      <c r="E5" s="116">
        <v>45201</v>
      </c>
      <c r="F5" s="91">
        <v>0</v>
      </c>
      <c r="G5" s="876"/>
      <c r="H5" s="877"/>
      <c r="I5" s="877"/>
      <c r="J5" s="878"/>
    </row>
    <row r="6" spans="1:10" ht="21.75" customHeight="1" thickBot="1" x14ac:dyDescent="0.3">
      <c r="A6" s="65">
        <v>2</v>
      </c>
      <c r="B6" s="118">
        <v>2142866350</v>
      </c>
      <c r="C6" s="86" t="s">
        <v>77</v>
      </c>
      <c r="D6" s="122" t="str">
        <f t="shared" si="0"/>
        <v>Rétirédanslesdélais</v>
      </c>
      <c r="E6" s="116">
        <v>45201</v>
      </c>
      <c r="F6" s="71">
        <v>0</v>
      </c>
      <c r="G6" s="870"/>
      <c r="H6" s="871"/>
      <c r="I6" s="871"/>
      <c r="J6" s="872"/>
    </row>
    <row r="7" spans="1:10" ht="21.75" customHeight="1" thickBot="1" x14ac:dyDescent="0.3">
      <c r="A7" s="65">
        <v>3</v>
      </c>
      <c r="B7" s="118">
        <v>4053988190</v>
      </c>
      <c r="C7" s="86" t="s">
        <v>1688</v>
      </c>
      <c r="D7" s="122" t="str">
        <f t="shared" si="0"/>
        <v>Rétirédanslesdélais</v>
      </c>
      <c r="E7" s="116">
        <v>45209</v>
      </c>
      <c r="F7" s="71">
        <v>0</v>
      </c>
      <c r="G7" s="870" t="s">
        <v>1689</v>
      </c>
      <c r="H7" s="871"/>
      <c r="I7" s="871"/>
      <c r="J7" s="872"/>
    </row>
    <row r="8" spans="1:10" ht="21.75" customHeight="1" thickBot="1" x14ac:dyDescent="0.3">
      <c r="A8" s="65">
        <v>4</v>
      </c>
      <c r="B8" s="118">
        <v>4112748409</v>
      </c>
      <c r="C8" s="86" t="s">
        <v>1411</v>
      </c>
      <c r="D8" s="122" t="str">
        <f t="shared" si="0"/>
        <v>Rétirédanslesdélais</v>
      </c>
      <c r="E8" s="116">
        <v>45204</v>
      </c>
      <c r="F8" s="71">
        <v>0</v>
      </c>
      <c r="G8" s="870" t="s">
        <v>131</v>
      </c>
      <c r="H8" s="871"/>
      <c r="I8" s="871"/>
      <c r="J8" s="872"/>
    </row>
    <row r="9" spans="1:10" ht="21.75" customHeight="1" thickBot="1" x14ac:dyDescent="0.3">
      <c r="A9" s="65">
        <v>5</v>
      </c>
      <c r="B9" s="118">
        <v>4112748400</v>
      </c>
      <c r="C9" s="86" t="s">
        <v>1690</v>
      </c>
      <c r="D9" s="122" t="str">
        <f t="shared" si="0"/>
        <v>Rétirédanslesdélais</v>
      </c>
      <c r="E9" s="116">
        <v>45204</v>
      </c>
      <c r="F9" s="71">
        <v>0</v>
      </c>
      <c r="G9" s="870" t="s">
        <v>131</v>
      </c>
      <c r="H9" s="871"/>
      <c r="I9" s="871"/>
      <c r="J9" s="872"/>
    </row>
    <row r="10" spans="1:10" ht="21.75" customHeight="1" thickBot="1" x14ac:dyDescent="0.3">
      <c r="A10" s="65">
        <v>6</v>
      </c>
      <c r="B10" s="118">
        <v>4112757520</v>
      </c>
      <c r="C10" s="86" t="s">
        <v>1691</v>
      </c>
      <c r="D10" s="122" t="str">
        <f t="shared" si="0"/>
        <v>Rétirédanslesdélais</v>
      </c>
      <c r="E10" s="116">
        <v>45204</v>
      </c>
      <c r="F10" s="71">
        <v>0</v>
      </c>
      <c r="G10" s="852"/>
      <c r="H10" s="853"/>
      <c r="I10" s="853"/>
      <c r="J10" s="854"/>
    </row>
    <row r="11" spans="1:10" ht="21.75" customHeight="1" thickBot="1" x14ac:dyDescent="0.3">
      <c r="A11" s="65">
        <v>7</v>
      </c>
      <c r="B11" s="118">
        <v>4112775960</v>
      </c>
      <c r="C11" s="86" t="s">
        <v>1673</v>
      </c>
      <c r="D11" s="122" t="str">
        <f t="shared" si="0"/>
        <v>Rétirédanslesdélais</v>
      </c>
      <c r="E11" s="116">
        <v>45198</v>
      </c>
      <c r="F11" s="71">
        <v>0</v>
      </c>
      <c r="G11" s="870"/>
      <c r="H11" s="871"/>
      <c r="I11" s="871"/>
      <c r="J11" s="872"/>
    </row>
    <row r="12" spans="1:10" ht="21.75" customHeight="1" thickBot="1" x14ac:dyDescent="0.3">
      <c r="A12" s="65">
        <v>8</v>
      </c>
      <c r="B12" s="118">
        <v>4112775970</v>
      </c>
      <c r="C12" s="86" t="s">
        <v>1673</v>
      </c>
      <c r="D12" s="122" t="str">
        <f t="shared" si="0"/>
        <v>Rétirédanslesdélais</v>
      </c>
      <c r="E12" s="116">
        <v>45198</v>
      </c>
      <c r="F12" s="71">
        <v>0</v>
      </c>
      <c r="G12" s="870"/>
      <c r="H12" s="871"/>
      <c r="I12" s="871"/>
      <c r="J12" s="872"/>
    </row>
    <row r="13" spans="1:10" ht="21.75" customHeight="1" thickBot="1" x14ac:dyDescent="0.3">
      <c r="A13" s="65">
        <v>9</v>
      </c>
      <c r="B13" s="118">
        <v>4112776320</v>
      </c>
      <c r="C13" s="86" t="s">
        <v>132</v>
      </c>
      <c r="D13" s="122" t="str">
        <f t="shared" si="0"/>
        <v>Rétirédanslesdélais</v>
      </c>
      <c r="E13" s="116">
        <v>45198</v>
      </c>
      <c r="F13" s="71">
        <v>0</v>
      </c>
      <c r="G13" s="870"/>
      <c r="H13" s="871"/>
      <c r="I13" s="871"/>
      <c r="J13" s="872"/>
    </row>
    <row r="14" spans="1:10" ht="24" customHeight="1" thickBot="1" x14ac:dyDescent="0.3">
      <c r="A14" s="65">
        <v>10</v>
      </c>
      <c r="B14" s="118">
        <v>4112776330</v>
      </c>
      <c r="C14" s="86" t="s">
        <v>133</v>
      </c>
      <c r="D14" s="122" t="str">
        <f t="shared" si="0"/>
        <v>Rétirédanslesdélais</v>
      </c>
      <c r="E14" s="116">
        <v>45198</v>
      </c>
      <c r="F14" s="71">
        <v>0</v>
      </c>
      <c r="G14" s="879"/>
      <c r="H14" s="746"/>
      <c r="I14" s="746"/>
      <c r="J14" s="880"/>
    </row>
    <row r="15" spans="1:10" ht="24" customHeight="1" thickBot="1" x14ac:dyDescent="0.3">
      <c r="A15" s="65">
        <v>11</v>
      </c>
      <c r="B15" s="118">
        <v>4112776600</v>
      </c>
      <c r="C15" s="86" t="s">
        <v>1673</v>
      </c>
      <c r="D15" s="122" t="str">
        <f t="shared" si="0"/>
        <v>Rétirédanslesdélais</v>
      </c>
      <c r="E15" s="116">
        <v>45198</v>
      </c>
      <c r="F15" s="71">
        <v>0</v>
      </c>
      <c r="G15" s="870"/>
      <c r="H15" s="871"/>
      <c r="I15" s="871"/>
      <c r="J15" s="872"/>
    </row>
    <row r="16" spans="1:10" ht="24" customHeight="1" thickBot="1" x14ac:dyDescent="0.3">
      <c r="A16" s="65">
        <v>12</v>
      </c>
      <c r="B16" s="118">
        <v>4112776620</v>
      </c>
      <c r="C16" s="86" t="s">
        <v>1673</v>
      </c>
      <c r="D16" s="122" t="str">
        <f t="shared" si="0"/>
        <v>Rétirédanslesdélais</v>
      </c>
      <c r="E16" s="116">
        <v>45198</v>
      </c>
      <c r="F16" s="71">
        <v>0</v>
      </c>
      <c r="G16" s="870"/>
      <c r="H16" s="871"/>
      <c r="I16" s="871"/>
      <c r="J16" s="872"/>
    </row>
    <row r="17" spans="1:10" ht="24" customHeight="1" thickBot="1" x14ac:dyDescent="0.3">
      <c r="A17" s="65">
        <v>13</v>
      </c>
      <c r="B17" s="119">
        <v>4112782100</v>
      </c>
      <c r="C17" s="114" t="s">
        <v>132</v>
      </c>
      <c r="D17" s="123" t="str">
        <f t="shared" si="0"/>
        <v>Rétirédanslesdélais</v>
      </c>
      <c r="E17" s="117">
        <v>45198</v>
      </c>
      <c r="F17" s="71">
        <v>0</v>
      </c>
      <c r="G17" s="870"/>
      <c r="H17" s="871"/>
      <c r="I17" s="871"/>
      <c r="J17" s="872"/>
    </row>
    <row r="18" spans="1:10" ht="24" customHeight="1" thickBot="1" x14ac:dyDescent="0.3">
      <c r="A18" s="65">
        <v>14</v>
      </c>
      <c r="B18" s="118">
        <v>4112786620</v>
      </c>
      <c r="C18" s="86" t="s">
        <v>1692</v>
      </c>
      <c r="D18" s="122" t="str">
        <f t="shared" si="0"/>
        <v>Rétirétardivement-30000FCFAamende</v>
      </c>
      <c r="E18" s="116">
        <v>45215</v>
      </c>
      <c r="F18" s="71">
        <v>0</v>
      </c>
      <c r="G18" s="870"/>
      <c r="H18" s="871"/>
      <c r="I18" s="871"/>
      <c r="J18" s="872"/>
    </row>
    <row r="19" spans="1:10" ht="24" customHeight="1" thickBot="1" x14ac:dyDescent="0.3">
      <c r="A19" s="65">
        <v>15</v>
      </c>
      <c r="B19" s="119">
        <v>4112786627</v>
      </c>
      <c r="C19" s="86" t="s">
        <v>1692</v>
      </c>
      <c r="D19" s="123" t="str">
        <f t="shared" si="0"/>
        <v>Rétirétardivement-30000FCFAamende</v>
      </c>
      <c r="E19" s="116">
        <v>45215</v>
      </c>
      <c r="F19" s="71">
        <v>0</v>
      </c>
      <c r="G19" s="870"/>
      <c r="H19" s="871"/>
      <c r="I19" s="871"/>
      <c r="J19" s="872"/>
    </row>
    <row r="20" spans="1:10" ht="24" customHeight="1" thickBot="1" x14ac:dyDescent="0.3">
      <c r="A20" s="65">
        <v>16</v>
      </c>
      <c r="B20" s="118">
        <v>4112786628</v>
      </c>
      <c r="C20" s="86" t="s">
        <v>1692</v>
      </c>
      <c r="D20" s="122" t="str">
        <f t="shared" si="0"/>
        <v>Rétirétardivement-30000FCFAamende</v>
      </c>
      <c r="E20" s="116">
        <v>45215</v>
      </c>
      <c r="F20" s="71">
        <v>0</v>
      </c>
      <c r="G20" s="870"/>
      <c r="H20" s="871"/>
      <c r="I20" s="871"/>
      <c r="J20" s="872"/>
    </row>
    <row r="21" spans="1:10" ht="24" customHeight="1" thickBot="1" x14ac:dyDescent="0.3">
      <c r="A21" s="65">
        <v>17</v>
      </c>
      <c r="B21" s="119">
        <v>4112786629</v>
      </c>
      <c r="C21" s="86" t="s">
        <v>1692</v>
      </c>
      <c r="D21" s="123" t="str">
        <f t="shared" si="0"/>
        <v>Rétirétardivement-30000FCFAamende</v>
      </c>
      <c r="E21" s="116">
        <v>45215</v>
      </c>
      <c r="F21" s="71">
        <v>0</v>
      </c>
      <c r="G21" s="870"/>
      <c r="H21" s="871"/>
      <c r="I21" s="871"/>
      <c r="J21" s="872"/>
    </row>
    <row r="22" spans="1:10" ht="24" customHeight="1" thickBot="1" x14ac:dyDescent="0.3">
      <c r="A22" s="65">
        <v>18</v>
      </c>
      <c r="B22" s="118">
        <v>4112786626</v>
      </c>
      <c r="C22" s="86" t="s">
        <v>1692</v>
      </c>
      <c r="D22" s="122" t="str">
        <f t="shared" si="0"/>
        <v>Rétirétardivement-30000FCFAamende</v>
      </c>
      <c r="E22" s="116">
        <v>45215</v>
      </c>
      <c r="F22" s="71">
        <v>0</v>
      </c>
      <c r="G22" s="870"/>
      <c r="H22" s="871"/>
      <c r="I22" s="871"/>
      <c r="J22" s="872"/>
    </row>
    <row r="23" spans="1:10" ht="24" customHeight="1" thickBot="1" x14ac:dyDescent="0.3">
      <c r="A23" s="65">
        <v>19</v>
      </c>
      <c r="B23" s="119">
        <v>4112786625</v>
      </c>
      <c r="C23" s="86" t="s">
        <v>1692</v>
      </c>
      <c r="D23" s="123" t="str">
        <f t="shared" si="0"/>
        <v>Rétirétardivement-30000FCFAamende</v>
      </c>
      <c r="E23" s="116">
        <v>45215</v>
      </c>
      <c r="F23" s="71">
        <v>0</v>
      </c>
      <c r="G23" s="870"/>
      <c r="H23" s="871"/>
      <c r="I23" s="871"/>
      <c r="J23" s="872"/>
    </row>
    <row r="24" spans="1:10" ht="24" customHeight="1" thickBot="1" x14ac:dyDescent="0.3">
      <c r="A24" s="65">
        <v>20</v>
      </c>
      <c r="B24" s="118">
        <v>4112786750</v>
      </c>
      <c r="C24" s="86" t="s">
        <v>1691</v>
      </c>
      <c r="D24" s="122" t="str">
        <f t="shared" si="0"/>
        <v>Rétirédanslesdélais</v>
      </c>
      <c r="E24" s="116">
        <v>45204</v>
      </c>
      <c r="F24" s="71">
        <v>0</v>
      </c>
      <c r="G24" s="870"/>
      <c r="H24" s="871"/>
      <c r="I24" s="871"/>
      <c r="J24" s="872"/>
    </row>
    <row r="25" spans="1:10" ht="24" customHeight="1" thickBot="1" x14ac:dyDescent="0.3">
      <c r="A25" s="65">
        <v>21</v>
      </c>
      <c r="B25" s="119">
        <v>4112788190</v>
      </c>
      <c r="C25" s="86" t="s">
        <v>1692</v>
      </c>
      <c r="D25" s="123" t="str">
        <f t="shared" si="0"/>
        <v>Rétirétardivement-30000FCFAamende</v>
      </c>
      <c r="E25" s="116">
        <v>45215</v>
      </c>
      <c r="F25" s="71">
        <v>0</v>
      </c>
      <c r="G25" s="870"/>
      <c r="H25" s="871"/>
      <c r="I25" s="871"/>
      <c r="J25" s="872"/>
    </row>
    <row r="26" spans="1:10" ht="24" customHeight="1" thickBot="1" x14ac:dyDescent="0.3">
      <c r="A26" s="65">
        <v>22</v>
      </c>
      <c r="B26" s="118">
        <v>4112788199</v>
      </c>
      <c r="C26" s="86" t="s">
        <v>1692</v>
      </c>
      <c r="D26" s="122" t="str">
        <f t="shared" si="0"/>
        <v>Rétirétardivement-30000FCFAamende</v>
      </c>
      <c r="E26" s="116">
        <v>45215</v>
      </c>
      <c r="F26" s="71">
        <v>0</v>
      </c>
      <c r="G26" s="870"/>
      <c r="H26" s="871"/>
      <c r="I26" s="871"/>
      <c r="J26" s="872"/>
    </row>
    <row r="27" spans="1:10" ht="24" customHeight="1" thickBot="1" x14ac:dyDescent="0.3">
      <c r="A27" s="65">
        <v>23</v>
      </c>
      <c r="B27" s="119">
        <v>4112788198</v>
      </c>
      <c r="C27" s="86" t="s">
        <v>1692</v>
      </c>
      <c r="D27" s="123" t="str">
        <f t="shared" si="0"/>
        <v>Rétirétardivement-30000FCFAamende</v>
      </c>
      <c r="E27" s="116">
        <v>45215</v>
      </c>
      <c r="F27" s="71">
        <v>0</v>
      </c>
      <c r="G27" s="870"/>
      <c r="H27" s="871"/>
      <c r="I27" s="871"/>
      <c r="J27" s="872"/>
    </row>
    <row r="28" spans="1:10" ht="24" customHeight="1" thickBot="1" x14ac:dyDescent="0.3">
      <c r="A28" s="65">
        <v>24</v>
      </c>
      <c r="B28" s="118">
        <v>4112788197</v>
      </c>
      <c r="C28" s="86" t="s">
        <v>1692</v>
      </c>
      <c r="D28" s="122" t="str">
        <f t="shared" si="0"/>
        <v>Rétirétardivement-30000FCFAamende</v>
      </c>
      <c r="E28" s="116">
        <v>45215</v>
      </c>
      <c r="F28" s="71">
        <v>0</v>
      </c>
      <c r="G28" s="870"/>
      <c r="H28" s="871"/>
      <c r="I28" s="871"/>
      <c r="J28" s="872"/>
    </row>
    <row r="29" spans="1:10" ht="24" customHeight="1" thickBot="1" x14ac:dyDescent="0.3">
      <c r="A29" s="65">
        <v>25</v>
      </c>
      <c r="B29" s="119">
        <v>4112788196</v>
      </c>
      <c r="C29" s="86" t="s">
        <v>1692</v>
      </c>
      <c r="D29" s="123" t="str">
        <f t="shared" si="0"/>
        <v>Rétirétardivement-30000FCFAamende</v>
      </c>
      <c r="E29" s="116">
        <v>45215</v>
      </c>
      <c r="F29" s="71">
        <v>0</v>
      </c>
      <c r="G29" s="870"/>
      <c r="H29" s="871"/>
      <c r="I29" s="871"/>
      <c r="J29" s="872"/>
    </row>
    <row r="30" spans="1:10" ht="24" customHeight="1" thickBot="1" x14ac:dyDescent="0.3">
      <c r="A30" s="113">
        <v>26</v>
      </c>
      <c r="B30" s="119">
        <v>4112808220</v>
      </c>
      <c r="C30" s="114" t="s">
        <v>72</v>
      </c>
      <c r="D30" s="123" t="str">
        <f t="shared" si="0"/>
        <v>Rétirédanslesdélais</v>
      </c>
      <c r="E30" s="117">
        <v>45198</v>
      </c>
      <c r="F30" s="73">
        <v>0</v>
      </c>
      <c r="G30" s="884"/>
      <c r="H30" s="885"/>
      <c r="I30" s="885"/>
      <c r="J30" s="886"/>
    </row>
  </sheetData>
  <sheetProtection selectLockedCells="1"/>
  <autoFilter ref="A4:E30" xr:uid="{B8F94C03-C42D-4877-BB83-D67F8F483513}">
    <sortState xmlns:xlrd2="http://schemas.microsoft.com/office/spreadsheetml/2017/richdata2" ref="A5:E17">
      <sortCondition ref="C4:C15"/>
    </sortState>
  </autoFilter>
  <mergeCells count="30">
    <mergeCell ref="G6:J6"/>
    <mergeCell ref="A1:B1"/>
    <mergeCell ref="D1:E1"/>
    <mergeCell ref="A2:B2"/>
    <mergeCell ref="G4:J4"/>
    <mergeCell ref="G5:J5"/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30:J30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</mergeCells>
  <conditionalFormatting sqref="B1:B1048576">
    <cfRule type="duplicateValues" dxfId="174" priority="1"/>
  </conditionalFormatting>
  <conditionalFormatting sqref="B6:B30">
    <cfRule type="duplicateValues" dxfId="173" priority="72"/>
  </conditionalFormatting>
  <conditionalFormatting sqref="B31:B1048576 B1:B5">
    <cfRule type="duplicateValues" dxfId="172" priority="67"/>
  </conditionalFormatting>
  <conditionalFormatting sqref="B31:B1048576">
    <cfRule type="duplicateValues" dxfId="171" priority="70"/>
  </conditionalFormatting>
  <conditionalFormatting sqref="D5:D30">
    <cfRule type="containsText" dxfId="170" priority="2" operator="containsText" text="En Attente d'un Retrait Tardif">
      <formula>NOT(ISERROR(SEARCH("En Attente d'un Retrait Tardif",D5)))</formula>
    </cfRule>
    <cfRule type="containsText" dxfId="169" priority="3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3E4B-D0B4-4837-A9D6-A5E2B10BF574}">
  <sheetPr codeName="Feuil18">
    <tabColor rgb="FF00B050"/>
  </sheetPr>
  <dimension ref="A1:K23"/>
  <sheetViews>
    <sheetView zoomScaleNormal="100" workbookViewId="0">
      <selection activeCell="C23" sqref="C23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7.28515625" customWidth="1"/>
    <col min="7" max="7" width="13.5703125" bestFit="1" customWidth="1"/>
    <col min="8" max="11" width="16.7109375" customWidth="1"/>
  </cols>
  <sheetData>
    <row r="1" spans="1:11" ht="15.75" thickBot="1" x14ac:dyDescent="0.3">
      <c r="A1" s="887" t="s">
        <v>1693</v>
      </c>
      <c r="B1" s="887"/>
      <c r="C1" s="59"/>
      <c r="D1" s="729"/>
      <c r="E1" s="729"/>
    </row>
    <row r="2" spans="1:11" ht="23.25" customHeight="1" thickBot="1" x14ac:dyDescent="0.3">
      <c r="A2" s="730" t="s">
        <v>0</v>
      </c>
      <c r="B2" s="730"/>
      <c r="C2" s="60"/>
      <c r="D2" s="13">
        <v>45203</v>
      </c>
      <c r="E2" s="4">
        <f ca="1">TODAY()</f>
        <v>46096</v>
      </c>
      <c r="F2" s="5">
        <f ca="1">E2-D2</f>
        <v>893</v>
      </c>
    </row>
    <row r="3" spans="1:11" ht="15.75" thickBot="1" x14ac:dyDescent="0.3"/>
    <row r="4" spans="1:11" ht="24" customHeight="1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1.75" customHeight="1" thickBot="1" x14ac:dyDescent="0.3">
      <c r="A5" s="65">
        <v>1</v>
      </c>
      <c r="B5" s="118">
        <v>4053920700</v>
      </c>
      <c r="C5" s="86" t="s">
        <v>1694</v>
      </c>
      <c r="D5" s="102" t="str">
        <f t="shared" ref="D5:D23" si="0">IF(E5="",IF($F$2&lt;=15,"EnattentedeRetrait","EnAttented'unRetraitTardif"),IF(E5-$D$2&lt;=15,"Rétirédanslesdélais",IF(E5-$D$2&gt;15,"Rétirétardivement-30000FCFAamende")))</f>
        <v>Rétirédanslesdélais</v>
      </c>
      <c r="E5" s="116">
        <v>45218</v>
      </c>
      <c r="F5" s="90"/>
      <c r="G5" s="91">
        <v>0</v>
      </c>
      <c r="H5" s="876" t="s">
        <v>1695</v>
      </c>
      <c r="I5" s="877"/>
      <c r="J5" s="877"/>
      <c r="K5" s="878"/>
    </row>
    <row r="6" spans="1:11" ht="21.75" customHeight="1" thickBot="1" x14ac:dyDescent="0.3">
      <c r="A6" s="65">
        <v>2</v>
      </c>
      <c r="B6" s="118">
        <v>4112697900</v>
      </c>
      <c r="C6" s="86" t="s">
        <v>43</v>
      </c>
      <c r="D6" s="102" t="str">
        <f t="shared" si="0"/>
        <v>Rétirédanslesdélais</v>
      </c>
      <c r="E6" s="116">
        <v>45208</v>
      </c>
      <c r="F6" s="50"/>
      <c r="G6" s="71">
        <v>0</v>
      </c>
      <c r="H6" s="870"/>
      <c r="I6" s="871"/>
      <c r="J6" s="871"/>
      <c r="K6" s="872"/>
    </row>
    <row r="7" spans="1:11" ht="21.75" customHeight="1" thickBot="1" x14ac:dyDescent="0.3">
      <c r="A7" s="65">
        <v>3</v>
      </c>
      <c r="B7" s="118">
        <v>4112697930</v>
      </c>
      <c r="C7" s="86" t="s">
        <v>43</v>
      </c>
      <c r="D7" s="102" t="str">
        <f t="shared" si="0"/>
        <v>Rétirédanslesdélais</v>
      </c>
      <c r="E7" s="116">
        <v>45208</v>
      </c>
      <c r="F7" s="50"/>
      <c r="G7" s="71">
        <v>0</v>
      </c>
      <c r="H7" s="870"/>
      <c r="I7" s="871"/>
      <c r="J7" s="871"/>
      <c r="K7" s="872"/>
    </row>
    <row r="8" spans="1:11" ht="21.75" customHeight="1" thickBot="1" x14ac:dyDescent="0.3">
      <c r="A8" s="65">
        <v>4</v>
      </c>
      <c r="B8" s="118">
        <v>4112697950</v>
      </c>
      <c r="C8" s="86" t="s">
        <v>43</v>
      </c>
      <c r="D8" s="102" t="str">
        <f t="shared" si="0"/>
        <v>Rétirédanslesdélais</v>
      </c>
      <c r="E8" s="116">
        <v>45208</v>
      </c>
      <c r="F8" s="50"/>
      <c r="G8" s="71">
        <v>0</v>
      </c>
      <c r="H8" s="870"/>
      <c r="I8" s="871"/>
      <c r="J8" s="871"/>
      <c r="K8" s="872"/>
    </row>
    <row r="9" spans="1:11" ht="21.75" customHeight="1" thickBot="1" x14ac:dyDescent="0.3">
      <c r="A9" s="65">
        <v>5</v>
      </c>
      <c r="B9" s="118">
        <v>4112768730</v>
      </c>
      <c r="C9" s="86" t="s">
        <v>1696</v>
      </c>
      <c r="D9" s="102" t="str">
        <f t="shared" si="0"/>
        <v>Rétirédanslesdélais</v>
      </c>
      <c r="E9" s="116">
        <v>45205</v>
      </c>
      <c r="F9" s="50"/>
      <c r="G9" s="71">
        <v>0</v>
      </c>
      <c r="H9" s="870"/>
      <c r="I9" s="871"/>
      <c r="J9" s="871"/>
      <c r="K9" s="872"/>
    </row>
    <row r="10" spans="1:11" ht="21.75" customHeight="1" thickBot="1" x14ac:dyDescent="0.3">
      <c r="A10" s="65">
        <v>6</v>
      </c>
      <c r="B10" s="118">
        <v>4112797620</v>
      </c>
      <c r="C10" s="86" t="s">
        <v>1697</v>
      </c>
      <c r="D10" s="102" t="str">
        <f t="shared" si="0"/>
        <v>Rétirédanslesdélais</v>
      </c>
      <c r="E10" s="116">
        <v>45216</v>
      </c>
      <c r="F10" s="50"/>
      <c r="G10" s="71">
        <v>0</v>
      </c>
      <c r="H10" s="852" t="s">
        <v>1698</v>
      </c>
      <c r="I10" s="853"/>
      <c r="J10" s="853"/>
      <c r="K10" s="854"/>
    </row>
    <row r="11" spans="1:11" ht="21.75" customHeight="1" thickBot="1" x14ac:dyDescent="0.3">
      <c r="A11" s="65">
        <v>7</v>
      </c>
      <c r="B11" s="118">
        <v>4112801990</v>
      </c>
      <c r="C11" s="86" t="s">
        <v>1699</v>
      </c>
      <c r="D11" s="102" t="str">
        <f t="shared" si="0"/>
        <v>Rétirédanslesdélais</v>
      </c>
      <c r="E11" s="116">
        <v>45205</v>
      </c>
      <c r="F11" s="50"/>
      <c r="G11" s="71">
        <v>0</v>
      </c>
      <c r="H11" s="870"/>
      <c r="I11" s="871"/>
      <c r="J11" s="871"/>
      <c r="K11" s="872"/>
    </row>
    <row r="12" spans="1:11" ht="21.75" customHeight="1" thickBot="1" x14ac:dyDescent="0.3">
      <c r="A12" s="65">
        <v>8</v>
      </c>
      <c r="B12" s="118">
        <v>4112801991</v>
      </c>
      <c r="C12" s="86" t="s">
        <v>1699</v>
      </c>
      <c r="D12" s="102" t="str">
        <f t="shared" si="0"/>
        <v>Rétirédanslesdélais</v>
      </c>
      <c r="E12" s="116">
        <v>45205</v>
      </c>
      <c r="F12" s="50"/>
      <c r="G12" s="71">
        <v>0</v>
      </c>
      <c r="H12" s="870"/>
      <c r="I12" s="871"/>
      <c r="J12" s="871"/>
      <c r="K12" s="872"/>
    </row>
    <row r="13" spans="1:11" ht="21.75" customHeight="1" thickBot="1" x14ac:dyDescent="0.3">
      <c r="A13" s="65">
        <v>9</v>
      </c>
      <c r="B13" s="118">
        <v>4112805530</v>
      </c>
      <c r="C13" s="86" t="s">
        <v>123</v>
      </c>
      <c r="D13" s="102" t="str">
        <f t="shared" si="0"/>
        <v>Rétirédanslesdélais</v>
      </c>
      <c r="E13" s="116">
        <v>45212</v>
      </c>
      <c r="F13" s="50"/>
      <c r="G13" s="71">
        <v>0</v>
      </c>
      <c r="H13" s="888" t="s">
        <v>128</v>
      </c>
      <c r="I13" s="889"/>
      <c r="J13" s="889"/>
      <c r="K13" s="890"/>
    </row>
    <row r="14" spans="1:11" ht="21.75" customHeight="1" thickBot="1" x14ac:dyDescent="0.3">
      <c r="A14" s="65">
        <v>10</v>
      </c>
      <c r="B14" s="118">
        <v>4112805539</v>
      </c>
      <c r="C14" s="86" t="s">
        <v>123</v>
      </c>
      <c r="D14" s="102" t="str">
        <f t="shared" si="0"/>
        <v>Rétirédanslesdélais</v>
      </c>
      <c r="E14" s="116">
        <v>45212</v>
      </c>
      <c r="F14" s="50"/>
      <c r="G14" s="71">
        <v>0</v>
      </c>
      <c r="H14" s="879" t="s">
        <v>128</v>
      </c>
      <c r="I14" s="746"/>
      <c r="J14" s="746"/>
      <c r="K14" s="880"/>
    </row>
    <row r="15" spans="1:11" ht="24" customHeight="1" thickBot="1" x14ac:dyDescent="0.3">
      <c r="A15" s="65">
        <v>11</v>
      </c>
      <c r="B15" s="118">
        <v>4112805540</v>
      </c>
      <c r="C15" s="86" t="s">
        <v>123</v>
      </c>
      <c r="D15" s="102" t="str">
        <f t="shared" si="0"/>
        <v>Rétirédanslesdélais</v>
      </c>
      <c r="E15" s="116">
        <v>45212</v>
      </c>
      <c r="F15" s="50"/>
      <c r="G15" s="71">
        <v>0</v>
      </c>
      <c r="H15" s="879" t="s">
        <v>128</v>
      </c>
      <c r="I15" s="746"/>
      <c r="J15" s="746"/>
      <c r="K15" s="880"/>
    </row>
    <row r="16" spans="1:11" ht="24" customHeight="1" thickBot="1" x14ac:dyDescent="0.3">
      <c r="A16" s="65">
        <v>12</v>
      </c>
      <c r="B16" s="118">
        <v>4112805549</v>
      </c>
      <c r="C16" s="86" t="s">
        <v>123</v>
      </c>
      <c r="D16" s="102" t="str">
        <f t="shared" si="0"/>
        <v>Rétirédanslesdélais</v>
      </c>
      <c r="E16" s="116">
        <v>45212</v>
      </c>
      <c r="F16" s="50"/>
      <c r="G16" s="71">
        <v>0</v>
      </c>
      <c r="H16" s="879" t="s">
        <v>128</v>
      </c>
      <c r="I16" s="746"/>
      <c r="J16" s="746"/>
      <c r="K16" s="880"/>
    </row>
    <row r="17" spans="1:11" ht="24" customHeight="1" thickBot="1" x14ac:dyDescent="0.3">
      <c r="A17" s="65">
        <v>13</v>
      </c>
      <c r="B17" s="118">
        <v>4112805550</v>
      </c>
      <c r="C17" s="86" t="s">
        <v>123</v>
      </c>
      <c r="D17" s="102" t="str">
        <f t="shared" si="0"/>
        <v>Rétirédanslesdélais</v>
      </c>
      <c r="E17" s="116">
        <v>45212</v>
      </c>
      <c r="F17" s="50"/>
      <c r="G17" s="71">
        <v>0</v>
      </c>
      <c r="H17" s="879" t="s">
        <v>128</v>
      </c>
      <c r="I17" s="746"/>
      <c r="J17" s="746"/>
      <c r="K17" s="880"/>
    </row>
    <row r="18" spans="1:11" ht="24" customHeight="1" thickBot="1" x14ac:dyDescent="0.3">
      <c r="A18" s="65">
        <v>14</v>
      </c>
      <c r="B18" s="118">
        <v>4112805559</v>
      </c>
      <c r="C18" s="86" t="s">
        <v>123</v>
      </c>
      <c r="D18" s="102" t="str">
        <f t="shared" si="0"/>
        <v>Rétirédanslesdélais</v>
      </c>
      <c r="E18" s="116">
        <v>45212</v>
      </c>
      <c r="G18" s="71">
        <v>0</v>
      </c>
      <c r="H18" s="879" t="s">
        <v>128</v>
      </c>
      <c r="I18" s="746"/>
      <c r="J18" s="746"/>
      <c r="K18" s="880"/>
    </row>
    <row r="19" spans="1:11" ht="24" customHeight="1" thickBot="1" x14ac:dyDescent="0.3">
      <c r="A19" s="65">
        <v>15</v>
      </c>
      <c r="B19" s="118">
        <v>4112805560</v>
      </c>
      <c r="C19" s="86" t="s">
        <v>123</v>
      </c>
      <c r="D19" s="102" t="str">
        <f t="shared" si="0"/>
        <v>Rétirédanslesdélais</v>
      </c>
      <c r="E19" s="116">
        <v>45212</v>
      </c>
      <c r="G19" s="71">
        <v>0</v>
      </c>
      <c r="H19" s="879" t="s">
        <v>128</v>
      </c>
      <c r="I19" s="746"/>
      <c r="J19" s="746"/>
      <c r="K19" s="880"/>
    </row>
    <row r="20" spans="1:11" ht="24" customHeight="1" thickBot="1" x14ac:dyDescent="0.3">
      <c r="A20" s="65">
        <v>16</v>
      </c>
      <c r="B20" s="119">
        <v>4112805570</v>
      </c>
      <c r="C20" s="86" t="s">
        <v>123</v>
      </c>
      <c r="D20" s="102" t="str">
        <f t="shared" si="0"/>
        <v>Rétirédanslesdélais</v>
      </c>
      <c r="E20" s="116">
        <v>45212</v>
      </c>
      <c r="G20" s="71">
        <v>0</v>
      </c>
      <c r="H20" s="879" t="s">
        <v>128</v>
      </c>
      <c r="I20" s="746"/>
      <c r="J20" s="746"/>
      <c r="K20" s="880"/>
    </row>
    <row r="21" spans="1:11" ht="24" customHeight="1" thickBot="1" x14ac:dyDescent="0.3">
      <c r="A21" s="65">
        <v>17</v>
      </c>
      <c r="B21" s="118">
        <v>4112809760</v>
      </c>
      <c r="C21" s="86" t="s">
        <v>1613</v>
      </c>
      <c r="D21" s="102" t="str">
        <f t="shared" si="0"/>
        <v>Rétirédanslesdélais</v>
      </c>
      <c r="E21" s="116">
        <v>45216</v>
      </c>
      <c r="G21" s="71">
        <v>0</v>
      </c>
      <c r="H21" s="870" t="s">
        <v>1700</v>
      </c>
      <c r="I21" s="871"/>
      <c r="J21" s="871"/>
      <c r="K21" s="872"/>
    </row>
    <row r="22" spans="1:11" ht="24" customHeight="1" thickBot="1" x14ac:dyDescent="0.3">
      <c r="A22" s="65">
        <v>18</v>
      </c>
      <c r="B22" s="119">
        <v>4112815140</v>
      </c>
      <c r="C22" s="114" t="s">
        <v>1701</v>
      </c>
      <c r="D22" s="115" t="str">
        <f t="shared" si="0"/>
        <v>Rétirédanslesdélais</v>
      </c>
      <c r="E22" s="117">
        <v>45210</v>
      </c>
      <c r="G22" s="71">
        <v>0</v>
      </c>
      <c r="H22" s="870"/>
      <c r="I22" s="871"/>
      <c r="J22" s="871"/>
      <c r="K22" s="872"/>
    </row>
    <row r="23" spans="1:11" ht="24" customHeight="1" x14ac:dyDescent="0.25">
      <c r="A23" s="65">
        <v>19</v>
      </c>
      <c r="B23" s="118">
        <v>4112827110</v>
      </c>
      <c r="C23" s="86" t="s">
        <v>1702</v>
      </c>
      <c r="D23" s="102" t="str">
        <f t="shared" si="0"/>
        <v>Rétirédanslesdélais</v>
      </c>
      <c r="E23" s="116">
        <v>45218</v>
      </c>
      <c r="G23" s="71">
        <v>0</v>
      </c>
      <c r="H23" s="870" t="s">
        <v>1703</v>
      </c>
      <c r="I23" s="871"/>
      <c r="J23" s="871"/>
      <c r="K23" s="872"/>
    </row>
  </sheetData>
  <sheetProtection selectLockedCells="1"/>
  <autoFilter ref="A4:E23" xr:uid="{B8F94C03-C42D-4877-BB83-D67F8F483513}">
    <sortState xmlns:xlrd2="http://schemas.microsoft.com/office/spreadsheetml/2017/richdata2" ref="A5:E19">
      <sortCondition ref="C4:C17"/>
    </sortState>
  </autoFilter>
  <mergeCells count="23">
    <mergeCell ref="H22:K22"/>
    <mergeCell ref="H23:K23"/>
    <mergeCell ref="H13:K13"/>
    <mergeCell ref="H15:K15"/>
    <mergeCell ref="H17:K17"/>
    <mergeCell ref="H19:K19"/>
    <mergeCell ref="H20:K20"/>
    <mergeCell ref="H21:K21"/>
    <mergeCell ref="H14:K14"/>
    <mergeCell ref="H16:K16"/>
    <mergeCell ref="H18:K18"/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</mergeCells>
  <conditionalFormatting sqref="B1:B1048576">
    <cfRule type="duplicateValues" dxfId="168" priority="1"/>
  </conditionalFormatting>
  <conditionalFormatting sqref="B6:B23">
    <cfRule type="duplicateValues" dxfId="167" priority="86"/>
  </conditionalFormatting>
  <conditionalFormatting sqref="B24:B1048576 B1:B5">
    <cfRule type="duplicateValues" dxfId="166" priority="6"/>
  </conditionalFormatting>
  <conditionalFormatting sqref="B24:B1048576">
    <cfRule type="duplicateValues" dxfId="165" priority="7"/>
  </conditionalFormatting>
  <conditionalFormatting sqref="D5:D23">
    <cfRule type="containsText" dxfId="164" priority="2" operator="containsText" text="En Attente d'un Retrait Tardif">
      <formula>NOT(ISERROR(SEARCH("En Attente d'un Retrait Tardif",D5)))</formula>
    </cfRule>
    <cfRule type="containsText" dxfId="163" priority="3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C82-764A-48D6-9489-AE334AFE36FE}">
  <sheetPr codeName="Feuil19">
    <tabColor rgb="FF00B050"/>
  </sheetPr>
  <dimension ref="A1:K27"/>
  <sheetViews>
    <sheetView zoomScaleNormal="100" workbookViewId="0">
      <selection activeCell="C9" sqref="C9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37.85546875" style="105" customWidth="1"/>
    <col min="5" max="5" width="17" customWidth="1"/>
    <col min="6" max="6" width="4.28515625" customWidth="1"/>
    <col min="7" max="7" width="13.5703125" bestFit="1" customWidth="1"/>
    <col min="8" max="11" width="16.7109375" customWidth="1"/>
  </cols>
  <sheetData>
    <row r="1" spans="1:11" ht="15.75" thickBot="1" x14ac:dyDescent="0.3">
      <c r="A1" s="887" t="s">
        <v>1704</v>
      </c>
      <c r="B1" s="887"/>
      <c r="C1" s="59"/>
      <c r="D1" s="729"/>
      <c r="E1" s="729"/>
    </row>
    <row r="2" spans="1:11" ht="23.25" customHeight="1" thickBot="1" x14ac:dyDescent="0.3">
      <c r="A2" s="730" t="s">
        <v>0</v>
      </c>
      <c r="B2" s="730"/>
      <c r="C2" s="60"/>
      <c r="D2" s="13">
        <v>45182</v>
      </c>
      <c r="E2" s="4">
        <f ca="1">TODAY()</f>
        <v>46096</v>
      </c>
      <c r="F2" s="5">
        <f ca="1">E2-D2</f>
        <v>914</v>
      </c>
    </row>
    <row r="3" spans="1:11" ht="15.75" thickBot="1" x14ac:dyDescent="0.3"/>
    <row r="4" spans="1:11" ht="24" customHeight="1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1.75" customHeight="1" thickBot="1" x14ac:dyDescent="0.3">
      <c r="A5" s="65">
        <v>3</v>
      </c>
      <c r="B5" s="118">
        <v>4112742590</v>
      </c>
      <c r="C5" s="86" t="s">
        <v>1601</v>
      </c>
      <c r="D5" s="102" t="str">
        <f t="shared" ref="D5:D17" si="0">IF(E5="",IF($F$2&lt;=15,"EnattentedeRetrait","EnAttented'unRetraitTardif"),IF(E5-$D$2&lt;=15,"Rétirédanslesdélais",IF(E5-$D$2&gt;15,"Rétirétardivement-30000FCFAamende")))</f>
        <v>Rétirédanslesdélais</v>
      </c>
      <c r="E5" s="116">
        <v>45184</v>
      </c>
      <c r="F5" s="90"/>
      <c r="G5" s="91">
        <v>0</v>
      </c>
      <c r="H5" s="876"/>
      <c r="I5" s="877"/>
      <c r="J5" s="877"/>
      <c r="K5" s="878"/>
    </row>
    <row r="6" spans="1:11" ht="21.75" customHeight="1" thickBot="1" x14ac:dyDescent="0.3">
      <c r="A6" s="65">
        <v>6</v>
      </c>
      <c r="B6" s="118">
        <v>4112751080</v>
      </c>
      <c r="C6" s="86" t="s">
        <v>1458</v>
      </c>
      <c r="D6" s="102" t="str">
        <f t="shared" si="0"/>
        <v>Rétirédanslesdélais</v>
      </c>
      <c r="E6" s="116">
        <v>45187</v>
      </c>
      <c r="F6" s="50"/>
      <c r="G6" s="71">
        <v>0</v>
      </c>
      <c r="H6" s="870"/>
      <c r="I6" s="871"/>
      <c r="J6" s="871"/>
      <c r="K6" s="872"/>
    </row>
    <row r="7" spans="1:11" ht="21.75" customHeight="1" thickBot="1" x14ac:dyDescent="0.3">
      <c r="A7" s="65">
        <v>7</v>
      </c>
      <c r="B7" s="118">
        <v>4112751090</v>
      </c>
      <c r="C7" s="86" t="s">
        <v>1458</v>
      </c>
      <c r="D7" s="102" t="str">
        <f t="shared" si="0"/>
        <v>Rétirédanslesdélais</v>
      </c>
      <c r="E7" s="116">
        <v>45187</v>
      </c>
      <c r="F7" s="50"/>
      <c r="G7" s="71">
        <v>0</v>
      </c>
      <c r="H7" s="870"/>
      <c r="I7" s="871"/>
      <c r="J7" s="871"/>
      <c r="K7" s="872"/>
    </row>
    <row r="8" spans="1:11" ht="21.75" customHeight="1" thickBot="1" x14ac:dyDescent="0.3">
      <c r="A8" s="65">
        <v>4</v>
      </c>
      <c r="B8" s="118">
        <v>4112751050</v>
      </c>
      <c r="C8" s="86" t="s">
        <v>1119</v>
      </c>
      <c r="D8" s="102" t="str">
        <f t="shared" si="0"/>
        <v>Rétirédanslesdélais</v>
      </c>
      <c r="E8" s="116">
        <v>45095</v>
      </c>
      <c r="F8" s="50"/>
      <c r="G8" s="71">
        <v>0</v>
      </c>
      <c r="H8" s="870"/>
      <c r="I8" s="871"/>
      <c r="J8" s="871"/>
      <c r="K8" s="872"/>
    </row>
    <row r="9" spans="1:11" ht="21.75" customHeight="1" thickBot="1" x14ac:dyDescent="0.3">
      <c r="A9" s="65">
        <v>5</v>
      </c>
      <c r="B9" s="118">
        <v>4112751060</v>
      </c>
      <c r="C9" s="86" t="s">
        <v>1119</v>
      </c>
      <c r="D9" s="102" t="str">
        <f t="shared" si="0"/>
        <v>Rétirédanslesdélais</v>
      </c>
      <c r="E9" s="116">
        <v>45095</v>
      </c>
      <c r="F9" s="50"/>
      <c r="G9" s="71">
        <v>0</v>
      </c>
      <c r="H9" s="870"/>
      <c r="I9" s="871"/>
      <c r="J9" s="871"/>
      <c r="K9" s="872"/>
    </row>
    <row r="10" spans="1:11" ht="21.75" customHeight="1" thickBot="1" x14ac:dyDescent="0.3">
      <c r="A10" s="65">
        <v>2</v>
      </c>
      <c r="B10" s="118">
        <v>4112712470</v>
      </c>
      <c r="C10" s="86" t="s">
        <v>1411</v>
      </c>
      <c r="D10" s="102" t="str">
        <f t="shared" si="0"/>
        <v>Rétirédanslesdélais</v>
      </c>
      <c r="E10" s="116">
        <v>45191</v>
      </c>
      <c r="F10" s="50"/>
      <c r="G10" s="71">
        <v>0</v>
      </c>
      <c r="H10" s="852"/>
      <c r="I10" s="853"/>
      <c r="J10" s="853"/>
      <c r="K10" s="854"/>
    </row>
    <row r="11" spans="1:11" ht="21.75" customHeight="1" thickBot="1" x14ac:dyDescent="0.3">
      <c r="A11" s="65">
        <v>1</v>
      </c>
      <c r="B11" s="118">
        <v>4112712479</v>
      </c>
      <c r="C11" s="86" t="s">
        <v>1705</v>
      </c>
      <c r="D11" s="102" t="str">
        <f t="shared" si="0"/>
        <v>Rétirédanslesdélais</v>
      </c>
      <c r="E11" s="116">
        <v>45191</v>
      </c>
      <c r="F11" s="50"/>
      <c r="G11" s="71">
        <v>0</v>
      </c>
      <c r="H11" s="870"/>
      <c r="I11" s="871"/>
      <c r="J11" s="871"/>
      <c r="K11" s="872"/>
    </row>
    <row r="12" spans="1:11" ht="21.75" customHeight="1" thickBot="1" x14ac:dyDescent="0.3">
      <c r="A12" s="65">
        <v>8</v>
      </c>
      <c r="B12" s="120">
        <v>4112757470</v>
      </c>
      <c r="C12" s="86" t="s">
        <v>1692</v>
      </c>
      <c r="D12" s="102" t="str">
        <f t="shared" si="0"/>
        <v>Rétirétardivement-30000FCFAamende</v>
      </c>
      <c r="E12" s="116">
        <v>45198</v>
      </c>
      <c r="F12" s="50"/>
      <c r="G12" s="71">
        <v>0</v>
      </c>
      <c r="H12" s="870"/>
      <c r="I12" s="871"/>
      <c r="J12" s="871"/>
      <c r="K12" s="872"/>
    </row>
    <row r="13" spans="1:11" ht="21.75" customHeight="1" thickBot="1" x14ac:dyDescent="0.3">
      <c r="A13" s="65">
        <v>9</v>
      </c>
      <c r="B13" s="120">
        <v>4112757479</v>
      </c>
      <c r="C13" s="86" t="s">
        <v>1692</v>
      </c>
      <c r="D13" s="102" t="str">
        <f t="shared" si="0"/>
        <v>Rétirétardivement-30000FCFAamende</v>
      </c>
      <c r="E13" s="116">
        <v>45198</v>
      </c>
      <c r="F13" s="50"/>
      <c r="G13" s="71">
        <v>0</v>
      </c>
      <c r="H13" s="870"/>
      <c r="I13" s="871"/>
      <c r="J13" s="871"/>
      <c r="K13" s="872"/>
    </row>
    <row r="14" spans="1:11" ht="21.75" customHeight="1" thickBot="1" x14ac:dyDescent="0.3">
      <c r="A14" s="65">
        <v>13</v>
      </c>
      <c r="B14" s="120">
        <v>4112757475</v>
      </c>
      <c r="C14" s="86" t="s">
        <v>1692</v>
      </c>
      <c r="D14" s="102" t="str">
        <f t="shared" si="0"/>
        <v>Rétirétardivement-30000FCFAamende</v>
      </c>
      <c r="E14" s="116">
        <v>45198</v>
      </c>
      <c r="F14" s="50"/>
      <c r="G14" s="71">
        <v>0</v>
      </c>
      <c r="H14" s="870"/>
      <c r="I14" s="871"/>
      <c r="J14" s="871"/>
      <c r="K14" s="872"/>
    </row>
    <row r="15" spans="1:11" ht="21.75" customHeight="1" thickBot="1" x14ac:dyDescent="0.3">
      <c r="A15" s="65">
        <v>12</v>
      </c>
      <c r="B15" s="120">
        <v>4112757476</v>
      </c>
      <c r="C15" s="86" t="s">
        <v>1692</v>
      </c>
      <c r="D15" s="102" t="str">
        <f t="shared" si="0"/>
        <v>Rétirétardivement-30000FCFAamende</v>
      </c>
      <c r="E15" s="116">
        <v>45198</v>
      </c>
      <c r="F15" s="50"/>
      <c r="G15" s="71">
        <v>0</v>
      </c>
      <c r="H15" s="870"/>
      <c r="I15" s="871"/>
      <c r="J15" s="871"/>
      <c r="K15" s="872"/>
    </row>
    <row r="16" spans="1:11" ht="18" thickBot="1" x14ac:dyDescent="0.3">
      <c r="A16" s="65">
        <v>11</v>
      </c>
      <c r="B16" s="120">
        <v>4112757477</v>
      </c>
      <c r="C16" s="86" t="s">
        <v>1692</v>
      </c>
      <c r="D16" s="102" t="str">
        <f t="shared" si="0"/>
        <v>Rétirétardivement-30000FCFAamende</v>
      </c>
      <c r="E16" s="116">
        <v>45198</v>
      </c>
      <c r="G16" s="71">
        <v>0</v>
      </c>
      <c r="H16" s="870"/>
      <c r="I16" s="871"/>
      <c r="J16" s="871"/>
      <c r="K16" s="872"/>
    </row>
    <row r="17" spans="1:11" ht="18" thickBot="1" x14ac:dyDescent="0.3">
      <c r="A17" s="113">
        <v>10</v>
      </c>
      <c r="B17" s="121">
        <v>4112757478</v>
      </c>
      <c r="C17" s="86" t="s">
        <v>1692</v>
      </c>
      <c r="D17" s="115" t="str">
        <f t="shared" si="0"/>
        <v>Rétirétardivement-30000FCFAamende</v>
      </c>
      <c r="E17" s="116">
        <v>45198</v>
      </c>
      <c r="G17" s="71">
        <v>0</v>
      </c>
      <c r="H17" s="870"/>
      <c r="I17" s="871"/>
      <c r="J17" s="871"/>
      <c r="K17" s="872"/>
    </row>
    <row r="27" spans="1:11" x14ac:dyDescent="0.25">
      <c r="G27" s="23"/>
    </row>
  </sheetData>
  <sheetProtection selectLockedCells="1"/>
  <autoFilter ref="A4:E15" xr:uid="{B8F94C03-C42D-4877-BB83-D67F8F483513}">
    <sortState xmlns:xlrd2="http://schemas.microsoft.com/office/spreadsheetml/2017/richdata2" ref="A5:E17">
      <sortCondition ref="C4:C15"/>
    </sortState>
  </autoFilter>
  <mergeCells count="17"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13:K13"/>
    <mergeCell ref="H14:K14"/>
    <mergeCell ref="H15:K15"/>
    <mergeCell ref="H16:K16"/>
    <mergeCell ref="H17:K17"/>
  </mergeCells>
  <conditionalFormatting sqref="B1:B1048576">
    <cfRule type="duplicateValues" dxfId="162" priority="1"/>
  </conditionalFormatting>
  <conditionalFormatting sqref="B6:B17">
    <cfRule type="duplicateValues" dxfId="161" priority="66"/>
  </conditionalFormatting>
  <conditionalFormatting sqref="B18:B1048576 B1:B5">
    <cfRule type="duplicateValues" dxfId="160" priority="6"/>
  </conditionalFormatting>
  <conditionalFormatting sqref="B18:B1048576">
    <cfRule type="duplicateValues" dxfId="159" priority="5"/>
  </conditionalFormatting>
  <conditionalFormatting sqref="D5:D17">
    <cfRule type="containsText" dxfId="158" priority="3" operator="containsText" text="En Attente d'un Retrait Tardif">
      <formula>NOT(ISERROR(SEARCH("En Attente d'un Retrait Tardif",D5)))</formula>
    </cfRule>
    <cfRule type="containsText" dxfId="157" priority="4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1600-7B20-4F67-B295-A365656825F0}">
  <sheetPr codeName="Feuil20">
    <tabColor rgb="FF00B050"/>
  </sheetPr>
  <dimension ref="A1:K33"/>
  <sheetViews>
    <sheetView zoomScaleNormal="100" workbookViewId="0">
      <selection activeCell="B23" sqref="B23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4.28515625" customWidth="1"/>
    <col min="7" max="7" width="13.5703125" bestFit="1" customWidth="1"/>
    <col min="8" max="11" width="16.7109375" customWidth="1"/>
  </cols>
  <sheetData>
    <row r="1" spans="1:11" ht="15.75" thickBot="1" x14ac:dyDescent="0.3">
      <c r="A1" s="887" t="s">
        <v>1706</v>
      </c>
      <c r="B1" s="887"/>
      <c r="C1" s="59"/>
      <c r="D1" s="729"/>
      <c r="E1" s="729"/>
    </row>
    <row r="2" spans="1:11" ht="23.25" customHeight="1" thickBot="1" x14ac:dyDescent="0.3">
      <c r="A2" s="730" t="s">
        <v>0</v>
      </c>
      <c r="B2" s="730"/>
      <c r="C2" s="60"/>
      <c r="D2" s="13">
        <v>45174</v>
      </c>
      <c r="E2" s="4">
        <f ca="1">TODAY()</f>
        <v>46096</v>
      </c>
      <c r="F2" s="5">
        <f ca="1">E2-D2</f>
        <v>922</v>
      </c>
    </row>
    <row r="3" spans="1:11" ht="15.75" thickBot="1" x14ac:dyDescent="0.3"/>
    <row r="4" spans="1:11" ht="24" customHeight="1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1.75" customHeight="1" thickBot="1" x14ac:dyDescent="0.3">
      <c r="A5" s="65">
        <v>1</v>
      </c>
      <c r="B5" s="94">
        <v>4112687920</v>
      </c>
      <c r="C5" s="86" t="s">
        <v>70</v>
      </c>
      <c r="D5" s="102" t="str">
        <f t="shared" ref="D5:D33" si="0">IF(E5="",IF($F$2&lt;=15,"EnattentedeRetrait","EnAttented'unRetraitTardif"),IF(E5-$D$2&lt;=15,"Rétirédanslesdélais",IF(E5-$D$2&gt;15,"Rétirétardivement-30000FCFAamende")))</f>
        <v>Rétirédanslesdélais</v>
      </c>
      <c r="E5" s="74">
        <v>45177</v>
      </c>
      <c r="F5" s="90"/>
      <c r="G5" s="91">
        <v>0</v>
      </c>
      <c r="H5" s="876"/>
      <c r="I5" s="877"/>
      <c r="J5" s="877"/>
      <c r="K5" s="878"/>
    </row>
    <row r="6" spans="1:11" ht="21.75" customHeight="1" thickBot="1" x14ac:dyDescent="0.3">
      <c r="A6" s="65">
        <v>2</v>
      </c>
      <c r="B6" s="94">
        <v>4112736270</v>
      </c>
      <c r="C6" s="86" t="s">
        <v>70</v>
      </c>
      <c r="D6" s="102" t="str">
        <f t="shared" si="0"/>
        <v>Rétirédanslesdélais</v>
      </c>
      <c r="E6" s="74">
        <v>45177</v>
      </c>
      <c r="F6" s="50"/>
      <c r="G6" s="71">
        <v>0</v>
      </c>
      <c r="H6" s="870"/>
      <c r="I6" s="871"/>
      <c r="J6" s="871"/>
      <c r="K6" s="872"/>
    </row>
    <row r="7" spans="1:11" ht="21.75" customHeight="1" thickBot="1" x14ac:dyDescent="0.3">
      <c r="A7" s="65">
        <v>3</v>
      </c>
      <c r="B7" s="94">
        <v>4112736280</v>
      </c>
      <c r="C7" s="86" t="s">
        <v>70</v>
      </c>
      <c r="D7" s="102" t="str">
        <f t="shared" si="0"/>
        <v>Rétirédanslesdélais</v>
      </c>
      <c r="E7" s="74">
        <v>45177</v>
      </c>
      <c r="F7" s="50"/>
      <c r="G7" s="71">
        <v>0</v>
      </c>
      <c r="H7" s="870"/>
      <c r="I7" s="871"/>
      <c r="J7" s="871"/>
      <c r="K7" s="872"/>
    </row>
    <row r="8" spans="1:11" ht="21.75" customHeight="1" thickBot="1" x14ac:dyDescent="0.3">
      <c r="A8" s="65">
        <v>4</v>
      </c>
      <c r="B8" s="94">
        <v>4112736290</v>
      </c>
      <c r="C8" s="86" t="s">
        <v>70</v>
      </c>
      <c r="D8" s="102" t="str">
        <f t="shared" si="0"/>
        <v>Rétirédanslesdélais</v>
      </c>
      <c r="E8" s="74">
        <v>45177</v>
      </c>
      <c r="F8" s="50"/>
      <c r="G8" s="71">
        <v>0</v>
      </c>
      <c r="H8" s="870"/>
      <c r="I8" s="871"/>
      <c r="J8" s="871"/>
      <c r="K8" s="872"/>
    </row>
    <row r="9" spans="1:11" ht="21.75" customHeight="1" thickBot="1" x14ac:dyDescent="0.3">
      <c r="A9" s="65">
        <v>5</v>
      </c>
      <c r="B9" s="94">
        <v>4112737750</v>
      </c>
      <c r="C9" s="86" t="s">
        <v>70</v>
      </c>
      <c r="D9" s="102" t="str">
        <f t="shared" si="0"/>
        <v>Rétirédanslesdélais</v>
      </c>
      <c r="E9" s="74">
        <v>45177</v>
      </c>
      <c r="F9" s="50"/>
      <c r="G9" s="71">
        <v>0</v>
      </c>
      <c r="H9" s="870"/>
      <c r="I9" s="871"/>
      <c r="J9" s="871"/>
      <c r="K9" s="872"/>
    </row>
    <row r="10" spans="1:11" ht="21.75" customHeight="1" thickBot="1" x14ac:dyDescent="0.3">
      <c r="A10" s="65">
        <v>6</v>
      </c>
      <c r="B10" s="94">
        <v>4112737830</v>
      </c>
      <c r="C10" s="86" t="s">
        <v>70</v>
      </c>
      <c r="D10" s="102" t="str">
        <f t="shared" si="0"/>
        <v>Rétirédanslesdélais</v>
      </c>
      <c r="E10" s="74">
        <v>45177</v>
      </c>
      <c r="F10" s="50"/>
      <c r="G10" s="71">
        <v>0</v>
      </c>
      <c r="H10" s="852"/>
      <c r="I10" s="853"/>
      <c r="J10" s="853"/>
      <c r="K10" s="854"/>
    </row>
    <row r="11" spans="1:11" ht="21.75" customHeight="1" thickBot="1" x14ac:dyDescent="0.3">
      <c r="A11" s="65">
        <v>7</v>
      </c>
      <c r="B11" s="94">
        <v>4112737870</v>
      </c>
      <c r="C11" s="86" t="s">
        <v>70</v>
      </c>
      <c r="D11" s="102" t="str">
        <f t="shared" si="0"/>
        <v>Rétirédanslesdélais</v>
      </c>
      <c r="E11" s="74">
        <v>45177</v>
      </c>
      <c r="F11" s="50"/>
      <c r="G11" s="71">
        <v>0</v>
      </c>
      <c r="H11" s="870"/>
      <c r="I11" s="871"/>
      <c r="J11" s="871"/>
      <c r="K11" s="872"/>
    </row>
    <row r="12" spans="1:11" ht="21.75" customHeight="1" thickBot="1" x14ac:dyDescent="0.3">
      <c r="A12" s="65">
        <v>8</v>
      </c>
      <c r="B12" s="94">
        <v>4112737900</v>
      </c>
      <c r="C12" s="86" t="s">
        <v>70</v>
      </c>
      <c r="D12" s="102" t="str">
        <f t="shared" si="0"/>
        <v>Rétirédanslesdélais</v>
      </c>
      <c r="E12" s="74">
        <v>45177</v>
      </c>
      <c r="F12" s="50"/>
      <c r="G12" s="71">
        <v>0</v>
      </c>
      <c r="H12" s="870"/>
      <c r="I12" s="871"/>
      <c r="J12" s="871"/>
      <c r="K12" s="872"/>
    </row>
    <row r="13" spans="1:11" ht="21.75" customHeight="1" thickBot="1" x14ac:dyDescent="0.3">
      <c r="A13" s="65">
        <v>9</v>
      </c>
      <c r="B13" s="94">
        <v>4112737980</v>
      </c>
      <c r="C13" s="86" t="s">
        <v>70</v>
      </c>
      <c r="D13" s="102" t="str">
        <f t="shared" si="0"/>
        <v>Rétirédanslesdélais</v>
      </c>
      <c r="E13" s="74">
        <v>45177</v>
      </c>
      <c r="F13" s="50"/>
      <c r="G13" s="71">
        <v>0</v>
      </c>
      <c r="H13" s="870"/>
      <c r="I13" s="871"/>
      <c r="J13" s="871"/>
      <c r="K13" s="872"/>
    </row>
    <row r="14" spans="1:11" ht="21.75" customHeight="1" thickBot="1" x14ac:dyDescent="0.3">
      <c r="A14" s="65">
        <v>10</v>
      </c>
      <c r="B14" s="94">
        <v>4112738130</v>
      </c>
      <c r="C14" s="86" t="s">
        <v>70</v>
      </c>
      <c r="D14" s="102" t="str">
        <f t="shared" si="0"/>
        <v>Rétirédanslesdélais</v>
      </c>
      <c r="E14" s="74">
        <v>45177</v>
      </c>
      <c r="F14" s="50"/>
      <c r="G14" s="71">
        <v>0</v>
      </c>
      <c r="H14" s="870"/>
      <c r="I14" s="871"/>
      <c r="J14" s="871"/>
      <c r="K14" s="872"/>
    </row>
    <row r="15" spans="1:11" ht="21.75" customHeight="1" thickBot="1" x14ac:dyDescent="0.3">
      <c r="A15" s="65">
        <v>11</v>
      </c>
      <c r="B15" s="94">
        <v>4112738150</v>
      </c>
      <c r="C15" s="86" t="s">
        <v>70</v>
      </c>
      <c r="D15" s="102" t="str">
        <f t="shared" si="0"/>
        <v>Rétirédanslesdélais</v>
      </c>
      <c r="E15" s="74">
        <v>45177</v>
      </c>
      <c r="F15" s="50"/>
      <c r="G15" s="71">
        <v>0</v>
      </c>
      <c r="H15" s="870"/>
      <c r="I15" s="871"/>
      <c r="J15" s="871"/>
      <c r="K15" s="872"/>
    </row>
    <row r="16" spans="1:11" ht="18" thickBot="1" x14ac:dyDescent="0.3">
      <c r="A16" s="65">
        <v>12</v>
      </c>
      <c r="B16" s="94">
        <v>4112738180</v>
      </c>
      <c r="C16" s="86" t="s">
        <v>70</v>
      </c>
      <c r="D16" s="102" t="str">
        <f t="shared" si="0"/>
        <v>Rétirédanslesdélais</v>
      </c>
      <c r="E16" s="74">
        <v>45177</v>
      </c>
      <c r="G16" s="71">
        <v>0</v>
      </c>
      <c r="H16" s="870"/>
      <c r="I16" s="871"/>
      <c r="J16" s="871"/>
      <c r="K16" s="872"/>
    </row>
    <row r="17" spans="1:11" ht="18" thickBot="1" x14ac:dyDescent="0.3">
      <c r="A17" s="65">
        <v>13</v>
      </c>
      <c r="B17" s="94">
        <v>4112738280</v>
      </c>
      <c r="C17" s="86" t="s">
        <v>70</v>
      </c>
      <c r="D17" s="102" t="str">
        <f t="shared" si="0"/>
        <v>Rétirédanslesdélais</v>
      </c>
      <c r="E17" s="74">
        <v>45177</v>
      </c>
      <c r="G17" s="71">
        <v>0</v>
      </c>
      <c r="H17" s="870"/>
      <c r="I17" s="871"/>
      <c r="J17" s="871"/>
      <c r="K17" s="872"/>
    </row>
    <row r="18" spans="1:11" ht="18" thickBot="1" x14ac:dyDescent="0.3">
      <c r="A18" s="65">
        <v>14</v>
      </c>
      <c r="B18" s="94">
        <v>4112738520</v>
      </c>
      <c r="C18" s="86" t="s">
        <v>70</v>
      </c>
      <c r="D18" s="102" t="str">
        <f t="shared" si="0"/>
        <v>Rétirédanslesdélais</v>
      </c>
      <c r="E18" s="74">
        <v>45177</v>
      </c>
      <c r="G18" s="71">
        <v>0</v>
      </c>
      <c r="H18" s="870"/>
      <c r="I18" s="871"/>
      <c r="J18" s="871"/>
      <c r="K18" s="872"/>
    </row>
    <row r="19" spans="1:11" ht="18" thickBot="1" x14ac:dyDescent="0.3">
      <c r="A19" s="65">
        <v>15</v>
      </c>
      <c r="B19" s="94">
        <v>4112756920</v>
      </c>
      <c r="C19" s="86" t="s">
        <v>70</v>
      </c>
      <c r="D19" s="102" t="str">
        <f t="shared" si="0"/>
        <v>Rétirédanslesdélais</v>
      </c>
      <c r="E19" s="74">
        <v>45180</v>
      </c>
      <c r="G19" s="71">
        <v>0</v>
      </c>
      <c r="H19" s="870"/>
      <c r="I19" s="871"/>
      <c r="J19" s="871"/>
      <c r="K19" s="872"/>
    </row>
    <row r="20" spans="1:11" ht="18" thickBot="1" x14ac:dyDescent="0.3">
      <c r="A20" s="65">
        <v>16</v>
      </c>
      <c r="B20" s="94">
        <v>4112756970</v>
      </c>
      <c r="C20" s="86" t="s">
        <v>70</v>
      </c>
      <c r="D20" s="102" t="str">
        <f t="shared" si="0"/>
        <v>Rétirédanslesdélais</v>
      </c>
      <c r="E20" s="74">
        <v>45177</v>
      </c>
      <c r="G20" s="71">
        <v>0</v>
      </c>
      <c r="H20" s="870"/>
      <c r="I20" s="871"/>
      <c r="J20" s="871"/>
      <c r="K20" s="872"/>
    </row>
    <row r="21" spans="1:11" ht="18" thickBot="1" x14ac:dyDescent="0.3">
      <c r="A21" s="65">
        <v>17</v>
      </c>
      <c r="B21" s="94">
        <v>4112757010</v>
      </c>
      <c r="C21" s="86" t="s">
        <v>70</v>
      </c>
      <c r="D21" s="102" t="str">
        <f t="shared" si="0"/>
        <v>Rétirédanslesdélais</v>
      </c>
      <c r="E21" s="74">
        <v>45177</v>
      </c>
      <c r="G21" s="71">
        <v>0</v>
      </c>
      <c r="H21" s="870"/>
      <c r="I21" s="871"/>
      <c r="J21" s="871"/>
      <c r="K21" s="872"/>
    </row>
    <row r="22" spans="1:11" ht="18" thickBot="1" x14ac:dyDescent="0.3">
      <c r="A22" s="65">
        <v>18</v>
      </c>
      <c r="B22" s="94">
        <v>4112776140</v>
      </c>
      <c r="C22" s="86" t="s">
        <v>70</v>
      </c>
      <c r="D22" s="102" t="str">
        <f t="shared" si="0"/>
        <v>Rétirédanslesdélais</v>
      </c>
      <c r="E22" s="74">
        <v>45177</v>
      </c>
      <c r="G22" s="71">
        <v>0</v>
      </c>
      <c r="H22" s="870"/>
      <c r="I22" s="871"/>
      <c r="J22" s="871"/>
      <c r="K22" s="872"/>
    </row>
    <row r="23" spans="1:11" ht="18" thickBot="1" x14ac:dyDescent="0.3">
      <c r="A23" s="65">
        <v>19</v>
      </c>
      <c r="B23" s="94">
        <v>4053991680</v>
      </c>
      <c r="C23" s="86" t="s">
        <v>1114</v>
      </c>
      <c r="D23" s="102" t="str">
        <f t="shared" si="0"/>
        <v>Rétirédanslesdélais</v>
      </c>
      <c r="E23" s="74">
        <v>45183</v>
      </c>
      <c r="G23" s="71">
        <v>0</v>
      </c>
      <c r="H23" s="870"/>
      <c r="I23" s="871"/>
      <c r="J23" s="871"/>
      <c r="K23" s="872"/>
    </row>
    <row r="24" spans="1:11" ht="18" thickBot="1" x14ac:dyDescent="0.3">
      <c r="A24" s="65">
        <v>20</v>
      </c>
      <c r="B24" s="94">
        <v>4112680390</v>
      </c>
      <c r="C24" s="86" t="s">
        <v>126</v>
      </c>
      <c r="D24" s="102" t="str">
        <f t="shared" si="0"/>
        <v>Rétirédanslesdélais</v>
      </c>
      <c r="E24" s="74">
        <v>45180</v>
      </c>
      <c r="G24" s="71">
        <v>0</v>
      </c>
      <c r="H24" s="870"/>
      <c r="I24" s="871"/>
      <c r="J24" s="871"/>
      <c r="K24" s="872"/>
    </row>
    <row r="25" spans="1:11" ht="18" thickBot="1" x14ac:dyDescent="0.3">
      <c r="A25" s="65">
        <v>21</v>
      </c>
      <c r="B25" s="94">
        <v>4112680392</v>
      </c>
      <c r="C25" s="86" t="s">
        <v>126</v>
      </c>
      <c r="D25" s="102" t="str">
        <f t="shared" si="0"/>
        <v>Rétirédanslesdélais</v>
      </c>
      <c r="E25" s="74">
        <v>45181</v>
      </c>
      <c r="G25" s="71">
        <v>0</v>
      </c>
      <c r="H25" s="870"/>
      <c r="I25" s="871"/>
      <c r="J25" s="871"/>
      <c r="K25" s="872"/>
    </row>
    <row r="26" spans="1:11" ht="18" thickBot="1" x14ac:dyDescent="0.3">
      <c r="A26" s="65">
        <v>22</v>
      </c>
      <c r="B26" s="94">
        <v>4112688200</v>
      </c>
      <c r="C26" s="86" t="s">
        <v>135</v>
      </c>
      <c r="D26" s="102" t="str">
        <f t="shared" si="0"/>
        <v>Rétirédanslesdélais</v>
      </c>
      <c r="E26" s="74">
        <v>45183</v>
      </c>
      <c r="G26" s="71">
        <v>0</v>
      </c>
      <c r="H26" s="870"/>
      <c r="I26" s="871"/>
      <c r="J26" s="871"/>
      <c r="K26" s="872"/>
    </row>
    <row r="27" spans="1:11" ht="18" thickBot="1" x14ac:dyDescent="0.3">
      <c r="A27" s="65">
        <v>23</v>
      </c>
      <c r="B27" s="94">
        <v>4112704020</v>
      </c>
      <c r="C27" s="86" t="s">
        <v>1678</v>
      </c>
      <c r="D27" s="102" t="str">
        <f t="shared" si="0"/>
        <v>Rétirédanslesdélais</v>
      </c>
      <c r="E27" s="74">
        <v>45189</v>
      </c>
      <c r="G27" s="71">
        <v>0</v>
      </c>
      <c r="H27" s="870"/>
      <c r="I27" s="871"/>
      <c r="J27" s="871"/>
      <c r="K27" s="872"/>
    </row>
    <row r="28" spans="1:11" ht="18" thickBot="1" x14ac:dyDescent="0.3">
      <c r="A28" s="65">
        <v>24</v>
      </c>
      <c r="B28" s="94">
        <v>4112708800</v>
      </c>
      <c r="C28" s="86" t="s">
        <v>1673</v>
      </c>
      <c r="D28" s="102" t="str">
        <f t="shared" si="0"/>
        <v>Rétirédanslesdélais</v>
      </c>
      <c r="E28" s="74">
        <v>45177</v>
      </c>
      <c r="G28" s="71">
        <v>0</v>
      </c>
      <c r="H28" s="870"/>
      <c r="I28" s="871"/>
      <c r="J28" s="871"/>
      <c r="K28" s="872"/>
    </row>
    <row r="29" spans="1:11" ht="18" thickBot="1" x14ac:dyDescent="0.3">
      <c r="A29" s="65">
        <v>25</v>
      </c>
      <c r="B29" s="94">
        <v>4112749990</v>
      </c>
      <c r="C29" s="86" t="s">
        <v>1676</v>
      </c>
      <c r="D29" s="102" t="str">
        <f t="shared" si="0"/>
        <v>Rétirédanslesdélais</v>
      </c>
      <c r="E29" s="74">
        <v>45177</v>
      </c>
      <c r="G29" s="71">
        <v>0</v>
      </c>
      <c r="H29" s="870"/>
      <c r="I29" s="871"/>
      <c r="J29" s="871"/>
      <c r="K29" s="872"/>
    </row>
    <row r="30" spans="1:11" ht="18" thickBot="1" x14ac:dyDescent="0.3">
      <c r="A30" s="65">
        <v>26</v>
      </c>
      <c r="B30" s="94">
        <v>4112750380</v>
      </c>
      <c r="C30" s="86" t="s">
        <v>1676</v>
      </c>
      <c r="D30" s="102" t="str">
        <f t="shared" si="0"/>
        <v>Rétirédanslesdélais</v>
      </c>
      <c r="E30" s="74">
        <v>45177</v>
      </c>
      <c r="G30" s="71">
        <v>0</v>
      </c>
      <c r="H30" s="870"/>
      <c r="I30" s="871"/>
      <c r="J30" s="871"/>
      <c r="K30" s="872"/>
    </row>
    <row r="31" spans="1:11" ht="18" thickBot="1" x14ac:dyDescent="0.3">
      <c r="A31" s="65">
        <v>27</v>
      </c>
      <c r="B31" s="94">
        <v>4112749120</v>
      </c>
      <c r="C31" s="86" t="s">
        <v>1576</v>
      </c>
      <c r="D31" s="102" t="str">
        <f t="shared" si="0"/>
        <v>Rétirédanslesdélais</v>
      </c>
      <c r="E31" s="74">
        <v>45187</v>
      </c>
      <c r="G31" s="71">
        <v>0</v>
      </c>
      <c r="H31" s="870" t="s">
        <v>66</v>
      </c>
      <c r="I31" s="871"/>
      <c r="J31" s="871"/>
      <c r="K31" s="872"/>
    </row>
    <row r="32" spans="1:11" ht="18" thickBot="1" x14ac:dyDescent="0.3">
      <c r="A32" s="65">
        <v>28</v>
      </c>
      <c r="B32" s="94">
        <v>4112749850</v>
      </c>
      <c r="C32" s="86" t="s">
        <v>1576</v>
      </c>
      <c r="D32" s="102" t="str">
        <f t="shared" si="0"/>
        <v>Rétirédanslesdélais</v>
      </c>
      <c r="E32" s="74">
        <v>45187</v>
      </c>
      <c r="G32" s="71">
        <v>0</v>
      </c>
      <c r="H32" s="870"/>
      <c r="I32" s="871"/>
      <c r="J32" s="871"/>
      <c r="K32" s="872"/>
    </row>
    <row r="33" spans="1:11" ht="17.25" x14ac:dyDescent="0.25">
      <c r="A33" s="65">
        <v>29</v>
      </c>
      <c r="B33" s="94">
        <v>4112757260</v>
      </c>
      <c r="C33" s="86" t="s">
        <v>1576</v>
      </c>
      <c r="D33" s="102" t="str">
        <f t="shared" si="0"/>
        <v>Rétirédanslesdélais</v>
      </c>
      <c r="E33" s="74">
        <v>45187</v>
      </c>
      <c r="G33" s="71">
        <v>0</v>
      </c>
      <c r="H33" s="870" t="s">
        <v>129</v>
      </c>
      <c r="I33" s="871"/>
      <c r="J33" s="871"/>
      <c r="K33" s="872"/>
    </row>
  </sheetData>
  <sheetProtection selectLockedCells="1"/>
  <autoFilter ref="A4:E15" xr:uid="{B8F94C03-C42D-4877-BB83-D67F8F483513}"/>
  <mergeCells count="33">
    <mergeCell ref="H30:K30"/>
    <mergeCell ref="H31:K31"/>
    <mergeCell ref="H32:K32"/>
    <mergeCell ref="H33:K33"/>
    <mergeCell ref="H12:K12"/>
    <mergeCell ref="H25:K25"/>
    <mergeCell ref="H26:K26"/>
    <mergeCell ref="H27:K27"/>
    <mergeCell ref="H28:K28"/>
    <mergeCell ref="H29:K29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24:K24"/>
    <mergeCell ref="H13:K13"/>
    <mergeCell ref="H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</mergeCells>
  <conditionalFormatting sqref="B1:B5 B34:B1048576">
    <cfRule type="duplicateValues" dxfId="156" priority="9"/>
  </conditionalFormatting>
  <conditionalFormatting sqref="B6:B33">
    <cfRule type="duplicateValues" dxfId="155" priority="1"/>
  </conditionalFormatting>
  <conditionalFormatting sqref="B34:B1048576">
    <cfRule type="duplicateValues" dxfId="154" priority="8"/>
  </conditionalFormatting>
  <conditionalFormatting sqref="D5:D33">
    <cfRule type="containsText" dxfId="153" priority="2" operator="containsText" text="En Attente d'un Retrait Tardif">
      <formula>NOT(ISERROR(SEARCH("En Attente d'un Retrait Tardif",D5)))</formula>
    </cfRule>
    <cfRule type="containsText" dxfId="152" priority="3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921E-F53F-4EE4-8A1F-CCAA0CEBC3A4}">
  <sheetPr codeName="Feuil21">
    <tabColor rgb="FF00B050"/>
  </sheetPr>
  <dimension ref="A1:K15"/>
  <sheetViews>
    <sheetView zoomScaleNormal="100" workbookViewId="0">
      <selection activeCell="G4" sqref="G4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4.28515625" customWidth="1"/>
    <col min="7" max="7" width="13.5703125" bestFit="1" customWidth="1"/>
    <col min="8" max="11" width="16.7109375" customWidth="1"/>
  </cols>
  <sheetData>
    <row r="1" spans="1:11" ht="15.75" thickBot="1" x14ac:dyDescent="0.3">
      <c r="A1" s="887" t="s">
        <v>1707</v>
      </c>
      <c r="B1" s="887"/>
      <c r="C1" s="59"/>
      <c r="D1" s="729"/>
      <c r="E1" s="729"/>
    </row>
    <row r="2" spans="1:11" ht="23.25" customHeight="1" thickBot="1" x14ac:dyDescent="0.3">
      <c r="A2" s="730" t="s">
        <v>0</v>
      </c>
      <c r="B2" s="730"/>
      <c r="C2" s="60"/>
      <c r="D2" s="13">
        <v>45168</v>
      </c>
      <c r="E2" s="4">
        <f ca="1">TODAY()</f>
        <v>46096</v>
      </c>
      <c r="F2" s="5">
        <f ca="1">E2-D2</f>
        <v>928</v>
      </c>
    </row>
    <row r="3" spans="1:11" ht="15.75" thickBot="1" x14ac:dyDescent="0.3"/>
    <row r="4" spans="1:11" ht="24" customHeight="1" thickBot="1" x14ac:dyDescent="0.3">
      <c r="A4" s="112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1.75" customHeight="1" x14ac:dyDescent="0.25">
      <c r="A5" s="65">
        <v>1</v>
      </c>
      <c r="B5" s="94">
        <v>2142181510</v>
      </c>
      <c r="C5" s="86"/>
      <c r="D5" s="102" t="str">
        <f t="shared" ref="D5:D15" si="0">IF(E5="",IF($F$2&lt;=15,"EnattentedeRetrait","EnAttented'unRetraitTardif"),IF(E5-$D$2&lt;=15,"Rétirédanslesdélais",IF(E5-$D$2&gt;15,"Rétirétardivement-30000FCFAamende")))</f>
        <v>Rétirédanslesdélais</v>
      </c>
      <c r="E5" s="74">
        <v>45175</v>
      </c>
      <c r="F5" s="90"/>
      <c r="G5" s="91">
        <v>0</v>
      </c>
      <c r="H5" s="876"/>
      <c r="I5" s="877"/>
      <c r="J5" s="877"/>
      <c r="K5" s="878"/>
    </row>
    <row r="6" spans="1:11" ht="21.75" customHeight="1" x14ac:dyDescent="0.25">
      <c r="A6" s="9">
        <v>2</v>
      </c>
      <c r="B6" s="95">
        <v>2142264430</v>
      </c>
      <c r="C6" s="87"/>
      <c r="D6" s="103" t="str">
        <f t="shared" si="0"/>
        <v>Rétirédanslesdélais</v>
      </c>
      <c r="E6" s="75">
        <v>45175</v>
      </c>
      <c r="F6" s="50"/>
      <c r="G6" s="71">
        <v>0</v>
      </c>
      <c r="H6" s="870"/>
      <c r="I6" s="871"/>
      <c r="J6" s="871"/>
      <c r="K6" s="872"/>
    </row>
    <row r="7" spans="1:11" ht="21.75" customHeight="1" x14ac:dyDescent="0.25">
      <c r="A7" s="9">
        <v>3</v>
      </c>
      <c r="B7" s="95">
        <v>2722947400</v>
      </c>
      <c r="C7" s="87" t="s">
        <v>62</v>
      </c>
      <c r="D7" s="103" t="str">
        <f t="shared" si="0"/>
        <v>Rétirédanslesdélais</v>
      </c>
      <c r="E7" s="75">
        <v>45170</v>
      </c>
      <c r="F7" s="50"/>
      <c r="G7" s="71">
        <v>0</v>
      </c>
      <c r="H7" s="870"/>
      <c r="I7" s="871"/>
      <c r="J7" s="871"/>
      <c r="K7" s="872"/>
    </row>
    <row r="8" spans="1:11" ht="21.75" customHeight="1" x14ac:dyDescent="0.25">
      <c r="A8" s="9">
        <v>4</v>
      </c>
      <c r="B8" s="95">
        <v>4053962001</v>
      </c>
      <c r="C8" s="87" t="s">
        <v>62</v>
      </c>
      <c r="D8" s="103" t="str">
        <f t="shared" si="0"/>
        <v>Rétirédanslesdélais</v>
      </c>
      <c r="E8" s="75">
        <v>45170</v>
      </c>
      <c r="F8" s="50"/>
      <c r="G8" s="71">
        <v>0</v>
      </c>
      <c r="H8" s="870"/>
      <c r="I8" s="871"/>
      <c r="J8" s="871"/>
      <c r="K8" s="872"/>
    </row>
    <row r="9" spans="1:11" ht="21.75" customHeight="1" x14ac:dyDescent="0.25">
      <c r="A9" s="9">
        <v>5</v>
      </c>
      <c r="B9" s="95">
        <v>4112700160</v>
      </c>
      <c r="C9" s="87" t="s">
        <v>1458</v>
      </c>
      <c r="D9" s="103" t="str">
        <f t="shared" si="0"/>
        <v>Rétirédanslesdélais</v>
      </c>
      <c r="E9" s="75">
        <v>45143</v>
      </c>
      <c r="F9" s="50"/>
      <c r="G9" s="71">
        <v>0</v>
      </c>
      <c r="H9" s="870"/>
      <c r="I9" s="871"/>
      <c r="J9" s="871"/>
      <c r="K9" s="872"/>
    </row>
    <row r="10" spans="1:11" ht="21.75" customHeight="1" x14ac:dyDescent="0.25">
      <c r="A10" s="9">
        <v>6</v>
      </c>
      <c r="B10" s="95">
        <v>4112701910</v>
      </c>
      <c r="C10" s="87" t="s">
        <v>1708</v>
      </c>
      <c r="D10" s="103" t="str">
        <f t="shared" si="0"/>
        <v>Rétirédanslesdélais</v>
      </c>
      <c r="E10" s="75">
        <v>45173</v>
      </c>
      <c r="F10" s="50"/>
      <c r="G10" s="71">
        <v>0</v>
      </c>
      <c r="H10" s="852"/>
      <c r="I10" s="853"/>
      <c r="J10" s="853"/>
      <c r="K10" s="854"/>
    </row>
    <row r="11" spans="1:11" ht="21.75" customHeight="1" x14ac:dyDescent="0.25">
      <c r="A11" s="9">
        <v>7</v>
      </c>
      <c r="B11" s="95">
        <v>4112727080</v>
      </c>
      <c r="C11" s="87" t="s">
        <v>1709</v>
      </c>
      <c r="D11" s="103" t="str">
        <f t="shared" si="0"/>
        <v>Rétirédanslesdélais</v>
      </c>
      <c r="E11" s="75">
        <v>45173</v>
      </c>
      <c r="F11" s="50"/>
      <c r="G11" s="71">
        <v>0</v>
      </c>
      <c r="H11" s="870"/>
      <c r="I11" s="871"/>
      <c r="J11" s="871"/>
      <c r="K11" s="872"/>
    </row>
    <row r="12" spans="1:11" ht="21.75" customHeight="1" x14ac:dyDescent="0.25">
      <c r="A12" s="9">
        <v>8</v>
      </c>
      <c r="B12" s="95">
        <v>4112735920</v>
      </c>
      <c r="C12" s="87" t="s">
        <v>62</v>
      </c>
      <c r="D12" s="103" t="str">
        <f t="shared" si="0"/>
        <v>Rétirédanslesdélais</v>
      </c>
      <c r="E12" s="75">
        <v>45170</v>
      </c>
      <c r="F12" s="50"/>
      <c r="G12" s="71">
        <v>0</v>
      </c>
      <c r="H12" s="870"/>
      <c r="I12" s="871"/>
      <c r="J12" s="871"/>
      <c r="K12" s="872"/>
    </row>
    <row r="13" spans="1:11" ht="21.75" customHeight="1" x14ac:dyDescent="0.25">
      <c r="A13" s="9">
        <v>9</v>
      </c>
      <c r="B13" s="95">
        <v>4112736100</v>
      </c>
      <c r="C13" s="87" t="s">
        <v>62</v>
      </c>
      <c r="D13" s="103" t="str">
        <f t="shared" si="0"/>
        <v>Rétirédanslesdélais</v>
      </c>
      <c r="E13" s="75">
        <v>45170</v>
      </c>
      <c r="F13" s="50"/>
      <c r="G13" s="71">
        <v>0</v>
      </c>
      <c r="H13" s="870"/>
      <c r="I13" s="871"/>
      <c r="J13" s="871"/>
      <c r="K13" s="872"/>
    </row>
    <row r="14" spans="1:11" ht="21.75" customHeight="1" x14ac:dyDescent="0.25">
      <c r="A14" s="9">
        <v>10</v>
      </c>
      <c r="B14" s="95">
        <v>4112750880</v>
      </c>
      <c r="C14" s="87" t="s">
        <v>136</v>
      </c>
      <c r="D14" s="103" t="str">
        <f t="shared" si="0"/>
        <v>Rétirédanslesdélais</v>
      </c>
      <c r="E14" s="75">
        <v>45169</v>
      </c>
      <c r="F14" s="50"/>
      <c r="G14" s="71">
        <v>0</v>
      </c>
      <c r="H14" s="870"/>
      <c r="I14" s="871"/>
      <c r="J14" s="871"/>
      <c r="K14" s="872"/>
    </row>
    <row r="15" spans="1:11" ht="21.75" customHeight="1" thickBot="1" x14ac:dyDescent="0.3">
      <c r="A15" s="92">
        <v>11</v>
      </c>
      <c r="B15" s="97">
        <v>4112750930</v>
      </c>
      <c r="C15" s="89" t="s">
        <v>136</v>
      </c>
      <c r="D15" s="111" t="str">
        <f t="shared" si="0"/>
        <v>Rétirédanslesdélais</v>
      </c>
      <c r="E15" s="77">
        <v>45169</v>
      </c>
      <c r="F15" s="50"/>
      <c r="G15" s="71">
        <v>0</v>
      </c>
      <c r="H15" s="870"/>
      <c r="I15" s="871"/>
      <c r="J15" s="871"/>
      <c r="K15" s="872"/>
    </row>
  </sheetData>
  <sheetProtection selectLockedCells="1"/>
  <autoFilter ref="A4:E15" xr:uid="{B8F94C03-C42D-4877-BB83-D67F8F483513}"/>
  <mergeCells count="15">
    <mergeCell ref="H13:K13"/>
    <mergeCell ref="H14:K14"/>
    <mergeCell ref="H15:K15"/>
    <mergeCell ref="H7:K7"/>
    <mergeCell ref="H8:K8"/>
    <mergeCell ref="H9:K9"/>
    <mergeCell ref="H10:K10"/>
    <mergeCell ref="H11:K11"/>
    <mergeCell ref="H12:K12"/>
    <mergeCell ref="H6:K6"/>
    <mergeCell ref="A1:B1"/>
    <mergeCell ref="D1:E1"/>
    <mergeCell ref="A2:B2"/>
    <mergeCell ref="H4:K4"/>
    <mergeCell ref="H5:K5"/>
  </mergeCells>
  <conditionalFormatting sqref="B1:B13 B15:B1048576">
    <cfRule type="duplicateValues" dxfId="151" priority="6"/>
  </conditionalFormatting>
  <conditionalFormatting sqref="B14">
    <cfRule type="duplicateValues" dxfId="150" priority="1"/>
    <cfRule type="duplicateValues" dxfId="149" priority="2"/>
  </conditionalFormatting>
  <conditionalFormatting sqref="B16:B1048576">
    <cfRule type="duplicateValues" dxfId="148" priority="5"/>
  </conditionalFormatting>
  <conditionalFormatting sqref="D5:D15">
    <cfRule type="containsText" dxfId="147" priority="3" operator="containsText" text="En Attente d'un Retrait Tardif">
      <formula>NOT(ISERROR(SEARCH("En Attente d'un Retrait Tardif",D5)))</formula>
    </cfRule>
    <cfRule type="containsText" dxfId="146" priority="4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4C03-C42D-4877-BB83-D67F8F483513}">
  <sheetPr codeName="Feuil22">
    <tabColor rgb="FF00B050"/>
  </sheetPr>
  <dimension ref="A1:K17"/>
  <sheetViews>
    <sheetView zoomScaleNormal="100" workbookViewId="0">
      <selection activeCell="M10" sqref="M10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5.75" thickBot="1" x14ac:dyDescent="0.3">
      <c r="A1" s="891" t="s">
        <v>1710</v>
      </c>
      <c r="B1" s="892"/>
      <c r="C1" s="107"/>
      <c r="D1" s="893"/>
      <c r="E1" s="894"/>
    </row>
    <row r="2" spans="1:11" ht="23.25" customHeight="1" thickBot="1" x14ac:dyDescent="0.3">
      <c r="A2" s="895" t="s">
        <v>0</v>
      </c>
      <c r="B2" s="730"/>
      <c r="C2" s="60"/>
      <c r="D2" s="13">
        <v>45157</v>
      </c>
      <c r="E2" s="4">
        <f ca="1">TODAY()</f>
        <v>46096</v>
      </c>
      <c r="F2" s="5">
        <f ca="1">E2-D2</f>
        <v>939</v>
      </c>
    </row>
    <row r="3" spans="1:11" ht="15.75" thickBot="1" x14ac:dyDescent="0.3">
      <c r="A3" s="108"/>
      <c r="E3" s="109"/>
    </row>
    <row r="4" spans="1:11" ht="24" customHeight="1" thickBot="1" x14ac:dyDescent="0.3">
      <c r="A4" s="110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1.75" customHeight="1" x14ac:dyDescent="0.25">
      <c r="A5" s="65">
        <v>1</v>
      </c>
      <c r="B5" s="94">
        <v>2142096480</v>
      </c>
      <c r="C5" s="86" t="s">
        <v>53</v>
      </c>
      <c r="D5" s="102" t="str">
        <f t="shared" ref="D5:D17" si="0">IF(E5="",IF($F$2&lt;=15,"EnattentedeRetrait","EnAttented'unRetraitTardif"),IF(E5-$D$2&lt;=15,"Rétirédanslesdélais",IF(E5-$D$2&gt;15,"Rétirétardivement-30000FCFAamende")))</f>
        <v>Rétirédanslesdélais</v>
      </c>
      <c r="E5" s="74">
        <v>45162</v>
      </c>
      <c r="F5" s="90"/>
      <c r="G5" s="91">
        <v>0</v>
      </c>
      <c r="H5" s="876"/>
      <c r="I5" s="877"/>
      <c r="J5" s="877"/>
      <c r="K5" s="878"/>
    </row>
    <row r="6" spans="1:11" ht="21.75" customHeight="1" x14ac:dyDescent="0.25">
      <c r="A6" s="9">
        <v>2</v>
      </c>
      <c r="B6" s="95">
        <v>4053924021</v>
      </c>
      <c r="C6" s="87" t="s">
        <v>1576</v>
      </c>
      <c r="D6" s="103" t="str">
        <f t="shared" si="0"/>
        <v>Rétirédanslesdélais</v>
      </c>
      <c r="E6" s="75">
        <v>45170</v>
      </c>
      <c r="F6" s="50"/>
      <c r="G6" s="71">
        <v>0</v>
      </c>
      <c r="H6" s="870"/>
      <c r="I6" s="871"/>
      <c r="J6" s="871"/>
      <c r="K6" s="872"/>
    </row>
    <row r="7" spans="1:11" ht="21.75" customHeight="1" x14ac:dyDescent="0.25">
      <c r="A7" s="9">
        <v>3</v>
      </c>
      <c r="B7" s="95">
        <v>4112685630</v>
      </c>
      <c r="C7" s="87" t="s">
        <v>1673</v>
      </c>
      <c r="D7" s="103" t="str">
        <f t="shared" si="0"/>
        <v>Rétirédanslesdélais</v>
      </c>
      <c r="E7" s="75">
        <v>45163</v>
      </c>
      <c r="F7" s="50"/>
      <c r="G7" s="71">
        <v>0</v>
      </c>
      <c r="H7" s="870"/>
      <c r="I7" s="871"/>
      <c r="J7" s="871"/>
      <c r="K7" s="872"/>
    </row>
    <row r="8" spans="1:11" ht="21.75" customHeight="1" x14ac:dyDescent="0.25">
      <c r="A8" s="9">
        <v>4</v>
      </c>
      <c r="B8" s="95">
        <v>4112688080</v>
      </c>
      <c r="C8" s="87" t="s">
        <v>1673</v>
      </c>
      <c r="D8" s="103" t="str">
        <f t="shared" si="0"/>
        <v>Rétirédanslesdélais</v>
      </c>
      <c r="E8" s="75">
        <v>45162</v>
      </c>
      <c r="F8" s="50"/>
      <c r="G8" s="71">
        <v>0</v>
      </c>
      <c r="H8" s="870"/>
      <c r="I8" s="871"/>
      <c r="J8" s="871"/>
      <c r="K8" s="872"/>
    </row>
    <row r="9" spans="1:11" ht="21.75" customHeight="1" x14ac:dyDescent="0.25">
      <c r="A9" s="9">
        <v>5</v>
      </c>
      <c r="B9" s="161">
        <v>4112701940</v>
      </c>
      <c r="C9" s="87" t="s">
        <v>1711</v>
      </c>
      <c r="D9" s="103" t="str">
        <f t="shared" si="0"/>
        <v>Rétirédanslesdélais</v>
      </c>
      <c r="E9" s="75">
        <v>45162</v>
      </c>
      <c r="F9" s="50"/>
      <c r="G9" s="71">
        <v>0</v>
      </c>
      <c r="H9" s="870"/>
      <c r="I9" s="871"/>
      <c r="J9" s="871"/>
      <c r="K9" s="872"/>
    </row>
    <row r="10" spans="1:11" ht="21.75" customHeight="1" x14ac:dyDescent="0.25">
      <c r="A10" s="9">
        <v>6</v>
      </c>
      <c r="B10" s="95">
        <v>4112721790</v>
      </c>
      <c r="C10" s="87" t="s">
        <v>53</v>
      </c>
      <c r="D10" s="103" t="str">
        <f t="shared" si="0"/>
        <v>Rétirédanslesdélais</v>
      </c>
      <c r="E10" s="75">
        <v>45162</v>
      </c>
      <c r="F10" s="50"/>
      <c r="G10" s="71">
        <v>0</v>
      </c>
      <c r="H10" s="852"/>
      <c r="I10" s="853"/>
      <c r="J10" s="853"/>
      <c r="K10" s="854"/>
    </row>
    <row r="11" spans="1:11" ht="21.75" customHeight="1" x14ac:dyDescent="0.25">
      <c r="A11" s="9">
        <v>7</v>
      </c>
      <c r="B11" s="95">
        <v>4112721830</v>
      </c>
      <c r="C11" s="87" t="s">
        <v>53</v>
      </c>
      <c r="D11" s="103" t="str">
        <f t="shared" si="0"/>
        <v>Rétirédanslesdélais</v>
      </c>
      <c r="E11" s="75">
        <v>45162</v>
      </c>
      <c r="F11" s="50"/>
      <c r="G11" s="71">
        <v>0</v>
      </c>
      <c r="H11" s="870"/>
      <c r="I11" s="871"/>
      <c r="J11" s="871"/>
      <c r="K11" s="872"/>
    </row>
    <row r="12" spans="1:11" ht="21.75" customHeight="1" x14ac:dyDescent="0.25">
      <c r="A12" s="9">
        <v>8</v>
      </c>
      <c r="B12" s="95">
        <v>4112722810</v>
      </c>
      <c r="C12" s="87" t="s">
        <v>1184</v>
      </c>
      <c r="D12" s="103" t="str">
        <f t="shared" si="0"/>
        <v>Rétirédanslesdélais</v>
      </c>
      <c r="E12" s="75">
        <v>45166</v>
      </c>
      <c r="F12" s="50"/>
      <c r="G12" s="71">
        <v>0</v>
      </c>
      <c r="H12" s="870"/>
      <c r="I12" s="871"/>
      <c r="J12" s="871"/>
      <c r="K12" s="872"/>
    </row>
    <row r="13" spans="1:11" ht="21.75" customHeight="1" x14ac:dyDescent="0.25">
      <c r="A13" s="9">
        <v>9</v>
      </c>
      <c r="B13" s="95">
        <v>4112722840</v>
      </c>
      <c r="C13" s="87" t="s">
        <v>1613</v>
      </c>
      <c r="D13" s="103" t="str">
        <f t="shared" si="0"/>
        <v>Rétirédanslesdélais</v>
      </c>
      <c r="E13" s="75">
        <v>45168</v>
      </c>
      <c r="F13" s="50"/>
      <c r="G13" s="71">
        <v>0</v>
      </c>
      <c r="H13" s="870"/>
      <c r="I13" s="871"/>
      <c r="J13" s="871"/>
      <c r="K13" s="872"/>
    </row>
    <row r="14" spans="1:11" ht="21.75" customHeight="1" x14ac:dyDescent="0.25">
      <c r="A14" s="9">
        <v>10</v>
      </c>
      <c r="B14" s="95">
        <v>4112724900</v>
      </c>
      <c r="C14" s="87" t="s">
        <v>1712</v>
      </c>
      <c r="D14" s="103" t="str">
        <f t="shared" si="0"/>
        <v>Rétirédanslesdélais</v>
      </c>
      <c r="E14" s="75">
        <v>45167</v>
      </c>
      <c r="F14" s="50"/>
      <c r="G14" s="71">
        <v>0</v>
      </c>
      <c r="H14" s="870"/>
      <c r="I14" s="871"/>
      <c r="J14" s="871"/>
      <c r="K14" s="872"/>
    </row>
    <row r="15" spans="1:11" ht="21.75" customHeight="1" x14ac:dyDescent="0.25">
      <c r="A15" s="9">
        <v>11</v>
      </c>
      <c r="B15" s="95">
        <v>4112724908</v>
      </c>
      <c r="C15" s="87" t="s">
        <v>1712</v>
      </c>
      <c r="D15" s="103" t="str">
        <f t="shared" si="0"/>
        <v>Rétirédanslesdélais</v>
      </c>
      <c r="E15" s="75">
        <v>45167</v>
      </c>
      <c r="F15" s="50"/>
      <c r="G15" s="71">
        <v>0</v>
      </c>
      <c r="H15" s="870"/>
      <c r="I15" s="871"/>
      <c r="J15" s="871"/>
      <c r="K15" s="872"/>
    </row>
    <row r="16" spans="1:11" ht="21.75" customHeight="1" x14ac:dyDescent="0.25">
      <c r="A16" s="9">
        <v>12</v>
      </c>
      <c r="B16" s="95">
        <v>4112724909</v>
      </c>
      <c r="C16" s="87" t="s">
        <v>1712</v>
      </c>
      <c r="D16" s="103" t="str">
        <f t="shared" si="0"/>
        <v>Rétirédanslesdélais</v>
      </c>
      <c r="E16" s="75">
        <v>45167</v>
      </c>
      <c r="G16" s="71">
        <v>0</v>
      </c>
      <c r="H16" s="870"/>
      <c r="I16" s="871"/>
      <c r="J16" s="871"/>
      <c r="K16" s="872"/>
    </row>
    <row r="17" spans="1:11" ht="21.75" customHeight="1" thickBot="1" x14ac:dyDescent="0.3">
      <c r="A17" s="92">
        <v>13</v>
      </c>
      <c r="B17" s="97">
        <v>4112731180</v>
      </c>
      <c r="C17" s="89" t="s">
        <v>1613</v>
      </c>
      <c r="D17" s="111" t="str">
        <f t="shared" si="0"/>
        <v>Rétirédanslesdélais</v>
      </c>
      <c r="E17" s="77">
        <v>45168</v>
      </c>
      <c r="G17" s="71">
        <v>0</v>
      </c>
      <c r="H17" s="870"/>
      <c r="I17" s="871"/>
      <c r="J17" s="871"/>
      <c r="K17" s="872"/>
    </row>
  </sheetData>
  <sheetProtection selectLockedCells="1"/>
  <autoFilter ref="A4:E17" xr:uid="{B8F94C03-C42D-4877-BB83-D67F8F483513}"/>
  <mergeCells count="17"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13:K13"/>
    <mergeCell ref="H14:K14"/>
    <mergeCell ref="H15:K15"/>
    <mergeCell ref="H16:K16"/>
    <mergeCell ref="H17:K17"/>
  </mergeCells>
  <conditionalFormatting sqref="B14">
    <cfRule type="duplicateValues" dxfId="145" priority="6"/>
    <cfRule type="duplicateValues" dxfId="144" priority="7"/>
  </conditionalFormatting>
  <conditionalFormatting sqref="B16:B17">
    <cfRule type="duplicateValues" dxfId="143" priority="61"/>
  </conditionalFormatting>
  <conditionalFormatting sqref="B18:B1048576 B1:B13 B15">
    <cfRule type="duplicateValues" dxfId="142" priority="10"/>
    <cfRule type="duplicateValues" dxfId="141" priority="11"/>
  </conditionalFormatting>
  <conditionalFormatting sqref="D5:D17">
    <cfRule type="containsText" dxfId="140" priority="8" operator="containsText" text="En Attente d'un Retrait Tardif">
      <formula>NOT(ISERROR(SEARCH("En Attente d'un Retrait Tardif",D5)))</formula>
    </cfRule>
    <cfRule type="containsText" dxfId="139" priority="9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229D-E007-4458-822C-A62D8156F098}">
  <sheetPr codeName="Feuil23">
    <tabColor rgb="FF00B050"/>
  </sheetPr>
  <dimension ref="A1:K26"/>
  <sheetViews>
    <sheetView topLeftCell="A4" zoomScaleNormal="100" workbookViewId="0">
      <selection activeCell="B14" sqref="B14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style="105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5.75" thickBot="1" x14ac:dyDescent="0.3">
      <c r="A1" s="896" t="s">
        <v>1713</v>
      </c>
      <c r="B1" s="897"/>
      <c r="C1" s="107"/>
      <c r="D1" s="893"/>
      <c r="E1" s="894"/>
    </row>
    <row r="2" spans="1:11" ht="23.25" customHeight="1" thickBot="1" x14ac:dyDescent="0.3">
      <c r="A2" s="895" t="s">
        <v>0</v>
      </c>
      <c r="B2" s="730"/>
      <c r="C2" s="60"/>
      <c r="D2" s="13">
        <v>45161</v>
      </c>
      <c r="E2" s="4">
        <f ca="1">TODAY()</f>
        <v>46096</v>
      </c>
      <c r="F2" s="5">
        <f ca="1">E2-D2</f>
        <v>935</v>
      </c>
    </row>
    <row r="3" spans="1:11" ht="15.75" thickBot="1" x14ac:dyDescent="0.3">
      <c r="A3" s="108"/>
      <c r="E3" s="109"/>
    </row>
    <row r="4" spans="1:11" ht="24" customHeight="1" thickBot="1" x14ac:dyDescent="0.3">
      <c r="A4" s="110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1.75" customHeight="1" x14ac:dyDescent="0.25">
      <c r="A5" s="65">
        <v>1</v>
      </c>
      <c r="B5" s="94">
        <v>2141907440</v>
      </c>
      <c r="C5" s="86" t="s">
        <v>77</v>
      </c>
      <c r="D5" s="102" t="str">
        <f t="shared" ref="D5:D26" si="0">IF(E5="",IF($F$2&lt;=15,"EnattentedeRetrait","EnAttented'unRetraitTardif"),IF(E5-$D$2&lt;=15,"Rétirédanslesdélais",IF(E5-$D$2&gt;15,"Rétirétardivement-30000FCFAamende")))</f>
        <v>Rétirédanslesdélais</v>
      </c>
      <c r="E5" s="74">
        <v>45167</v>
      </c>
      <c r="F5" s="90"/>
      <c r="G5" s="91">
        <v>0</v>
      </c>
      <c r="H5" s="876"/>
      <c r="I5" s="877"/>
      <c r="J5" s="877"/>
      <c r="K5" s="878"/>
    </row>
    <row r="6" spans="1:11" ht="21.75" customHeight="1" x14ac:dyDescent="0.25">
      <c r="A6" s="9">
        <v>2</v>
      </c>
      <c r="B6" s="95">
        <v>4053861471</v>
      </c>
      <c r="C6" s="87" t="s">
        <v>81</v>
      </c>
      <c r="D6" s="103" t="str">
        <f t="shared" si="0"/>
        <v>Rétirédanslesdélais</v>
      </c>
      <c r="E6" s="75">
        <v>45167</v>
      </c>
      <c r="F6" s="50"/>
      <c r="G6" s="71">
        <v>0</v>
      </c>
      <c r="H6" s="870"/>
      <c r="I6" s="871"/>
      <c r="J6" s="871"/>
      <c r="K6" s="872"/>
    </row>
    <row r="7" spans="1:11" ht="21.75" customHeight="1" x14ac:dyDescent="0.25">
      <c r="A7" s="9">
        <v>3</v>
      </c>
      <c r="B7" s="95">
        <v>4053924022</v>
      </c>
      <c r="C7" s="87" t="s">
        <v>82</v>
      </c>
      <c r="D7" s="103" t="str">
        <f t="shared" si="0"/>
        <v>Rétirédanslesdélais</v>
      </c>
      <c r="E7" s="75">
        <v>45170</v>
      </c>
      <c r="F7" s="50"/>
      <c r="G7" s="71">
        <v>0</v>
      </c>
      <c r="H7" s="870"/>
      <c r="I7" s="871"/>
      <c r="J7" s="871"/>
      <c r="K7" s="872"/>
    </row>
    <row r="8" spans="1:11" ht="21.75" customHeight="1" x14ac:dyDescent="0.25">
      <c r="A8" s="9">
        <v>4</v>
      </c>
      <c r="B8" s="95">
        <v>4053926970</v>
      </c>
      <c r="C8" s="87" t="s">
        <v>1714</v>
      </c>
      <c r="D8" s="103" t="str">
        <f t="shared" si="0"/>
        <v>Rétirédanslesdélais</v>
      </c>
      <c r="E8" s="75">
        <v>45163</v>
      </c>
      <c r="F8" s="50"/>
      <c r="G8" s="71">
        <v>0</v>
      </c>
      <c r="H8" s="870"/>
      <c r="I8" s="871"/>
      <c r="J8" s="871"/>
      <c r="K8" s="872"/>
    </row>
    <row r="9" spans="1:11" ht="21.75" customHeight="1" x14ac:dyDescent="0.25">
      <c r="A9" s="9">
        <v>5</v>
      </c>
      <c r="B9" s="95">
        <v>4053926971</v>
      </c>
      <c r="C9" s="87" t="s">
        <v>1714</v>
      </c>
      <c r="D9" s="103" t="str">
        <f t="shared" si="0"/>
        <v>Rétirédanslesdélais</v>
      </c>
      <c r="E9" s="75">
        <v>45163</v>
      </c>
      <c r="F9" s="50"/>
      <c r="G9" s="71">
        <v>0</v>
      </c>
      <c r="H9" s="870"/>
      <c r="I9" s="871"/>
      <c r="J9" s="871"/>
      <c r="K9" s="872"/>
    </row>
    <row r="10" spans="1:11" ht="21.75" customHeight="1" x14ac:dyDescent="0.25">
      <c r="A10" s="9">
        <v>6</v>
      </c>
      <c r="B10" s="95">
        <v>4053930930</v>
      </c>
      <c r="C10" s="87" t="s">
        <v>81</v>
      </c>
      <c r="D10" s="103" t="str">
        <f t="shared" si="0"/>
        <v>Rétirédanslesdélais</v>
      </c>
      <c r="E10" s="75">
        <v>45168</v>
      </c>
      <c r="F10" s="50"/>
      <c r="G10" s="71">
        <v>0</v>
      </c>
      <c r="H10" s="852" t="s">
        <v>138</v>
      </c>
      <c r="I10" s="853"/>
      <c r="J10" s="853"/>
      <c r="K10" s="854"/>
    </row>
    <row r="11" spans="1:11" ht="21.75" customHeight="1" x14ac:dyDescent="0.25">
      <c r="A11" s="9">
        <v>7</v>
      </c>
      <c r="B11" s="95">
        <v>4053983990</v>
      </c>
      <c r="C11" s="87" t="s">
        <v>70</v>
      </c>
      <c r="D11" s="103" t="str">
        <f t="shared" si="0"/>
        <v>Rétirédanslesdélais</v>
      </c>
      <c r="E11" s="75">
        <v>45167</v>
      </c>
      <c r="F11" s="50"/>
      <c r="G11" s="71">
        <v>0</v>
      </c>
      <c r="H11" s="870"/>
      <c r="I11" s="871"/>
      <c r="J11" s="871"/>
      <c r="K11" s="872"/>
    </row>
    <row r="12" spans="1:11" ht="21.75" customHeight="1" x14ac:dyDescent="0.25">
      <c r="A12" s="9">
        <v>8</v>
      </c>
      <c r="B12" s="95">
        <v>4053991720</v>
      </c>
      <c r="C12" s="87" t="s">
        <v>81</v>
      </c>
      <c r="D12" s="103" t="str">
        <f t="shared" si="0"/>
        <v>Rétirédanslesdélais</v>
      </c>
      <c r="E12" s="75">
        <v>45168</v>
      </c>
      <c r="F12" s="50"/>
      <c r="G12" s="71">
        <v>0</v>
      </c>
      <c r="H12" s="870"/>
      <c r="I12" s="871"/>
      <c r="J12" s="871"/>
      <c r="K12" s="872"/>
    </row>
    <row r="13" spans="1:11" ht="21.75" customHeight="1" x14ac:dyDescent="0.25">
      <c r="A13" s="9">
        <v>9</v>
      </c>
      <c r="B13" s="95">
        <v>4112665451</v>
      </c>
      <c r="C13" s="87" t="s">
        <v>1715</v>
      </c>
      <c r="D13" s="103" t="str">
        <f t="shared" si="0"/>
        <v>Rétirédanslesdélais</v>
      </c>
      <c r="E13" s="75">
        <v>45163</v>
      </c>
      <c r="F13" s="50"/>
      <c r="G13" s="71">
        <v>0</v>
      </c>
      <c r="H13" s="870"/>
      <c r="I13" s="871"/>
      <c r="J13" s="871"/>
      <c r="K13" s="872"/>
    </row>
    <row r="14" spans="1:11" ht="21.75" customHeight="1" x14ac:dyDescent="0.25">
      <c r="A14" s="9">
        <v>10</v>
      </c>
      <c r="B14" s="95">
        <v>4112669700</v>
      </c>
      <c r="C14" s="87" t="s">
        <v>1716</v>
      </c>
      <c r="D14" s="103" t="str">
        <f t="shared" si="0"/>
        <v>Rétirédanslesdélais</v>
      </c>
      <c r="E14" s="75">
        <v>45167</v>
      </c>
      <c r="F14" s="50"/>
      <c r="G14" s="71">
        <v>0</v>
      </c>
      <c r="H14" s="870"/>
      <c r="I14" s="871"/>
      <c r="J14" s="871"/>
      <c r="K14" s="872"/>
    </row>
    <row r="15" spans="1:11" ht="21.75" customHeight="1" x14ac:dyDescent="0.25">
      <c r="A15" s="9">
        <v>11</v>
      </c>
      <c r="B15" s="95">
        <v>4112669710</v>
      </c>
      <c r="C15" s="87" t="s">
        <v>1716</v>
      </c>
      <c r="D15" s="103" t="str">
        <f t="shared" si="0"/>
        <v>Rétirédanslesdélais</v>
      </c>
      <c r="E15" s="75">
        <v>45167</v>
      </c>
      <c r="F15" s="50"/>
      <c r="G15" s="71">
        <v>0</v>
      </c>
      <c r="H15" s="870"/>
      <c r="I15" s="871"/>
      <c r="J15" s="871"/>
      <c r="K15" s="872"/>
    </row>
    <row r="16" spans="1:11" ht="21.75" customHeight="1" x14ac:dyDescent="0.25">
      <c r="A16" s="9">
        <v>12</v>
      </c>
      <c r="B16" s="95">
        <v>4112680360</v>
      </c>
      <c r="C16" s="87" t="s">
        <v>126</v>
      </c>
      <c r="D16" s="103" t="str">
        <f t="shared" si="0"/>
        <v>Rétirédanslesdélais</v>
      </c>
      <c r="E16" s="75">
        <v>45163</v>
      </c>
      <c r="G16" s="71">
        <v>0</v>
      </c>
      <c r="H16" s="870"/>
      <c r="I16" s="871"/>
      <c r="J16" s="871"/>
      <c r="K16" s="872"/>
    </row>
    <row r="17" spans="1:11" ht="21.75" customHeight="1" x14ac:dyDescent="0.25">
      <c r="A17" s="9">
        <v>13</v>
      </c>
      <c r="B17" s="95">
        <v>4112698310</v>
      </c>
      <c r="C17" s="87" t="s">
        <v>139</v>
      </c>
      <c r="D17" s="103" t="str">
        <f t="shared" si="0"/>
        <v>Rétirédanslesdélais</v>
      </c>
      <c r="E17" s="75">
        <v>45168</v>
      </c>
      <c r="G17" s="71">
        <v>0</v>
      </c>
      <c r="H17" s="870"/>
      <c r="I17" s="871"/>
      <c r="J17" s="871"/>
      <c r="K17" s="872"/>
    </row>
    <row r="18" spans="1:11" ht="21.75" customHeight="1" x14ac:dyDescent="0.25">
      <c r="A18" s="66">
        <v>14</v>
      </c>
      <c r="B18" s="96">
        <v>4112727560</v>
      </c>
      <c r="C18" s="88" t="s">
        <v>1688</v>
      </c>
      <c r="D18" s="104" t="str">
        <f t="shared" si="0"/>
        <v>Rétirédanslesdélais</v>
      </c>
      <c r="E18" s="76">
        <v>45163</v>
      </c>
      <c r="G18" s="72">
        <v>0</v>
      </c>
      <c r="H18" s="870"/>
      <c r="I18" s="871"/>
      <c r="J18" s="871"/>
      <c r="K18" s="872"/>
    </row>
    <row r="19" spans="1:11" ht="21.75" customHeight="1" x14ac:dyDescent="0.25">
      <c r="A19" s="9">
        <v>15</v>
      </c>
      <c r="B19" s="95">
        <v>4112738190</v>
      </c>
      <c r="C19" s="87" t="s">
        <v>70</v>
      </c>
      <c r="D19" s="103" t="str">
        <f t="shared" si="0"/>
        <v>Rétirédanslesdélais</v>
      </c>
      <c r="E19" s="75">
        <v>45167</v>
      </c>
      <c r="F19" s="50"/>
      <c r="G19" s="71">
        <v>0</v>
      </c>
      <c r="H19" s="870"/>
      <c r="I19" s="871"/>
      <c r="J19" s="871"/>
      <c r="K19" s="872"/>
    </row>
    <row r="20" spans="1:11" ht="21.75" customHeight="1" x14ac:dyDescent="0.25">
      <c r="A20" s="9">
        <v>16</v>
      </c>
      <c r="B20" s="95">
        <v>4112738200</v>
      </c>
      <c r="C20" s="87" t="s">
        <v>70</v>
      </c>
      <c r="D20" s="103" t="str">
        <f t="shared" si="0"/>
        <v>Rétirédanslesdélais</v>
      </c>
      <c r="E20" s="75">
        <v>45167</v>
      </c>
      <c r="G20" s="71">
        <v>0</v>
      </c>
      <c r="H20" s="870"/>
      <c r="I20" s="871"/>
      <c r="J20" s="871"/>
      <c r="K20" s="872"/>
    </row>
    <row r="21" spans="1:11" ht="21.75" customHeight="1" x14ac:dyDescent="0.25">
      <c r="A21" s="9">
        <v>17</v>
      </c>
      <c r="B21" s="95">
        <v>4112738250</v>
      </c>
      <c r="C21" s="87" t="s">
        <v>70</v>
      </c>
      <c r="D21" s="103" t="str">
        <f t="shared" si="0"/>
        <v>Rétirédanslesdélais</v>
      </c>
      <c r="E21" s="75">
        <v>45167</v>
      </c>
      <c r="F21" s="50"/>
      <c r="G21" s="71">
        <v>0</v>
      </c>
      <c r="H21" s="870"/>
      <c r="I21" s="871"/>
      <c r="J21" s="871"/>
      <c r="K21" s="872"/>
    </row>
    <row r="22" spans="1:11" ht="21.75" customHeight="1" x14ac:dyDescent="0.25">
      <c r="A22" s="9">
        <v>18</v>
      </c>
      <c r="B22" s="95">
        <v>4112738310</v>
      </c>
      <c r="C22" s="87" t="s">
        <v>70</v>
      </c>
      <c r="D22" s="103" t="str">
        <f t="shared" si="0"/>
        <v>Rétirédanslesdélais</v>
      </c>
      <c r="E22" s="75">
        <v>45167</v>
      </c>
      <c r="G22" s="71">
        <v>0</v>
      </c>
      <c r="H22" s="870"/>
      <c r="I22" s="871"/>
      <c r="J22" s="871"/>
      <c r="K22" s="872"/>
    </row>
    <row r="23" spans="1:11" ht="21.75" customHeight="1" x14ac:dyDescent="0.25">
      <c r="A23" s="9">
        <v>19</v>
      </c>
      <c r="B23" s="95">
        <v>4112738400</v>
      </c>
      <c r="C23" s="87" t="s">
        <v>70</v>
      </c>
      <c r="D23" s="103" t="str">
        <f t="shared" si="0"/>
        <v>Rétirédanslesdélais</v>
      </c>
      <c r="E23" s="75">
        <v>45167</v>
      </c>
      <c r="F23" s="50"/>
      <c r="G23" s="71">
        <v>0</v>
      </c>
      <c r="H23" s="870"/>
      <c r="I23" s="871"/>
      <c r="J23" s="871"/>
      <c r="K23" s="872"/>
    </row>
    <row r="24" spans="1:11" ht="21.75" customHeight="1" x14ac:dyDescent="0.25">
      <c r="A24" s="9">
        <v>20</v>
      </c>
      <c r="B24" s="95">
        <v>4112738490</v>
      </c>
      <c r="C24" s="87" t="s">
        <v>70</v>
      </c>
      <c r="D24" s="103" t="str">
        <f t="shared" si="0"/>
        <v>Rétirédanslesdélais</v>
      </c>
      <c r="E24" s="75">
        <v>45167</v>
      </c>
      <c r="G24" s="71">
        <v>0</v>
      </c>
      <c r="H24" s="870"/>
      <c r="I24" s="871"/>
      <c r="J24" s="871"/>
      <c r="K24" s="872"/>
    </row>
    <row r="25" spans="1:11" ht="21.75" customHeight="1" x14ac:dyDescent="0.25">
      <c r="A25" s="9">
        <v>21</v>
      </c>
      <c r="B25" s="95">
        <v>4112742650</v>
      </c>
      <c r="C25" s="87" t="s">
        <v>70</v>
      </c>
      <c r="D25" s="103" t="str">
        <f t="shared" si="0"/>
        <v>Rétirédanslesdélais</v>
      </c>
      <c r="E25" s="75">
        <v>45167</v>
      </c>
      <c r="F25" s="50"/>
      <c r="G25" s="71">
        <v>0</v>
      </c>
      <c r="H25" s="870"/>
      <c r="I25" s="871"/>
      <c r="J25" s="871"/>
      <c r="K25" s="872"/>
    </row>
    <row r="26" spans="1:11" ht="21.75" customHeight="1" thickBot="1" x14ac:dyDescent="0.3">
      <c r="A26" s="92">
        <v>22</v>
      </c>
      <c r="B26" s="97">
        <v>4112742660</v>
      </c>
      <c r="C26" s="89" t="s">
        <v>70</v>
      </c>
      <c r="D26" s="111" t="str">
        <f t="shared" si="0"/>
        <v>Rétirédanslesdélais</v>
      </c>
      <c r="E26" s="77">
        <v>45167</v>
      </c>
      <c r="G26" s="71">
        <v>0</v>
      </c>
      <c r="H26" s="870"/>
      <c r="I26" s="871"/>
      <c r="J26" s="871"/>
      <c r="K26" s="872"/>
    </row>
  </sheetData>
  <sheetProtection selectLockedCells="1"/>
  <autoFilter ref="A4:E26" xr:uid="{FD94229D-E007-4458-822C-A62D8156F098}"/>
  <mergeCells count="26">
    <mergeCell ref="H6:K6"/>
    <mergeCell ref="A1:B1"/>
    <mergeCell ref="D1:E1"/>
    <mergeCell ref="A2:B2"/>
    <mergeCell ref="H4:K4"/>
    <mergeCell ref="H5:K5"/>
    <mergeCell ref="H18:K18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H25:K25"/>
    <mergeCell ref="H26:K26"/>
    <mergeCell ref="H19:K19"/>
    <mergeCell ref="H20:K20"/>
    <mergeCell ref="H21:K21"/>
    <mergeCell ref="H22:K22"/>
    <mergeCell ref="H23:K23"/>
    <mergeCell ref="H24:K24"/>
  </mergeCells>
  <conditionalFormatting sqref="B14">
    <cfRule type="duplicateValues" dxfId="138" priority="6"/>
    <cfRule type="duplicateValues" dxfId="137" priority="7"/>
  </conditionalFormatting>
  <conditionalFormatting sqref="B16:B18">
    <cfRule type="duplicateValues" dxfId="136" priority="14"/>
  </conditionalFormatting>
  <conditionalFormatting sqref="B19 B21 B23 B25">
    <cfRule type="duplicateValues" dxfId="135" priority="48"/>
  </conditionalFormatting>
  <conditionalFormatting sqref="B20 B22 B24 B26">
    <cfRule type="duplicateValues" dxfId="134" priority="56"/>
  </conditionalFormatting>
  <conditionalFormatting sqref="B27:B1048576 B1:B13 B15">
    <cfRule type="duplicateValues" dxfId="133" priority="10"/>
  </conditionalFormatting>
  <conditionalFormatting sqref="B27:B1048576 B1:B13 L20:L26 B15">
    <cfRule type="duplicateValues" dxfId="132" priority="11"/>
  </conditionalFormatting>
  <conditionalFormatting sqref="D5:D26">
    <cfRule type="containsText" dxfId="131" priority="3" operator="containsText" text="En Attente d'un Retrait Tardif">
      <formula>NOT(ISERROR(SEARCH("En Attente d'un Retrait Tardif",D5)))</formula>
    </cfRule>
    <cfRule type="containsText" dxfId="130" priority="4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100B-5702-4DA1-A36A-FF35492262AA}">
  <sheetPr codeName="Feuil24">
    <tabColor rgb="FF00B050"/>
  </sheetPr>
  <dimension ref="A1:K18"/>
  <sheetViews>
    <sheetView workbookViewId="0">
      <selection activeCell="C16" sqref="C16"/>
    </sheetView>
  </sheetViews>
  <sheetFormatPr baseColWidth="10" defaultColWidth="11.42578125" defaultRowHeight="15" x14ac:dyDescent="0.25"/>
  <cols>
    <col min="1" max="1" width="4.140625" customWidth="1"/>
    <col min="2" max="2" width="18.28515625" customWidth="1"/>
    <col min="3" max="3" width="29" customWidth="1"/>
    <col min="4" max="4" width="46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106" t="s">
        <v>1717</v>
      </c>
      <c r="B1" s="98"/>
      <c r="C1" s="59"/>
      <c r="D1" s="729"/>
      <c r="E1" s="729"/>
    </row>
    <row r="2" spans="1:11" ht="23.25" customHeight="1" thickBot="1" x14ac:dyDescent="0.3">
      <c r="A2" s="730" t="s">
        <v>0</v>
      </c>
      <c r="B2" s="730"/>
      <c r="C2" s="60"/>
      <c r="D2" s="13">
        <v>45133</v>
      </c>
      <c r="E2" s="4">
        <f ca="1">TODAY()</f>
        <v>46096</v>
      </c>
      <c r="F2" s="5">
        <f ca="1">E2-D2</f>
        <v>963</v>
      </c>
    </row>
    <row r="3" spans="1:11" ht="15.75" thickBot="1" x14ac:dyDescent="0.3"/>
    <row r="4" spans="1:11" ht="24" customHeight="1" thickBot="1" x14ac:dyDescent="0.3">
      <c r="A4" s="14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6.25" customHeight="1" x14ac:dyDescent="0.25">
      <c r="A5" s="65">
        <v>1</v>
      </c>
      <c r="B5" s="94">
        <v>2141627720</v>
      </c>
      <c r="C5" s="86" t="s">
        <v>83</v>
      </c>
      <c r="D5" s="78" t="str">
        <f t="shared" ref="D5:D18" si="0">IF(E5="",IF($F$2&lt;=15,"EnattentedeRetrait","EnAttented'unRetraitTardif"),IF(E5-$D$2&lt;=15,"Rétirédanslesdélais",IF(E5-$D$2&gt;15,"Rétirétardivement-30000FCFAamende")))</f>
        <v>Rétirédanslesdélais</v>
      </c>
      <c r="E5" s="74">
        <v>45139</v>
      </c>
      <c r="F5" s="90"/>
      <c r="G5" s="91">
        <v>0</v>
      </c>
      <c r="H5" s="876"/>
      <c r="I5" s="877"/>
      <c r="J5" s="877"/>
      <c r="K5" s="878"/>
    </row>
    <row r="6" spans="1:11" ht="26.25" customHeight="1" x14ac:dyDescent="0.25">
      <c r="A6" s="9">
        <v>2</v>
      </c>
      <c r="B6" s="95">
        <v>4053924020</v>
      </c>
      <c r="C6" s="87" t="s">
        <v>1471</v>
      </c>
      <c r="D6" s="79" t="str">
        <f t="shared" si="0"/>
        <v>Rétirédanslesdélais</v>
      </c>
      <c r="E6" s="75">
        <v>45137</v>
      </c>
      <c r="F6" s="50"/>
      <c r="G6" s="71">
        <v>0</v>
      </c>
      <c r="H6" s="870"/>
      <c r="I6" s="871"/>
      <c r="J6" s="871"/>
      <c r="K6" s="872"/>
    </row>
    <row r="7" spans="1:11" ht="26.25" customHeight="1" x14ac:dyDescent="0.25">
      <c r="A7" s="9">
        <v>3</v>
      </c>
      <c r="B7" s="95">
        <v>4053997160</v>
      </c>
      <c r="C7" s="87" t="s">
        <v>1718</v>
      </c>
      <c r="D7" s="79" t="str">
        <f t="shared" si="0"/>
        <v>Rétirétardivement-30000FCFAamende</v>
      </c>
      <c r="E7" s="75">
        <v>45149</v>
      </c>
      <c r="F7" s="50"/>
      <c r="G7" s="71">
        <v>550000</v>
      </c>
      <c r="H7" s="870"/>
      <c r="I7" s="871"/>
      <c r="J7" s="871"/>
      <c r="K7" s="872"/>
    </row>
    <row r="8" spans="1:11" ht="26.25" customHeight="1" x14ac:dyDescent="0.25">
      <c r="A8" s="9">
        <v>4</v>
      </c>
      <c r="B8" s="95">
        <v>4053997162</v>
      </c>
      <c r="C8" s="87" t="s">
        <v>1392</v>
      </c>
      <c r="D8" s="79" t="str">
        <f t="shared" si="0"/>
        <v>Rétirétardivement-30000FCFAamende</v>
      </c>
      <c r="E8" s="75">
        <v>45149</v>
      </c>
      <c r="F8" s="50"/>
      <c r="G8" s="71">
        <v>440000</v>
      </c>
      <c r="H8" s="870" t="s">
        <v>1719</v>
      </c>
      <c r="I8" s="871"/>
      <c r="J8" s="871"/>
      <c r="K8" s="872"/>
    </row>
    <row r="9" spans="1:11" ht="26.25" customHeight="1" x14ac:dyDescent="0.25">
      <c r="A9" s="9">
        <v>5</v>
      </c>
      <c r="B9" s="95">
        <v>4112657050</v>
      </c>
      <c r="C9" s="87" t="s">
        <v>1720</v>
      </c>
      <c r="D9" s="79" t="str">
        <f t="shared" si="0"/>
        <v>Rétirédanslesdélais</v>
      </c>
      <c r="E9" s="75">
        <v>45138</v>
      </c>
      <c r="F9" s="50"/>
      <c r="G9" s="71">
        <v>0</v>
      </c>
      <c r="H9" s="870"/>
      <c r="I9" s="871"/>
      <c r="J9" s="871"/>
      <c r="K9" s="872"/>
    </row>
    <row r="10" spans="1:11" ht="26.25" customHeight="1" x14ac:dyDescent="0.25">
      <c r="A10" s="9">
        <v>6</v>
      </c>
      <c r="B10" s="95">
        <v>4112677000</v>
      </c>
      <c r="C10" s="87" t="s">
        <v>53</v>
      </c>
      <c r="D10" s="79" t="str">
        <f t="shared" si="0"/>
        <v>Rétirédanslesdélais</v>
      </c>
      <c r="E10" s="75">
        <v>45138</v>
      </c>
      <c r="F10" s="50"/>
      <c r="G10" s="71">
        <v>0</v>
      </c>
      <c r="H10" s="852"/>
      <c r="I10" s="853"/>
      <c r="J10" s="853"/>
      <c r="K10" s="854"/>
    </row>
    <row r="11" spans="1:11" ht="26.25" customHeight="1" x14ac:dyDescent="0.25">
      <c r="A11" s="9">
        <v>7</v>
      </c>
      <c r="B11" s="95">
        <v>4112688610</v>
      </c>
      <c r="C11" s="87" t="s">
        <v>1701</v>
      </c>
      <c r="D11" s="79" t="str">
        <f t="shared" si="0"/>
        <v>Rétirédanslesdélais</v>
      </c>
      <c r="E11" s="75">
        <v>45138</v>
      </c>
      <c r="F11" s="50"/>
      <c r="G11" s="71">
        <v>0</v>
      </c>
      <c r="H11" s="870"/>
      <c r="I11" s="871"/>
      <c r="J11" s="871"/>
      <c r="K11" s="872"/>
    </row>
    <row r="12" spans="1:11" ht="26.25" customHeight="1" x14ac:dyDescent="0.25">
      <c r="A12" s="9">
        <v>8</v>
      </c>
      <c r="B12" s="95">
        <v>4112690410</v>
      </c>
      <c r="C12" s="87" t="s">
        <v>1721</v>
      </c>
      <c r="D12" s="79" t="str">
        <f t="shared" si="0"/>
        <v>Rétirétardivement-30000FCFAamende</v>
      </c>
      <c r="E12" s="75">
        <v>45161</v>
      </c>
      <c r="F12" s="50"/>
      <c r="G12" s="71">
        <v>0</v>
      </c>
      <c r="H12" s="870"/>
      <c r="I12" s="871"/>
      <c r="J12" s="871"/>
      <c r="K12" s="872"/>
    </row>
    <row r="13" spans="1:11" ht="26.25" customHeight="1" x14ac:dyDescent="0.25">
      <c r="A13" s="9">
        <v>9</v>
      </c>
      <c r="B13" s="95">
        <v>4112690600</v>
      </c>
      <c r="C13" s="87" t="s">
        <v>1075</v>
      </c>
      <c r="D13" s="79" t="str">
        <f t="shared" si="0"/>
        <v>Rétirédanslesdélais</v>
      </c>
      <c r="E13" s="75">
        <v>45134</v>
      </c>
      <c r="F13" s="50"/>
      <c r="G13" s="71">
        <v>0</v>
      </c>
      <c r="H13" s="870"/>
      <c r="I13" s="871"/>
      <c r="J13" s="871"/>
      <c r="K13" s="872"/>
    </row>
    <row r="14" spans="1:11" ht="26.25" customHeight="1" x14ac:dyDescent="0.25">
      <c r="A14" s="9">
        <v>10</v>
      </c>
      <c r="B14" s="95">
        <v>4112690610</v>
      </c>
      <c r="C14" s="87" t="s">
        <v>1075</v>
      </c>
      <c r="D14" s="79" t="str">
        <f t="shared" si="0"/>
        <v>Rétirédanslesdélais</v>
      </c>
      <c r="E14" s="75">
        <v>45134</v>
      </c>
      <c r="F14" s="50"/>
      <c r="G14" s="71">
        <v>0</v>
      </c>
      <c r="H14" s="870"/>
      <c r="I14" s="871"/>
      <c r="J14" s="871"/>
      <c r="K14" s="872"/>
    </row>
    <row r="15" spans="1:11" ht="27" customHeight="1" x14ac:dyDescent="0.25">
      <c r="A15" s="9">
        <v>11</v>
      </c>
      <c r="B15" s="95">
        <v>4112692940</v>
      </c>
      <c r="C15" s="87" t="s">
        <v>1106</v>
      </c>
      <c r="D15" s="79" t="str">
        <f t="shared" si="0"/>
        <v>Rétirédanslesdélais</v>
      </c>
      <c r="E15" s="75">
        <v>45139</v>
      </c>
      <c r="F15" s="50"/>
      <c r="G15" s="71">
        <v>0</v>
      </c>
      <c r="H15" s="870" t="s">
        <v>1722</v>
      </c>
      <c r="I15" s="871"/>
      <c r="J15" s="871"/>
      <c r="K15" s="872"/>
    </row>
    <row r="16" spans="1:11" ht="27" customHeight="1" x14ac:dyDescent="0.25">
      <c r="A16" s="9">
        <v>12</v>
      </c>
      <c r="B16" s="95">
        <v>4112695300</v>
      </c>
      <c r="C16" s="87" t="s">
        <v>1082</v>
      </c>
      <c r="D16" s="79" t="str">
        <f t="shared" si="0"/>
        <v>Rétirétardivement-30000FCFAamende</v>
      </c>
      <c r="E16" s="75">
        <v>45163</v>
      </c>
      <c r="G16" s="71">
        <v>0</v>
      </c>
      <c r="H16" s="870" t="s">
        <v>42</v>
      </c>
      <c r="I16" s="871"/>
      <c r="J16" s="871"/>
      <c r="K16" s="872"/>
    </row>
    <row r="17" spans="1:11" ht="27" customHeight="1" x14ac:dyDescent="0.25">
      <c r="A17" s="9">
        <v>13</v>
      </c>
      <c r="B17" s="95">
        <v>4112697760</v>
      </c>
      <c r="C17" s="87" t="s">
        <v>1721</v>
      </c>
      <c r="D17" s="79" t="str">
        <f t="shared" si="0"/>
        <v>Rétirétardivement-30000FCFAamende</v>
      </c>
      <c r="E17" s="75">
        <v>45163</v>
      </c>
      <c r="G17" s="71">
        <v>0</v>
      </c>
      <c r="H17" s="870"/>
      <c r="I17" s="871"/>
      <c r="J17" s="871"/>
      <c r="K17" s="872"/>
    </row>
    <row r="18" spans="1:11" ht="27" customHeight="1" thickBot="1" x14ac:dyDescent="0.3">
      <c r="A18" s="66">
        <v>14</v>
      </c>
      <c r="B18" s="97">
        <v>4112705070</v>
      </c>
      <c r="C18" s="89" t="s">
        <v>1721</v>
      </c>
      <c r="D18" s="81" t="str">
        <f t="shared" si="0"/>
        <v>Rétirédanslesdélais</v>
      </c>
      <c r="E18" s="77">
        <v>45146</v>
      </c>
      <c r="F18" s="47"/>
      <c r="G18" s="73">
        <v>0</v>
      </c>
      <c r="H18" s="884"/>
      <c r="I18" s="885"/>
      <c r="J18" s="885"/>
      <c r="K18" s="886"/>
    </row>
  </sheetData>
  <sheetProtection selectLockedCells="1"/>
  <mergeCells count="17">
    <mergeCell ref="H18:K18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D1:E1"/>
    <mergeCell ref="A2:B2"/>
    <mergeCell ref="H4:K4"/>
    <mergeCell ref="H5:K5"/>
    <mergeCell ref="H6:K6"/>
  </mergeCells>
  <conditionalFormatting sqref="B14">
    <cfRule type="duplicateValues" dxfId="129" priority="6"/>
    <cfRule type="duplicateValues" dxfId="128" priority="7"/>
  </conditionalFormatting>
  <conditionalFormatting sqref="B16:B18">
    <cfRule type="duplicateValues" dxfId="127" priority="14"/>
  </conditionalFormatting>
  <conditionalFormatting sqref="B19:B1048576 B1:B13 B15">
    <cfRule type="duplicateValues" dxfId="126" priority="10"/>
    <cfRule type="duplicateValues" dxfId="125" priority="11"/>
  </conditionalFormatting>
  <conditionalFormatting sqref="D5:D18">
    <cfRule type="containsText" dxfId="124" priority="8" operator="containsText" text="En Attente d'un Retrait Tardif">
      <formula>NOT(ISERROR(SEARCH("En Attente d'un Retrait Tardif",D5)))</formula>
    </cfRule>
    <cfRule type="containsText" dxfId="123" priority="9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landscape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DF41-EA7F-4A2D-9B5B-67706FD19792}">
  <sheetPr codeName="Feuil25">
    <tabColor rgb="FF00B050"/>
  </sheetPr>
  <dimension ref="A1:K39"/>
  <sheetViews>
    <sheetView zoomScaleNormal="100" workbookViewId="0">
      <selection activeCell="C12" sqref="C12"/>
    </sheetView>
  </sheetViews>
  <sheetFormatPr baseColWidth="10" defaultColWidth="11.42578125" defaultRowHeight="15" x14ac:dyDescent="0.25"/>
  <cols>
    <col min="1" max="1" width="4.140625" customWidth="1"/>
    <col min="2" max="2" width="20.5703125" customWidth="1"/>
    <col min="3" max="3" width="22.140625" customWidth="1"/>
    <col min="4" max="4" width="28.7109375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762" t="s">
        <v>1723</v>
      </c>
      <c r="B1" s="762"/>
      <c r="C1" s="59"/>
      <c r="D1" s="729"/>
      <c r="E1" s="729"/>
    </row>
    <row r="2" spans="1:11" ht="23.25" customHeight="1" thickBot="1" x14ac:dyDescent="0.3">
      <c r="A2" s="730" t="s">
        <v>0</v>
      </c>
      <c r="B2" s="730"/>
      <c r="C2" s="60"/>
      <c r="D2" s="13">
        <v>45124</v>
      </c>
      <c r="E2" s="4">
        <f ca="1">TODAY()</f>
        <v>46096</v>
      </c>
      <c r="F2" s="5">
        <f ca="1">E2-D2</f>
        <v>972</v>
      </c>
    </row>
    <row r="3" spans="1:11" ht="15.75" thickBot="1" x14ac:dyDescent="0.3"/>
    <row r="4" spans="1:11" ht="24" customHeight="1" thickBot="1" x14ac:dyDescent="0.3">
      <c r="A4" s="14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1.75" customHeight="1" x14ac:dyDescent="0.25">
      <c r="A5" s="65">
        <v>1</v>
      </c>
      <c r="B5" s="94">
        <v>4053893920</v>
      </c>
      <c r="C5" s="86" t="s">
        <v>70</v>
      </c>
      <c r="D5" s="78" t="str">
        <f t="shared" ref="D5:D39" si="0">IF(E5="",IF($F$2&lt;=15,"EnattentedeRetrait","EnAttented'unRetraitTardif"),IF(E5-$D$2&lt;=15,"Rétirédanslesdélais",IF(E5-$D$2&gt;15,"Rétirétardivement-30000FCFAamende")))</f>
        <v>Rétirédanslesdélais</v>
      </c>
      <c r="E5" s="74">
        <v>45127</v>
      </c>
      <c r="F5" s="90"/>
      <c r="G5" s="91">
        <v>0</v>
      </c>
      <c r="H5" s="876"/>
      <c r="I5" s="877"/>
      <c r="J5" s="877"/>
      <c r="K5" s="878"/>
    </row>
    <row r="6" spans="1:11" ht="21.75" customHeight="1" x14ac:dyDescent="0.25">
      <c r="A6" s="9">
        <v>2</v>
      </c>
      <c r="B6" s="95">
        <v>4053893930</v>
      </c>
      <c r="C6" s="87" t="s">
        <v>70</v>
      </c>
      <c r="D6" s="79" t="str">
        <f t="shared" si="0"/>
        <v>Rétirédanslesdélais</v>
      </c>
      <c r="E6" s="75">
        <v>45127</v>
      </c>
      <c r="F6" s="50"/>
      <c r="G6" s="71">
        <v>0</v>
      </c>
      <c r="H6" s="870"/>
      <c r="I6" s="871"/>
      <c r="J6" s="871"/>
      <c r="K6" s="872"/>
    </row>
    <row r="7" spans="1:11" ht="21.75" customHeight="1" x14ac:dyDescent="0.25">
      <c r="A7" s="9">
        <v>3</v>
      </c>
      <c r="B7" s="95">
        <v>4053930910</v>
      </c>
      <c r="C7" s="87" t="s">
        <v>70</v>
      </c>
      <c r="D7" s="79" t="str">
        <f t="shared" si="0"/>
        <v>Rétirédanslesdélais</v>
      </c>
      <c r="E7" s="75">
        <v>45127</v>
      </c>
      <c r="F7" s="50"/>
      <c r="G7" s="71">
        <v>0</v>
      </c>
      <c r="H7" s="870"/>
      <c r="I7" s="871"/>
      <c r="J7" s="871"/>
      <c r="K7" s="872"/>
    </row>
    <row r="8" spans="1:11" ht="21.75" customHeight="1" x14ac:dyDescent="0.25">
      <c r="A8" s="9">
        <v>4</v>
      </c>
      <c r="B8" s="95">
        <v>4053930920</v>
      </c>
      <c r="C8" s="87" t="s">
        <v>70</v>
      </c>
      <c r="D8" s="79" t="str">
        <f t="shared" si="0"/>
        <v>Rétirédanslesdélais</v>
      </c>
      <c r="E8" s="75">
        <v>45128</v>
      </c>
      <c r="F8" s="50"/>
      <c r="G8" s="71">
        <v>0</v>
      </c>
      <c r="H8" s="870"/>
      <c r="I8" s="871"/>
      <c r="J8" s="871"/>
      <c r="K8" s="872"/>
    </row>
    <row r="9" spans="1:11" ht="21.75" customHeight="1" x14ac:dyDescent="0.25">
      <c r="A9" s="9">
        <v>5</v>
      </c>
      <c r="B9" s="95">
        <v>4053957451</v>
      </c>
      <c r="C9" s="87" t="s">
        <v>1479</v>
      </c>
      <c r="D9" s="79" t="str">
        <f t="shared" si="0"/>
        <v>Rétirédanslesdélais</v>
      </c>
      <c r="E9" s="75">
        <v>45126</v>
      </c>
      <c r="F9" s="50"/>
      <c r="G9" s="71">
        <v>0</v>
      </c>
      <c r="H9" s="870"/>
      <c r="I9" s="871"/>
      <c r="J9" s="871"/>
      <c r="K9" s="872"/>
    </row>
    <row r="10" spans="1:11" ht="21.75" customHeight="1" x14ac:dyDescent="0.25">
      <c r="A10" s="9">
        <v>6</v>
      </c>
      <c r="B10" s="95">
        <v>4053970690</v>
      </c>
      <c r="C10" s="87" t="s">
        <v>1605</v>
      </c>
      <c r="D10" s="79" t="str">
        <f t="shared" si="0"/>
        <v>Rétirédanslesdélais</v>
      </c>
      <c r="E10" s="75">
        <v>45128</v>
      </c>
      <c r="F10" s="50"/>
      <c r="G10" s="71">
        <v>0</v>
      </c>
      <c r="H10" s="852" t="s">
        <v>140</v>
      </c>
      <c r="I10" s="853"/>
      <c r="J10" s="853"/>
      <c r="K10" s="854"/>
    </row>
    <row r="11" spans="1:11" ht="21.75" customHeight="1" x14ac:dyDescent="0.25">
      <c r="A11" s="9">
        <v>7</v>
      </c>
      <c r="B11" s="95">
        <v>4053972980</v>
      </c>
      <c r="C11" s="87" t="s">
        <v>1605</v>
      </c>
      <c r="D11" s="79" t="str">
        <f t="shared" si="0"/>
        <v>Rétirédanslesdélais</v>
      </c>
      <c r="E11" s="75">
        <v>45128</v>
      </c>
      <c r="F11" s="50"/>
      <c r="G11" s="71">
        <v>0</v>
      </c>
      <c r="H11" s="870" t="s">
        <v>140</v>
      </c>
      <c r="I11" s="871"/>
      <c r="J11" s="871"/>
      <c r="K11" s="872"/>
    </row>
    <row r="12" spans="1:11" ht="21.75" customHeight="1" x14ac:dyDescent="0.25">
      <c r="A12" s="9">
        <v>8</v>
      </c>
      <c r="B12" s="95">
        <v>4053973630</v>
      </c>
      <c r="C12" s="87" t="s">
        <v>1119</v>
      </c>
      <c r="D12" s="79" t="str">
        <f t="shared" si="0"/>
        <v>Rétirédanslesdélais</v>
      </c>
      <c r="E12" s="75">
        <v>45128</v>
      </c>
      <c r="F12" s="50"/>
      <c r="G12" s="71">
        <v>0</v>
      </c>
      <c r="H12" s="870"/>
      <c r="I12" s="871"/>
      <c r="J12" s="871"/>
      <c r="K12" s="872"/>
    </row>
    <row r="13" spans="1:11" ht="21.75" customHeight="1" x14ac:dyDescent="0.25">
      <c r="A13" s="9">
        <v>9</v>
      </c>
      <c r="B13" s="95">
        <v>4053984380</v>
      </c>
      <c r="C13" s="87" t="s">
        <v>70</v>
      </c>
      <c r="D13" s="79" t="str">
        <f t="shared" si="0"/>
        <v>Rétirédanslesdélais</v>
      </c>
      <c r="E13" s="75">
        <v>45127</v>
      </c>
      <c r="F13" s="50"/>
      <c r="G13" s="71">
        <v>0</v>
      </c>
      <c r="H13" s="870"/>
      <c r="I13" s="871"/>
      <c r="J13" s="871"/>
      <c r="K13" s="872"/>
    </row>
    <row r="14" spans="1:11" ht="21.75" customHeight="1" x14ac:dyDescent="0.25">
      <c r="A14" s="9">
        <v>10</v>
      </c>
      <c r="B14" s="95">
        <v>4053984481</v>
      </c>
      <c r="C14" s="87" t="s">
        <v>70</v>
      </c>
      <c r="D14" s="79" t="str">
        <f t="shared" si="0"/>
        <v>Rétirédanslesdélais</v>
      </c>
      <c r="E14" s="75">
        <v>45127</v>
      </c>
      <c r="F14" s="50"/>
      <c r="G14" s="71">
        <v>0</v>
      </c>
      <c r="H14" s="870"/>
      <c r="I14" s="871"/>
      <c r="J14" s="871"/>
      <c r="K14" s="872"/>
    </row>
    <row r="15" spans="1:11" ht="21.75" customHeight="1" x14ac:dyDescent="0.25">
      <c r="A15" s="9">
        <v>11</v>
      </c>
      <c r="B15" s="95">
        <v>4053984650</v>
      </c>
      <c r="C15" s="87" t="s">
        <v>70</v>
      </c>
      <c r="D15" s="79" t="str">
        <f t="shared" si="0"/>
        <v>Rétirédanslesdélais</v>
      </c>
      <c r="E15" s="75">
        <v>45127</v>
      </c>
      <c r="F15" s="50"/>
      <c r="G15" s="71">
        <v>0</v>
      </c>
      <c r="H15" s="870"/>
      <c r="I15" s="871"/>
      <c r="J15" s="871"/>
      <c r="K15" s="872"/>
    </row>
    <row r="16" spans="1:11" ht="21.75" customHeight="1" x14ac:dyDescent="0.25">
      <c r="A16" s="9">
        <v>12</v>
      </c>
      <c r="B16" s="95">
        <v>4053984910</v>
      </c>
      <c r="C16" s="87" t="s">
        <v>70</v>
      </c>
      <c r="D16" s="79" t="str">
        <f t="shared" si="0"/>
        <v>Rétirédanslesdélais</v>
      </c>
      <c r="E16" s="75">
        <v>45127</v>
      </c>
      <c r="G16" s="71">
        <v>0</v>
      </c>
      <c r="H16" s="870"/>
      <c r="I16" s="871"/>
      <c r="J16" s="871"/>
      <c r="K16" s="872"/>
    </row>
    <row r="17" spans="1:11" ht="21.75" customHeight="1" x14ac:dyDescent="0.25">
      <c r="A17" s="9">
        <v>13</v>
      </c>
      <c r="B17" s="95">
        <v>4053985070</v>
      </c>
      <c r="C17" s="87" t="s">
        <v>70</v>
      </c>
      <c r="D17" s="79" t="str">
        <f t="shared" si="0"/>
        <v>Rétirédanslesdélais</v>
      </c>
      <c r="E17" s="75">
        <v>45127</v>
      </c>
      <c r="G17" s="71">
        <v>0</v>
      </c>
      <c r="H17" s="870"/>
      <c r="I17" s="871"/>
      <c r="J17" s="871"/>
      <c r="K17" s="872"/>
    </row>
    <row r="18" spans="1:11" ht="21.75" customHeight="1" x14ac:dyDescent="0.25">
      <c r="A18" s="66">
        <v>14</v>
      </c>
      <c r="B18" s="96">
        <v>4053989070</v>
      </c>
      <c r="C18" s="88" t="s">
        <v>70</v>
      </c>
      <c r="D18" s="80" t="str">
        <f t="shared" si="0"/>
        <v>Rétirédanslesdélais</v>
      </c>
      <c r="E18" s="76">
        <v>45127</v>
      </c>
      <c r="G18" s="72">
        <v>0</v>
      </c>
      <c r="H18" s="870"/>
      <c r="I18" s="871"/>
      <c r="J18" s="871"/>
      <c r="K18" s="872"/>
    </row>
    <row r="19" spans="1:11" ht="21.75" customHeight="1" x14ac:dyDescent="0.25">
      <c r="A19" s="9">
        <v>15</v>
      </c>
      <c r="B19" s="95">
        <v>4053997060</v>
      </c>
      <c r="C19" s="87" t="s">
        <v>1724</v>
      </c>
      <c r="D19" s="79" t="str">
        <f t="shared" si="0"/>
        <v>Rétirédanslesdélais</v>
      </c>
      <c r="E19" s="75">
        <v>45134</v>
      </c>
      <c r="F19" s="50"/>
      <c r="G19" s="71">
        <v>0</v>
      </c>
      <c r="H19" s="870"/>
      <c r="I19" s="871"/>
      <c r="J19" s="871"/>
      <c r="K19" s="872"/>
    </row>
    <row r="20" spans="1:11" ht="21.75" customHeight="1" x14ac:dyDescent="0.25">
      <c r="A20" s="9">
        <v>16</v>
      </c>
      <c r="B20" s="95">
        <v>4053997070</v>
      </c>
      <c r="C20" s="87" t="s">
        <v>1724</v>
      </c>
      <c r="D20" s="79" t="str">
        <f t="shared" si="0"/>
        <v>Rétirédanslesdélais</v>
      </c>
      <c r="E20" s="75">
        <v>45132</v>
      </c>
      <c r="G20" s="71">
        <v>0</v>
      </c>
      <c r="H20" s="870"/>
      <c r="I20" s="871"/>
      <c r="J20" s="871"/>
      <c r="K20" s="872"/>
    </row>
    <row r="21" spans="1:11" ht="21.75" customHeight="1" x14ac:dyDescent="0.25">
      <c r="A21" s="9">
        <v>17</v>
      </c>
      <c r="B21" s="95">
        <v>4053970431</v>
      </c>
      <c r="C21" s="87" t="s">
        <v>141</v>
      </c>
      <c r="D21" s="79" t="str">
        <f t="shared" si="0"/>
        <v>Rétirédanslesdélais</v>
      </c>
      <c r="E21" s="75">
        <v>45127</v>
      </c>
      <c r="F21" s="50"/>
      <c r="G21" s="71">
        <v>0</v>
      </c>
      <c r="H21" s="870"/>
      <c r="I21" s="871"/>
      <c r="J21" s="871"/>
      <c r="K21" s="872"/>
    </row>
    <row r="22" spans="1:11" ht="21.75" customHeight="1" x14ac:dyDescent="0.25">
      <c r="A22" s="9">
        <v>18</v>
      </c>
      <c r="B22" s="95">
        <v>4112665320</v>
      </c>
      <c r="C22" s="87" t="s">
        <v>70</v>
      </c>
      <c r="D22" s="79" t="str">
        <f t="shared" si="0"/>
        <v>Rétirédanslesdélais</v>
      </c>
      <c r="E22" s="75">
        <v>45127</v>
      </c>
      <c r="G22" s="71">
        <v>0</v>
      </c>
      <c r="H22" s="870"/>
      <c r="I22" s="871"/>
      <c r="J22" s="871"/>
      <c r="K22" s="872"/>
    </row>
    <row r="23" spans="1:11" ht="21.75" customHeight="1" x14ac:dyDescent="0.25">
      <c r="A23" s="9">
        <v>19</v>
      </c>
      <c r="B23" s="95">
        <v>4112667480</v>
      </c>
      <c r="C23" s="87" t="s">
        <v>1688</v>
      </c>
      <c r="D23" s="79" t="str">
        <f t="shared" si="0"/>
        <v>Rétirédanslesdélais</v>
      </c>
      <c r="E23" s="75">
        <v>45132</v>
      </c>
      <c r="F23" s="50"/>
      <c r="G23" s="71">
        <v>0</v>
      </c>
      <c r="H23" s="870"/>
      <c r="I23" s="871"/>
      <c r="J23" s="871"/>
      <c r="K23" s="872"/>
    </row>
    <row r="24" spans="1:11" ht="21.75" customHeight="1" x14ac:dyDescent="0.25">
      <c r="A24" s="9">
        <v>20</v>
      </c>
      <c r="B24" s="95">
        <v>4112668990</v>
      </c>
      <c r="C24" s="87" t="s">
        <v>1725</v>
      </c>
      <c r="D24" s="101" t="str">
        <f t="shared" si="0"/>
        <v>Rétirétardivement-30000FCFAamende</v>
      </c>
      <c r="E24" s="75">
        <v>45140</v>
      </c>
      <c r="G24" s="71">
        <v>0</v>
      </c>
      <c r="H24" s="870"/>
      <c r="I24" s="871"/>
      <c r="J24" s="871"/>
      <c r="K24" s="872"/>
    </row>
    <row r="25" spans="1:11" ht="21.75" customHeight="1" x14ac:dyDescent="0.25">
      <c r="A25" s="9">
        <v>21</v>
      </c>
      <c r="B25" s="95">
        <v>4112674980</v>
      </c>
      <c r="C25" s="87" t="s">
        <v>70</v>
      </c>
      <c r="D25" s="79" t="str">
        <f t="shared" si="0"/>
        <v>Rétirédanslesdélais</v>
      </c>
      <c r="E25" s="75">
        <v>45127</v>
      </c>
      <c r="F25" s="50"/>
      <c r="G25" s="71">
        <v>0</v>
      </c>
      <c r="H25" s="870"/>
      <c r="I25" s="871"/>
      <c r="J25" s="871"/>
      <c r="K25" s="872"/>
    </row>
    <row r="26" spans="1:11" ht="21.75" customHeight="1" x14ac:dyDescent="0.25">
      <c r="A26" s="9">
        <v>22</v>
      </c>
      <c r="B26" s="95">
        <v>4112684960</v>
      </c>
      <c r="C26" s="87" t="s">
        <v>1236</v>
      </c>
      <c r="D26" s="79" t="str">
        <f t="shared" si="0"/>
        <v>Rétirédanslesdélais</v>
      </c>
      <c r="E26" s="75">
        <v>45127</v>
      </c>
      <c r="G26" s="71">
        <v>0</v>
      </c>
      <c r="H26" s="870"/>
      <c r="I26" s="871"/>
      <c r="J26" s="871"/>
      <c r="K26" s="872"/>
    </row>
    <row r="27" spans="1:11" ht="21.75" customHeight="1" x14ac:dyDescent="0.25">
      <c r="A27" s="9">
        <v>23</v>
      </c>
      <c r="B27" s="95">
        <v>4053895270</v>
      </c>
      <c r="C27" s="87" t="s">
        <v>70</v>
      </c>
      <c r="D27" s="79" t="str">
        <f t="shared" si="0"/>
        <v>Rétirédanslesdélais</v>
      </c>
      <c r="E27" s="75">
        <v>45127</v>
      </c>
      <c r="F27" s="50"/>
      <c r="G27" s="71">
        <v>0</v>
      </c>
      <c r="H27" s="870"/>
      <c r="I27" s="871"/>
      <c r="J27" s="871"/>
      <c r="K27" s="872"/>
    </row>
    <row r="28" spans="1:11" ht="21.75" customHeight="1" x14ac:dyDescent="0.25">
      <c r="A28" s="9">
        <v>24</v>
      </c>
      <c r="B28" s="95">
        <v>4053930900</v>
      </c>
      <c r="C28" s="87" t="s">
        <v>70</v>
      </c>
      <c r="D28" s="79" t="str">
        <f t="shared" si="0"/>
        <v>Rétirédanslesdélais</v>
      </c>
      <c r="E28" s="75">
        <v>45127</v>
      </c>
      <c r="G28" s="71">
        <v>0</v>
      </c>
      <c r="H28" s="870"/>
      <c r="I28" s="871"/>
      <c r="J28" s="871"/>
      <c r="K28" s="872"/>
    </row>
    <row r="29" spans="1:11" ht="21.75" customHeight="1" x14ac:dyDescent="0.25">
      <c r="A29" s="9">
        <v>25</v>
      </c>
      <c r="B29" s="95">
        <v>4053959860</v>
      </c>
      <c r="C29" s="87" t="s">
        <v>70</v>
      </c>
      <c r="D29" s="79" t="str">
        <f t="shared" si="0"/>
        <v>Rétirédanslesdélais</v>
      </c>
      <c r="E29" s="75">
        <v>45127</v>
      </c>
      <c r="F29" s="50"/>
      <c r="G29" s="71">
        <v>0</v>
      </c>
      <c r="H29" s="870"/>
      <c r="I29" s="871"/>
      <c r="J29" s="871"/>
      <c r="K29" s="872"/>
    </row>
    <row r="30" spans="1:11" ht="21.75" customHeight="1" x14ac:dyDescent="0.25">
      <c r="A30" s="9">
        <v>26</v>
      </c>
      <c r="B30" s="95">
        <v>4053982230</v>
      </c>
      <c r="C30" s="87" t="s">
        <v>1479</v>
      </c>
      <c r="D30" s="79" t="str">
        <f t="shared" si="0"/>
        <v>Rétirédanslesdélais</v>
      </c>
      <c r="E30" s="75">
        <v>45126</v>
      </c>
      <c r="G30" s="71">
        <v>0</v>
      </c>
      <c r="H30" s="870"/>
      <c r="I30" s="871"/>
      <c r="J30" s="871"/>
      <c r="K30" s="872"/>
    </row>
    <row r="31" spans="1:11" ht="21.75" customHeight="1" x14ac:dyDescent="0.25">
      <c r="A31" s="9">
        <v>27</v>
      </c>
      <c r="B31" s="95">
        <v>4053984271</v>
      </c>
      <c r="C31" s="87" t="s">
        <v>70</v>
      </c>
      <c r="D31" s="79" t="str">
        <f t="shared" si="0"/>
        <v>Rétirédanslesdélais</v>
      </c>
      <c r="E31" s="75">
        <v>45127</v>
      </c>
      <c r="F31" s="50"/>
      <c r="G31" s="71">
        <v>0</v>
      </c>
      <c r="H31" s="870"/>
      <c r="I31" s="871"/>
      <c r="J31" s="871"/>
      <c r="K31" s="872"/>
    </row>
    <row r="32" spans="1:11" ht="21.75" customHeight="1" x14ac:dyDescent="0.25">
      <c r="A32" s="9">
        <v>28</v>
      </c>
      <c r="B32" s="95">
        <v>4053984420</v>
      </c>
      <c r="C32" s="87" t="s">
        <v>70</v>
      </c>
      <c r="D32" s="79" t="str">
        <f t="shared" si="0"/>
        <v>Rétirédanslesdélais</v>
      </c>
      <c r="E32" s="75">
        <v>45127</v>
      </c>
      <c r="G32" s="71">
        <v>0</v>
      </c>
      <c r="H32" s="870"/>
      <c r="I32" s="871"/>
      <c r="J32" s="871"/>
      <c r="K32" s="872"/>
    </row>
    <row r="33" spans="1:11" ht="21.75" customHeight="1" x14ac:dyDescent="0.25">
      <c r="A33" s="9">
        <v>29</v>
      </c>
      <c r="B33" s="95">
        <v>4053984450</v>
      </c>
      <c r="C33" s="87" t="s">
        <v>70</v>
      </c>
      <c r="D33" s="79" t="str">
        <f t="shared" si="0"/>
        <v>Rétirédanslesdélais</v>
      </c>
      <c r="E33" s="75">
        <v>45127</v>
      </c>
      <c r="F33" s="50"/>
      <c r="G33" s="71">
        <v>0</v>
      </c>
      <c r="H33" s="870"/>
      <c r="I33" s="871"/>
      <c r="J33" s="871"/>
      <c r="K33" s="872"/>
    </row>
    <row r="34" spans="1:11" ht="21.75" customHeight="1" x14ac:dyDescent="0.25">
      <c r="A34" s="9">
        <v>30</v>
      </c>
      <c r="B34" s="95">
        <v>4053991780</v>
      </c>
      <c r="C34" s="87" t="s">
        <v>1240</v>
      </c>
      <c r="D34" s="79" t="str">
        <f t="shared" si="0"/>
        <v>Rétirédanslesdélais</v>
      </c>
      <c r="E34" s="75">
        <v>45134</v>
      </c>
      <c r="G34" s="71">
        <v>0</v>
      </c>
      <c r="H34" s="870" t="s">
        <v>1726</v>
      </c>
      <c r="I34" s="871"/>
      <c r="J34" s="871"/>
      <c r="K34" s="872"/>
    </row>
    <row r="35" spans="1:11" ht="21.75" customHeight="1" x14ac:dyDescent="0.25">
      <c r="A35" s="9">
        <v>31</v>
      </c>
      <c r="B35" s="95">
        <v>4053994680</v>
      </c>
      <c r="C35" s="87" t="s">
        <v>70</v>
      </c>
      <c r="D35" s="79" t="str">
        <f t="shared" si="0"/>
        <v>Rétirédanslesdélais</v>
      </c>
      <c r="E35" s="75">
        <v>45127</v>
      </c>
      <c r="F35" s="50"/>
      <c r="G35" s="71">
        <v>0</v>
      </c>
      <c r="H35" s="870"/>
      <c r="I35" s="871"/>
      <c r="J35" s="871"/>
      <c r="K35" s="872"/>
    </row>
    <row r="36" spans="1:11" ht="21.75" customHeight="1" x14ac:dyDescent="0.25">
      <c r="A36" s="9">
        <v>32</v>
      </c>
      <c r="B36" s="95">
        <v>4053997260</v>
      </c>
      <c r="C36" s="87" t="s">
        <v>70</v>
      </c>
      <c r="D36" s="79" t="str">
        <f t="shared" si="0"/>
        <v>Rétirédanslesdélais</v>
      </c>
      <c r="E36" s="75">
        <v>45127</v>
      </c>
      <c r="G36" s="71">
        <v>0</v>
      </c>
      <c r="H36" s="870"/>
      <c r="I36" s="871"/>
      <c r="J36" s="871"/>
      <c r="K36" s="872"/>
    </row>
    <row r="37" spans="1:11" ht="21.75" customHeight="1" x14ac:dyDescent="0.25">
      <c r="A37" s="9">
        <v>33</v>
      </c>
      <c r="B37" s="95">
        <v>4112665280</v>
      </c>
      <c r="C37" s="87" t="s">
        <v>70</v>
      </c>
      <c r="D37" s="79" t="str">
        <f t="shared" si="0"/>
        <v>Rétirédanslesdélais</v>
      </c>
      <c r="E37" s="75">
        <v>45127</v>
      </c>
      <c r="F37" s="50"/>
      <c r="G37" s="71">
        <v>0</v>
      </c>
      <c r="H37" s="870"/>
      <c r="I37" s="871"/>
      <c r="J37" s="871"/>
      <c r="K37" s="872"/>
    </row>
    <row r="38" spans="1:11" ht="21.75" customHeight="1" x14ac:dyDescent="0.25">
      <c r="A38" s="9">
        <v>34</v>
      </c>
      <c r="B38" s="95">
        <v>4112665300</v>
      </c>
      <c r="C38" s="87" t="s">
        <v>70</v>
      </c>
      <c r="D38" s="79" t="str">
        <f t="shared" si="0"/>
        <v>Rétirédanslesdélais</v>
      </c>
      <c r="E38" s="75">
        <v>45127</v>
      </c>
      <c r="G38" s="71">
        <v>0</v>
      </c>
      <c r="H38" s="870"/>
      <c r="I38" s="871"/>
      <c r="J38" s="871"/>
      <c r="K38" s="872"/>
    </row>
    <row r="39" spans="1:11" ht="21.75" customHeight="1" thickBot="1" x14ac:dyDescent="0.3">
      <c r="A39" s="9">
        <v>35</v>
      </c>
      <c r="B39" s="97">
        <v>4112665350</v>
      </c>
      <c r="C39" s="89" t="s">
        <v>70</v>
      </c>
      <c r="D39" s="81" t="str">
        <f t="shared" si="0"/>
        <v>Rétirédanslesdélais</v>
      </c>
      <c r="E39" s="77">
        <v>45127</v>
      </c>
      <c r="F39" s="93"/>
      <c r="G39" s="73">
        <v>0</v>
      </c>
      <c r="H39" s="884"/>
      <c r="I39" s="885"/>
      <c r="J39" s="885"/>
      <c r="K39" s="886"/>
    </row>
  </sheetData>
  <sheetProtection selectLockedCells="1"/>
  <autoFilter ref="A4:E39" xr:uid="{2FD7DF41-EA7F-4A2D-9B5B-67706FD19792}"/>
  <mergeCells count="39">
    <mergeCell ref="H37:K37"/>
    <mergeCell ref="H38:K38"/>
    <mergeCell ref="H39:K39"/>
    <mergeCell ref="H31:K31"/>
    <mergeCell ref="H32:K32"/>
    <mergeCell ref="H33:K33"/>
    <mergeCell ref="H34:K34"/>
    <mergeCell ref="H35:K35"/>
    <mergeCell ref="H36:K36"/>
    <mergeCell ref="H30:K30"/>
    <mergeCell ref="H19:K19"/>
    <mergeCell ref="H20:K20"/>
    <mergeCell ref="H21:K21"/>
    <mergeCell ref="H22:K22"/>
    <mergeCell ref="H23:K23"/>
    <mergeCell ref="H24:K24"/>
    <mergeCell ref="H25:K25"/>
    <mergeCell ref="H26:K26"/>
    <mergeCell ref="H27:K27"/>
    <mergeCell ref="H28:K28"/>
    <mergeCell ref="H29:K29"/>
    <mergeCell ref="H18:K18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H6:K6"/>
    <mergeCell ref="A1:B1"/>
    <mergeCell ref="D1:E1"/>
    <mergeCell ref="A2:B2"/>
    <mergeCell ref="H4:K4"/>
    <mergeCell ref="H5:K5"/>
  </mergeCells>
  <conditionalFormatting sqref="B1:B13 L20:L32 B15 B40:B1048576">
    <cfRule type="duplicateValues" dxfId="122" priority="15"/>
  </conditionalFormatting>
  <conditionalFormatting sqref="B14">
    <cfRule type="duplicateValues" dxfId="121" priority="6"/>
    <cfRule type="duplicateValues" dxfId="120" priority="7"/>
  </conditionalFormatting>
  <conditionalFormatting sqref="B16:B18">
    <cfRule type="duplicateValues" dxfId="119" priority="21"/>
  </conditionalFormatting>
  <conditionalFormatting sqref="B19 B21 B23 B25 B27 B29 B31 B33 B35 B37 B39">
    <cfRule type="duplicateValues" dxfId="118" priority="1"/>
    <cfRule type="duplicateValues" dxfId="117" priority="2"/>
  </conditionalFormatting>
  <conditionalFormatting sqref="B20 B22 B24 B26 B28 B30 B32 B34 B36 B38">
    <cfRule type="duplicateValues" dxfId="116" priority="5"/>
  </conditionalFormatting>
  <conditionalFormatting sqref="B40:B1048576 B1:B13 B15">
    <cfRule type="duplicateValues" dxfId="115" priority="10"/>
  </conditionalFormatting>
  <conditionalFormatting sqref="D5:D39">
    <cfRule type="containsText" dxfId="114" priority="3" operator="containsText" text="En Attente d'un Retrait Tardif">
      <formula>NOT(ISERROR(SEARCH("En Attente d'un Retrait Tardif",D5)))</formula>
    </cfRule>
    <cfRule type="containsText" dxfId="113" priority="4" operator="containsText" text="Rétiré dans les délais">
      <formula>NOT(ISERROR(SEARCH("Rétiré dans les délais",D5)))</formula>
    </cfRule>
  </conditionalFormatting>
  <pageMargins left="0.78740157480314965" right="0.31496062992125984" top="0.74803149606299213" bottom="0.74803149606299213" header="0.31496062992125984" footer="0.31496062992125984"/>
  <pageSetup paperSize="9" scale="90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5BD9-E7DE-4155-9FD8-2592F71B6234}">
  <sheetPr codeName="Feuil26">
    <tabColor rgb="FF00B050"/>
  </sheetPr>
  <dimension ref="A1:K21"/>
  <sheetViews>
    <sheetView workbookViewId="0">
      <selection activeCell="C21" sqref="C21"/>
    </sheetView>
  </sheetViews>
  <sheetFormatPr baseColWidth="10" defaultColWidth="11.42578125" defaultRowHeight="15" x14ac:dyDescent="0.25"/>
  <cols>
    <col min="1" max="1" width="4.140625" customWidth="1"/>
    <col min="2" max="2" width="18.28515625" customWidth="1"/>
    <col min="3" max="3" width="29" customWidth="1"/>
    <col min="4" max="4" width="46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98" t="s">
        <v>1727</v>
      </c>
      <c r="B1" s="98"/>
      <c r="C1" s="59"/>
      <c r="D1" s="729"/>
      <c r="E1" s="729"/>
    </row>
    <row r="2" spans="1:11" ht="23.25" customHeight="1" thickBot="1" x14ac:dyDescent="0.3">
      <c r="A2" s="730" t="s">
        <v>0</v>
      </c>
      <c r="B2" s="730"/>
      <c r="C2" s="60"/>
      <c r="D2" s="13">
        <v>45134</v>
      </c>
      <c r="E2" s="4">
        <f ca="1">TODAY()</f>
        <v>46096</v>
      </c>
      <c r="F2" s="5">
        <f ca="1">E2-D2</f>
        <v>962</v>
      </c>
    </row>
    <row r="3" spans="1:11" ht="15.75" thickBot="1" x14ac:dyDescent="0.3"/>
    <row r="4" spans="1:11" ht="24" customHeight="1" thickBot="1" x14ac:dyDescent="0.3">
      <c r="A4" s="14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6.25" customHeight="1" thickBot="1" x14ac:dyDescent="0.3">
      <c r="A5" s="65">
        <v>1</v>
      </c>
      <c r="B5" s="94">
        <v>4053893921</v>
      </c>
      <c r="C5" s="86" t="s">
        <v>1159</v>
      </c>
      <c r="D5" s="99" t="str">
        <f t="shared" ref="D5:D21" si="0">IF(E5="",IF($F$2&lt;=15,"EnattentedeRetrait","EnAttented'unRetraitTardif"),IF(E5-$D$2&lt;=15,"Rétirédanslesdélais",IF(E5-$D$2&gt;15,"Rétirétardivement-30000FCFAamende")))</f>
        <v>Rétirédanslesdélais</v>
      </c>
      <c r="E5" s="74">
        <v>45139</v>
      </c>
      <c r="F5" s="90"/>
      <c r="G5" s="91">
        <v>792000</v>
      </c>
      <c r="H5" s="876"/>
      <c r="I5" s="877"/>
      <c r="J5" s="877"/>
      <c r="K5" s="878"/>
    </row>
    <row r="6" spans="1:11" ht="26.25" customHeight="1" thickBot="1" x14ac:dyDescent="0.3">
      <c r="A6" s="9">
        <v>2</v>
      </c>
      <c r="B6" s="95">
        <v>4053930901</v>
      </c>
      <c r="C6" s="87" t="s">
        <v>1159</v>
      </c>
      <c r="D6" s="100" t="str">
        <f t="shared" si="0"/>
        <v>Rétirédanslesdélais</v>
      </c>
      <c r="E6" s="75">
        <v>45139</v>
      </c>
      <c r="F6" s="50"/>
      <c r="G6" s="71">
        <v>1480000</v>
      </c>
      <c r="H6" s="876"/>
      <c r="I6" s="877"/>
      <c r="J6" s="877"/>
      <c r="K6" s="878"/>
    </row>
    <row r="7" spans="1:11" ht="26.25" customHeight="1" thickBot="1" x14ac:dyDescent="0.3">
      <c r="A7" s="9">
        <v>3</v>
      </c>
      <c r="B7" s="95">
        <v>4053930911</v>
      </c>
      <c r="C7" s="87" t="s">
        <v>1159</v>
      </c>
      <c r="D7" s="100" t="str">
        <f t="shared" si="0"/>
        <v>Rétirédanslesdélais</v>
      </c>
      <c r="E7" s="75">
        <v>45139</v>
      </c>
      <c r="F7" s="50"/>
      <c r="G7" s="71">
        <v>957000</v>
      </c>
      <c r="H7" s="876"/>
      <c r="I7" s="877"/>
      <c r="J7" s="877"/>
      <c r="K7" s="878"/>
    </row>
    <row r="8" spans="1:11" ht="26.25" customHeight="1" x14ac:dyDescent="0.25">
      <c r="A8" s="9">
        <v>4</v>
      </c>
      <c r="B8" s="95">
        <v>4053930921</v>
      </c>
      <c r="C8" s="87" t="s">
        <v>1159</v>
      </c>
      <c r="D8" s="100" t="str">
        <f t="shared" si="0"/>
        <v>Rétirédanslesdélais</v>
      </c>
      <c r="E8" s="75">
        <v>45139</v>
      </c>
      <c r="F8" s="50"/>
      <c r="G8" s="71">
        <v>253000</v>
      </c>
      <c r="H8" s="876"/>
      <c r="I8" s="877"/>
      <c r="J8" s="877"/>
      <c r="K8" s="878"/>
    </row>
    <row r="9" spans="1:11" ht="26.25" customHeight="1" x14ac:dyDescent="0.25">
      <c r="A9" s="9">
        <v>5</v>
      </c>
      <c r="B9" s="95">
        <v>4053991700</v>
      </c>
      <c r="C9" s="87" t="s">
        <v>1479</v>
      </c>
      <c r="D9" s="100" t="str">
        <f t="shared" si="0"/>
        <v>Rétirédanslesdélais</v>
      </c>
      <c r="E9" s="75">
        <v>45141</v>
      </c>
      <c r="F9" s="50"/>
      <c r="G9" s="71">
        <v>0</v>
      </c>
      <c r="H9" s="870"/>
      <c r="I9" s="871"/>
      <c r="J9" s="871"/>
      <c r="K9" s="872"/>
    </row>
    <row r="10" spans="1:11" ht="26.25" customHeight="1" x14ac:dyDescent="0.25">
      <c r="A10" s="9">
        <v>6</v>
      </c>
      <c r="B10" s="95">
        <v>4053991770</v>
      </c>
      <c r="C10" s="87" t="s">
        <v>1212</v>
      </c>
      <c r="D10" s="100" t="str">
        <f t="shared" si="0"/>
        <v>Rétirédanslesdélais</v>
      </c>
      <c r="E10" s="75">
        <v>45141</v>
      </c>
      <c r="F10" s="50"/>
      <c r="G10" s="71">
        <v>0</v>
      </c>
      <c r="H10" s="852"/>
      <c r="I10" s="853"/>
      <c r="J10" s="853"/>
      <c r="K10" s="854"/>
    </row>
    <row r="11" spans="1:11" ht="26.25" customHeight="1" x14ac:dyDescent="0.25">
      <c r="A11" s="9">
        <v>7</v>
      </c>
      <c r="B11" s="95">
        <v>4053991790</v>
      </c>
      <c r="C11" s="87" t="s">
        <v>1212</v>
      </c>
      <c r="D11" s="100" t="str">
        <f t="shared" si="0"/>
        <v>Rétirédanslesdélais</v>
      </c>
      <c r="E11" s="75">
        <v>45139</v>
      </c>
      <c r="F11" s="50"/>
      <c r="G11" s="71">
        <v>0</v>
      </c>
      <c r="H11" s="870"/>
      <c r="I11" s="871"/>
      <c r="J11" s="871"/>
      <c r="K11" s="872"/>
    </row>
    <row r="12" spans="1:11" ht="26.25" customHeight="1" x14ac:dyDescent="0.25">
      <c r="A12" s="9">
        <v>8</v>
      </c>
      <c r="B12" s="95">
        <v>4053994660</v>
      </c>
      <c r="C12" s="87" t="s">
        <v>1159</v>
      </c>
      <c r="D12" s="100" t="str">
        <f t="shared" si="0"/>
        <v>Rétirédanslesdélais</v>
      </c>
      <c r="E12" s="75">
        <v>45139</v>
      </c>
      <c r="F12" s="50"/>
      <c r="G12" s="71">
        <v>2508000</v>
      </c>
      <c r="H12" s="870"/>
      <c r="I12" s="871"/>
      <c r="J12" s="871"/>
      <c r="K12" s="872"/>
    </row>
    <row r="13" spans="1:11" ht="26.25" customHeight="1" x14ac:dyDescent="0.25">
      <c r="A13" s="9">
        <v>9</v>
      </c>
      <c r="B13" s="95">
        <v>4112665430</v>
      </c>
      <c r="C13" s="87" t="s">
        <v>1212</v>
      </c>
      <c r="D13" s="100" t="str">
        <f t="shared" si="0"/>
        <v>Rétirédanslesdélais</v>
      </c>
      <c r="E13" s="75">
        <v>45142</v>
      </c>
      <c r="F13" s="50"/>
      <c r="G13" s="71">
        <v>0</v>
      </c>
      <c r="H13" s="870"/>
      <c r="I13" s="871"/>
      <c r="J13" s="871"/>
      <c r="K13" s="872"/>
    </row>
    <row r="14" spans="1:11" ht="26.25" customHeight="1" x14ac:dyDescent="0.25">
      <c r="A14" s="9">
        <v>10</v>
      </c>
      <c r="B14" s="95">
        <v>4112665450</v>
      </c>
      <c r="C14" s="87" t="s">
        <v>1212</v>
      </c>
      <c r="D14" s="100" t="str">
        <f t="shared" si="0"/>
        <v>Rétirédanslesdélais</v>
      </c>
      <c r="E14" s="75">
        <v>45142</v>
      </c>
      <c r="F14" s="50"/>
      <c r="G14" s="71">
        <v>0</v>
      </c>
      <c r="H14" s="870"/>
      <c r="I14" s="871"/>
      <c r="J14" s="871"/>
      <c r="K14" s="872"/>
    </row>
    <row r="15" spans="1:11" ht="27" customHeight="1" x14ac:dyDescent="0.25">
      <c r="A15" s="9">
        <v>11</v>
      </c>
      <c r="B15" s="95">
        <v>4112667470</v>
      </c>
      <c r="C15" s="87" t="s">
        <v>1688</v>
      </c>
      <c r="D15" s="100" t="str">
        <f t="shared" si="0"/>
        <v>Rétirédanslesdélais</v>
      </c>
      <c r="E15" s="75">
        <v>45140</v>
      </c>
      <c r="F15" s="50"/>
      <c r="G15" s="71">
        <v>0</v>
      </c>
      <c r="H15" s="870"/>
      <c r="I15" s="871"/>
      <c r="J15" s="871"/>
      <c r="K15" s="872"/>
    </row>
    <row r="16" spans="1:11" ht="27" customHeight="1" x14ac:dyDescent="0.25">
      <c r="A16" s="9">
        <v>12</v>
      </c>
      <c r="B16" s="95">
        <v>4112670680</v>
      </c>
      <c r="C16" s="87" t="s">
        <v>1673</v>
      </c>
      <c r="D16" s="100" t="str">
        <f t="shared" si="0"/>
        <v>Rétirédanslesdélais</v>
      </c>
      <c r="E16" s="75">
        <v>45139</v>
      </c>
      <c r="G16" s="71">
        <v>0</v>
      </c>
      <c r="H16" s="870"/>
      <c r="I16" s="871"/>
      <c r="J16" s="871"/>
      <c r="K16" s="872"/>
    </row>
    <row r="17" spans="1:11" ht="27" customHeight="1" x14ac:dyDescent="0.25">
      <c r="A17" s="9">
        <v>13</v>
      </c>
      <c r="B17" s="95">
        <v>4112680361</v>
      </c>
      <c r="C17" s="87" t="s">
        <v>1475</v>
      </c>
      <c r="D17" s="100" t="str">
        <f t="shared" si="0"/>
        <v>Rétirédanslesdélais</v>
      </c>
      <c r="E17" s="75">
        <v>45139</v>
      </c>
      <c r="G17" s="71">
        <v>0</v>
      </c>
      <c r="H17" s="870"/>
      <c r="I17" s="871"/>
      <c r="J17" s="871"/>
      <c r="K17" s="872"/>
    </row>
    <row r="18" spans="1:11" ht="28.5" customHeight="1" x14ac:dyDescent="0.25">
      <c r="A18" s="9">
        <v>14</v>
      </c>
      <c r="B18" s="95">
        <v>4112687990</v>
      </c>
      <c r="C18" s="87" t="s">
        <v>1159</v>
      </c>
      <c r="D18" s="100" t="str">
        <f t="shared" si="0"/>
        <v>Rétirédanslesdélais</v>
      </c>
      <c r="E18" s="75">
        <v>45139</v>
      </c>
      <c r="G18" s="71">
        <v>0</v>
      </c>
      <c r="H18" s="870"/>
      <c r="I18" s="871"/>
      <c r="J18" s="871"/>
      <c r="K18" s="872"/>
    </row>
    <row r="19" spans="1:11" ht="28.5" customHeight="1" x14ac:dyDescent="0.25">
      <c r="A19" s="9">
        <v>15</v>
      </c>
      <c r="B19" s="95">
        <v>4112688020</v>
      </c>
      <c r="C19" s="87" t="s">
        <v>1159</v>
      </c>
      <c r="D19" s="100" t="str">
        <f t="shared" si="0"/>
        <v>Rétirédanslesdélais</v>
      </c>
      <c r="E19" s="75">
        <v>45139</v>
      </c>
      <c r="G19" s="71">
        <v>0</v>
      </c>
      <c r="H19" s="870"/>
      <c r="I19" s="871"/>
      <c r="J19" s="871"/>
      <c r="K19" s="872"/>
    </row>
    <row r="20" spans="1:11" ht="28.5" customHeight="1" x14ac:dyDescent="0.25">
      <c r="A20" s="9">
        <v>16</v>
      </c>
      <c r="B20" s="95">
        <v>4112688050</v>
      </c>
      <c r="C20" s="87" t="s">
        <v>1159</v>
      </c>
      <c r="D20" s="100" t="str">
        <f t="shared" si="0"/>
        <v>Rétirédanslesdélais</v>
      </c>
      <c r="E20" s="75">
        <v>45139</v>
      </c>
      <c r="G20" s="71">
        <v>0</v>
      </c>
      <c r="H20" s="870"/>
      <c r="I20" s="871"/>
      <c r="J20" s="871"/>
      <c r="K20" s="872"/>
    </row>
    <row r="21" spans="1:11" ht="28.5" customHeight="1" thickBot="1" x14ac:dyDescent="0.3">
      <c r="A21" s="9">
        <v>17</v>
      </c>
      <c r="B21" s="95">
        <v>4112699920</v>
      </c>
      <c r="C21" s="87" t="s">
        <v>1119</v>
      </c>
      <c r="D21" s="100" t="str">
        <f t="shared" si="0"/>
        <v>Rétirédanslesdélais</v>
      </c>
      <c r="E21" s="77">
        <v>45139</v>
      </c>
      <c r="G21" s="71">
        <v>0</v>
      </c>
      <c r="H21" s="870"/>
      <c r="I21" s="871"/>
      <c r="J21" s="871"/>
      <c r="K21" s="872"/>
    </row>
  </sheetData>
  <sheetProtection selectLockedCells="1"/>
  <mergeCells count="20">
    <mergeCell ref="H20:K20"/>
    <mergeCell ref="H21:K21"/>
    <mergeCell ref="H14:K14"/>
    <mergeCell ref="H15:K15"/>
    <mergeCell ref="H16:K16"/>
    <mergeCell ref="H17:K17"/>
    <mergeCell ref="H18:K18"/>
    <mergeCell ref="H19:K19"/>
    <mergeCell ref="H13:K13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12:K12"/>
  </mergeCells>
  <conditionalFormatting sqref="B14">
    <cfRule type="duplicateValues" dxfId="112" priority="4"/>
    <cfRule type="duplicateValues" dxfId="111" priority="5"/>
  </conditionalFormatting>
  <conditionalFormatting sqref="B16">
    <cfRule type="duplicateValues" dxfId="110" priority="42"/>
  </conditionalFormatting>
  <conditionalFormatting sqref="B17:B21">
    <cfRule type="duplicateValues" dxfId="109" priority="3"/>
  </conditionalFormatting>
  <conditionalFormatting sqref="B22:B1048576 B1:B13 B15">
    <cfRule type="duplicateValues" dxfId="108" priority="9"/>
  </conditionalFormatting>
  <conditionalFormatting sqref="B22:B1048576">
    <cfRule type="duplicateValues" dxfId="107" priority="8"/>
  </conditionalFormatting>
  <conditionalFormatting sqref="D5:D21">
    <cfRule type="containsText" dxfId="106" priority="1" operator="containsText" text="En Attente d'un Retrait Tardif">
      <formula>NOT(ISERROR(SEARCH("En Attente d'un Retrait Tardif",D5)))</formula>
    </cfRule>
    <cfRule type="containsText" dxfId="105" priority="2" operator="containsText" text="Rétiré dans les délais">
      <formula>NOT(ISERROR(SEARCH("Rétiré dans les délais",D5)))</formula>
    </cfRule>
  </conditionalFormatting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CA16-1E89-4157-9786-71A54C66AB66}">
  <sheetPr codeName="Feuil27" filterMode="1">
    <tabColor rgb="FF00B050"/>
  </sheetPr>
  <dimension ref="A1:K23"/>
  <sheetViews>
    <sheetView workbookViewId="0">
      <selection activeCell="C18" sqref="A1:K23"/>
    </sheetView>
  </sheetViews>
  <sheetFormatPr baseColWidth="10" defaultColWidth="11.42578125" defaultRowHeight="15" x14ac:dyDescent="0.25"/>
  <cols>
    <col min="1" max="1" width="4.140625" customWidth="1"/>
    <col min="2" max="2" width="18.28515625" customWidth="1"/>
    <col min="3" max="3" width="29" customWidth="1"/>
    <col min="4" max="4" width="46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762" t="s">
        <v>1728</v>
      </c>
      <c r="B1" s="762"/>
      <c r="C1" s="59"/>
      <c r="D1" s="729"/>
      <c r="E1" s="729"/>
    </row>
    <row r="2" spans="1:11" ht="23.25" customHeight="1" thickBot="1" x14ac:dyDescent="0.3">
      <c r="A2" s="730" t="s">
        <v>0</v>
      </c>
      <c r="B2" s="730"/>
      <c r="C2" s="60"/>
      <c r="D2" s="13">
        <v>45123</v>
      </c>
      <c r="E2" s="4">
        <f ca="1">TODAY()</f>
        <v>46096</v>
      </c>
      <c r="F2" s="5">
        <f ca="1">E2-D2</f>
        <v>973</v>
      </c>
    </row>
    <row r="3" spans="1:11" ht="15.75" thickBot="1" x14ac:dyDescent="0.3"/>
    <row r="4" spans="1:11" ht="24" customHeight="1" x14ac:dyDescent="0.25">
      <c r="A4" s="14" t="s">
        <v>1</v>
      </c>
      <c r="B4" s="26" t="s">
        <v>87</v>
      </c>
      <c r="C4" s="51" t="s">
        <v>1620</v>
      </c>
      <c r="D4" s="27" t="s">
        <v>7</v>
      </c>
      <c r="E4" s="28"/>
      <c r="G4" s="41" t="s">
        <v>8</v>
      </c>
      <c r="H4" s="796" t="s">
        <v>11</v>
      </c>
      <c r="I4" s="796"/>
      <c r="J4" s="796"/>
      <c r="K4" s="797"/>
    </row>
    <row r="5" spans="1:11" ht="26.25" hidden="1" customHeight="1" x14ac:dyDescent="0.25">
      <c r="A5" s="65">
        <v>1</v>
      </c>
      <c r="B5" s="94">
        <v>2141627710</v>
      </c>
      <c r="C5" s="86" t="s">
        <v>83</v>
      </c>
      <c r="D5" s="78" t="str">
        <f>IF(E5="",IF($F$2&lt;=15,"En attente de Retrait","En Attente d'un Retrait Tardif"),IF(E5-$D$2&lt;=15,"Rétiré dans les délais",IF(E5-$D$2&gt;15,"Rétiré tardivement-30000FCFA amende")))</f>
        <v>Rétiré dans les délais</v>
      </c>
      <c r="E5" s="74">
        <v>45133</v>
      </c>
      <c r="F5" s="90"/>
      <c r="G5" s="91"/>
      <c r="H5" s="876"/>
      <c r="I5" s="877"/>
      <c r="J5" s="877"/>
      <c r="K5" s="878"/>
    </row>
    <row r="6" spans="1:11" ht="26.25" hidden="1" customHeight="1" x14ac:dyDescent="0.25">
      <c r="A6" s="9">
        <v>2</v>
      </c>
      <c r="B6" s="95">
        <v>2711428131</v>
      </c>
      <c r="C6" s="87" t="s">
        <v>142</v>
      </c>
      <c r="D6" s="79" t="str">
        <f t="shared" ref="D6:D17" si="0">IF(E6="",IF($F$2&lt;=15,"En attente de Retrait","En Attente d'un Retrait Tardif"),IF(E6-$D$2&lt;=15,"Rétiré dans les délais",IF(E6-$D$2&gt;15,"Rétiré tardivement-30000FCFA amende")))</f>
        <v>Rétiré dans les délais</v>
      </c>
      <c r="E6" s="75">
        <v>45127</v>
      </c>
      <c r="F6" s="50"/>
      <c r="G6" s="71"/>
      <c r="H6" s="870"/>
      <c r="I6" s="871"/>
      <c r="J6" s="871"/>
      <c r="K6" s="872"/>
    </row>
    <row r="7" spans="1:11" ht="26.25" hidden="1" customHeight="1" x14ac:dyDescent="0.25">
      <c r="A7" s="9">
        <v>3</v>
      </c>
      <c r="B7" s="95">
        <v>4053763370</v>
      </c>
      <c r="C7" s="87" t="s">
        <v>142</v>
      </c>
      <c r="D7" s="79" t="str">
        <f t="shared" si="0"/>
        <v>Rétiré dans les délais</v>
      </c>
      <c r="E7" s="75">
        <v>45127</v>
      </c>
      <c r="F7" s="50"/>
      <c r="G7" s="71"/>
      <c r="H7" s="870"/>
      <c r="I7" s="871"/>
      <c r="J7" s="871"/>
      <c r="K7" s="872"/>
    </row>
    <row r="8" spans="1:11" ht="26.25" hidden="1" customHeight="1" x14ac:dyDescent="0.25">
      <c r="A8" s="9">
        <v>4</v>
      </c>
      <c r="B8" s="95">
        <v>4053794830</v>
      </c>
      <c r="C8" s="87" t="s">
        <v>143</v>
      </c>
      <c r="D8" s="79" t="str">
        <f t="shared" si="0"/>
        <v>Rétiré dans les délais</v>
      </c>
      <c r="E8" s="75">
        <v>45127</v>
      </c>
      <c r="F8" s="50"/>
      <c r="G8" s="71"/>
      <c r="H8" s="870"/>
      <c r="I8" s="871"/>
      <c r="J8" s="871"/>
      <c r="K8" s="872"/>
    </row>
    <row r="9" spans="1:11" ht="26.25" hidden="1" customHeight="1" x14ac:dyDescent="0.25">
      <c r="A9" s="9">
        <v>5</v>
      </c>
      <c r="B9" s="95">
        <v>4053978410</v>
      </c>
      <c r="C9" s="87" t="s">
        <v>137</v>
      </c>
      <c r="D9" s="79" t="str">
        <f t="shared" si="0"/>
        <v>Rétiré dans les délais</v>
      </c>
      <c r="E9" s="75">
        <v>45128</v>
      </c>
      <c r="F9" s="50"/>
      <c r="G9" s="71"/>
      <c r="H9" s="870"/>
      <c r="I9" s="871"/>
      <c r="J9" s="871"/>
      <c r="K9" s="872"/>
    </row>
    <row r="10" spans="1:11" ht="26.25" hidden="1" customHeight="1" x14ac:dyDescent="0.25">
      <c r="A10" s="9">
        <v>6</v>
      </c>
      <c r="B10" s="95">
        <v>4053978420</v>
      </c>
      <c r="C10" s="87" t="s">
        <v>137</v>
      </c>
      <c r="D10" s="79" t="str">
        <f t="shared" si="0"/>
        <v>Rétiré dans les délais</v>
      </c>
      <c r="E10" s="75">
        <v>45127</v>
      </c>
      <c r="F10" s="50"/>
      <c r="G10" s="71"/>
      <c r="H10" s="852"/>
      <c r="I10" s="853"/>
      <c r="J10" s="853"/>
      <c r="K10" s="854"/>
    </row>
    <row r="11" spans="1:11" ht="26.25" hidden="1" customHeight="1" x14ac:dyDescent="0.25">
      <c r="A11" s="9">
        <v>7</v>
      </c>
      <c r="B11" s="95">
        <v>4053978440</v>
      </c>
      <c r="C11" s="87" t="s">
        <v>137</v>
      </c>
      <c r="D11" s="79" t="str">
        <f t="shared" si="0"/>
        <v>Rétiré dans les délais</v>
      </c>
      <c r="E11" s="75">
        <v>45127</v>
      </c>
      <c r="F11" s="50"/>
      <c r="G11" s="71"/>
      <c r="H11" s="870"/>
      <c r="I11" s="871"/>
      <c r="J11" s="871"/>
      <c r="K11" s="872"/>
    </row>
    <row r="12" spans="1:11" ht="26.25" hidden="1" customHeight="1" x14ac:dyDescent="0.25">
      <c r="A12" s="9">
        <v>8</v>
      </c>
      <c r="B12" s="95">
        <v>4053989310</v>
      </c>
      <c r="C12" s="87" t="s">
        <v>144</v>
      </c>
      <c r="D12" s="79" t="str">
        <f t="shared" si="0"/>
        <v>Rétiré dans les délais</v>
      </c>
      <c r="E12" s="75">
        <v>45128</v>
      </c>
      <c r="F12" s="50"/>
      <c r="G12" s="71"/>
      <c r="H12" s="870"/>
      <c r="I12" s="871"/>
      <c r="J12" s="871"/>
      <c r="K12" s="872"/>
    </row>
    <row r="13" spans="1:11" ht="26.25" hidden="1" customHeight="1" x14ac:dyDescent="0.25">
      <c r="A13" s="9">
        <v>9</v>
      </c>
      <c r="B13" s="95">
        <v>4053999070</v>
      </c>
      <c r="C13" s="87" t="s">
        <v>145</v>
      </c>
      <c r="D13" s="79" t="str">
        <f t="shared" si="0"/>
        <v>Rétiré dans les délais</v>
      </c>
      <c r="E13" s="75">
        <v>45127</v>
      </c>
      <c r="F13" s="50"/>
      <c r="G13" s="71"/>
      <c r="H13" s="870"/>
      <c r="I13" s="871"/>
      <c r="J13" s="871"/>
      <c r="K13" s="872"/>
    </row>
    <row r="14" spans="1:11" ht="26.25" hidden="1" customHeight="1" x14ac:dyDescent="0.25">
      <c r="A14" s="9">
        <v>10</v>
      </c>
      <c r="B14" s="95">
        <v>4112668660</v>
      </c>
      <c r="C14" s="87" t="s">
        <v>146</v>
      </c>
      <c r="D14" s="79" t="str">
        <f t="shared" si="0"/>
        <v>Rétiré dans les délais</v>
      </c>
      <c r="E14" s="75">
        <v>45128</v>
      </c>
      <c r="F14" s="50"/>
      <c r="G14" s="71"/>
      <c r="H14" s="870"/>
      <c r="I14" s="871"/>
      <c r="J14" s="871"/>
      <c r="K14" s="872"/>
    </row>
    <row r="15" spans="1:11" ht="26.25" hidden="1" customHeight="1" x14ac:dyDescent="0.25">
      <c r="A15" s="9">
        <v>11</v>
      </c>
      <c r="B15" s="95">
        <v>4112671230</v>
      </c>
      <c r="C15" s="87" t="s">
        <v>147</v>
      </c>
      <c r="D15" s="79" t="str">
        <f>IF(E15="",IF($F$2&lt;=15,"En attente de Retrait","En Attente d'un Retrait Tardif"),IF(E15-$D$2&lt;=15,"Rétiré dans les délais",IF(E15-$D$2&gt;15,"Rétiré tardivement-30000FCFA amende")))</f>
        <v>Rétiré tardivement-30000FCFA amende</v>
      </c>
      <c r="E15" s="75">
        <v>45140</v>
      </c>
      <c r="F15" s="50"/>
      <c r="G15" s="71"/>
      <c r="H15" s="870"/>
      <c r="I15" s="871"/>
      <c r="J15" s="871"/>
      <c r="K15" s="872"/>
    </row>
    <row r="16" spans="1:11" ht="26.25" hidden="1" customHeight="1" x14ac:dyDescent="0.25">
      <c r="A16" s="9">
        <v>12</v>
      </c>
      <c r="B16" s="95">
        <v>4112674420</v>
      </c>
      <c r="C16" s="87" t="s">
        <v>84</v>
      </c>
      <c r="D16" s="79" t="str">
        <f t="shared" si="0"/>
        <v>Rétiré dans les délais</v>
      </c>
      <c r="E16" s="75">
        <v>45128</v>
      </c>
      <c r="G16" s="71"/>
      <c r="H16" s="870"/>
      <c r="I16" s="871"/>
      <c r="J16" s="871"/>
      <c r="K16" s="872"/>
    </row>
    <row r="17" spans="1:11" ht="26.25" hidden="1" customHeight="1" x14ac:dyDescent="0.25">
      <c r="A17" s="9">
        <v>13</v>
      </c>
      <c r="B17" s="95">
        <v>4112674700</v>
      </c>
      <c r="C17" s="87" t="s">
        <v>124</v>
      </c>
      <c r="D17" s="79" t="str">
        <f t="shared" si="0"/>
        <v>Rétiré dans les délais</v>
      </c>
      <c r="E17" s="75">
        <v>45127</v>
      </c>
      <c r="G17" s="71"/>
      <c r="H17" s="870"/>
      <c r="I17" s="871"/>
      <c r="J17" s="871"/>
      <c r="K17" s="872"/>
    </row>
    <row r="18" spans="1:11" ht="26.25" customHeight="1" x14ac:dyDescent="0.25">
      <c r="A18" s="66">
        <v>14</v>
      </c>
      <c r="B18" s="96">
        <v>4112674950</v>
      </c>
      <c r="C18" s="88" t="s">
        <v>1702</v>
      </c>
      <c r="D18" s="80" t="str">
        <f>IF(E18="",IF($F$2&lt;=15,"EnattentedeRetrait","EnAttented'unRetraitTardif"),IF(E18-$D$2&lt;=15,"Rétirédanslesdélais",IF(E18-$D$2&gt;15,"Rétirétardivement-30000FCFAamende")))</f>
        <v>Rétirétardivement-30000FCFAamende</v>
      </c>
      <c r="E18" s="76">
        <v>45139</v>
      </c>
      <c r="G18" s="72"/>
      <c r="H18" s="870"/>
      <c r="I18" s="871"/>
      <c r="J18" s="871"/>
      <c r="K18" s="872"/>
    </row>
    <row r="19" spans="1:11" ht="26.25" hidden="1" customHeight="1" thickBot="1" x14ac:dyDescent="0.3">
      <c r="A19" s="92">
        <v>15</v>
      </c>
      <c r="B19" s="97">
        <v>4112681230</v>
      </c>
      <c r="C19" s="89" t="s">
        <v>53</v>
      </c>
      <c r="D19" s="81" t="str">
        <f>IF(E19="",IF($F$2&lt;=15,"En attente de Retrait","En Attente d'un Retrait Tardif"),IF(E19-$D$2&lt;=15,"Rétiré dans les délais",IF(E19-$D$2&gt;15,"Rétiré tardivement-30000FCFA amende")))</f>
        <v>Rétiré dans les délais</v>
      </c>
      <c r="E19" s="77">
        <v>45133</v>
      </c>
      <c r="F19" s="93"/>
      <c r="G19" s="73"/>
      <c r="H19" s="884"/>
      <c r="I19" s="885"/>
      <c r="J19" s="885"/>
      <c r="K19" s="886"/>
    </row>
    <row r="23" spans="1:11" x14ac:dyDescent="0.25">
      <c r="H23" t="s">
        <v>148</v>
      </c>
    </row>
  </sheetData>
  <sheetProtection selectLockedCells="1"/>
  <autoFilter ref="A4:E19" xr:uid="{628BCA16-1E89-4157-9786-71A54C66AB66}">
    <filterColumn colId="2">
      <filters>
        <filter val="FOODS CO SA"/>
      </filters>
    </filterColumn>
  </autoFilter>
  <mergeCells count="19"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19:K19"/>
    <mergeCell ref="H13:K13"/>
    <mergeCell ref="H14:K14"/>
    <mergeCell ref="H15:K15"/>
    <mergeCell ref="H16:K16"/>
    <mergeCell ref="H17:K17"/>
    <mergeCell ref="H18:K18"/>
  </mergeCells>
  <conditionalFormatting sqref="A20:A32 B1:B13 D20:L32 B15 B20:B1048576">
    <cfRule type="duplicateValues" dxfId="104" priority="12"/>
  </conditionalFormatting>
  <conditionalFormatting sqref="B14">
    <cfRule type="duplicateValues" dxfId="103" priority="3"/>
    <cfRule type="duplicateValues" dxfId="102" priority="4"/>
  </conditionalFormatting>
  <conditionalFormatting sqref="B16:B19">
    <cfRule type="duplicateValues" dxfId="101" priority="27"/>
  </conditionalFormatting>
  <conditionalFormatting sqref="B20:B22">
    <cfRule type="duplicateValues" dxfId="100" priority="15"/>
  </conditionalFormatting>
  <conditionalFormatting sqref="B20:B1048576 B1:B13 B15">
    <cfRule type="duplicateValues" dxfId="99" priority="7"/>
  </conditionalFormatting>
  <conditionalFormatting sqref="B23:B28">
    <cfRule type="duplicateValues" dxfId="98" priority="14"/>
  </conditionalFormatting>
  <conditionalFormatting sqref="B29:B30">
    <cfRule type="duplicateValues" dxfId="97" priority="13"/>
  </conditionalFormatting>
  <conditionalFormatting sqref="B31:B32">
    <cfRule type="duplicateValues" dxfId="96" priority="8"/>
  </conditionalFormatting>
  <conditionalFormatting sqref="D5:D19">
    <cfRule type="containsText" dxfId="95" priority="5" operator="containsText" text="En Attente d'un Retrait Tardif">
      <formula>NOT(ISERROR(SEARCH("En Attente d'un Retrait Tardif",D5)))</formula>
    </cfRule>
    <cfRule type="containsText" dxfId="94" priority="6" operator="containsText" text="Rétiré dans les délais">
      <formula>NOT(ISERROR(SEARCH("Rétiré dans les délais",D5)))</formula>
    </cfRule>
  </conditionalFormatting>
  <conditionalFormatting sqref="K20">
    <cfRule type="duplicateValues" dxfId="93" priority="11"/>
  </conditionalFormatting>
  <conditionalFormatting sqref="K20:K26">
    <cfRule type="duplicateValues" dxfId="92" priority="9"/>
  </conditionalFormatting>
  <conditionalFormatting sqref="K21:K26">
    <cfRule type="duplicateValues" dxfId="91" priority="10"/>
  </conditionalFormatting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0915-FEDB-4783-8323-9DB679807053}">
  <sheetPr codeName="Feuil28" filterMode="1">
    <tabColor rgb="FF00B050"/>
  </sheetPr>
  <dimension ref="A1:K24"/>
  <sheetViews>
    <sheetView workbookViewId="0">
      <selection activeCell="C23" sqref="A1:K24"/>
    </sheetView>
  </sheetViews>
  <sheetFormatPr baseColWidth="10" defaultColWidth="11.42578125" defaultRowHeight="15" x14ac:dyDescent="0.25"/>
  <cols>
    <col min="1" max="1" width="4.140625" customWidth="1"/>
    <col min="2" max="2" width="20.28515625" customWidth="1"/>
    <col min="3" max="3" width="20.7109375" customWidth="1"/>
    <col min="4" max="4" width="46" customWidth="1"/>
    <col min="5" max="5" width="17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</cols>
  <sheetData>
    <row r="1" spans="1:11" ht="16.5" thickBot="1" x14ac:dyDescent="0.3">
      <c r="A1" s="762" t="s">
        <v>1729</v>
      </c>
      <c r="B1" s="762"/>
      <c r="C1" s="59"/>
      <c r="D1" s="729"/>
      <c r="E1" s="729"/>
    </row>
    <row r="2" spans="1:11" ht="23.25" customHeight="1" thickBot="1" x14ac:dyDescent="0.3">
      <c r="A2" s="730" t="s">
        <v>0</v>
      </c>
      <c r="B2" s="730"/>
      <c r="C2" s="60"/>
      <c r="D2" s="13">
        <v>45106</v>
      </c>
      <c r="E2" s="4">
        <f ca="1">TODAY()</f>
        <v>46096</v>
      </c>
      <c r="F2" s="5">
        <f ca="1">E2-D2</f>
        <v>990</v>
      </c>
    </row>
    <row r="3" spans="1:11" ht="15.75" thickBot="1" x14ac:dyDescent="0.3"/>
    <row r="4" spans="1:11" ht="24" customHeight="1" x14ac:dyDescent="0.25">
      <c r="A4" s="14" t="s">
        <v>1</v>
      </c>
      <c r="B4" s="26" t="s">
        <v>87</v>
      </c>
      <c r="C4" s="51" t="s">
        <v>1620</v>
      </c>
      <c r="D4" s="27" t="s">
        <v>7</v>
      </c>
      <c r="E4" s="28" t="s">
        <v>1514</v>
      </c>
      <c r="G4" s="41" t="s">
        <v>8</v>
      </c>
      <c r="H4" s="796" t="s">
        <v>11</v>
      </c>
      <c r="I4" s="796"/>
      <c r="J4" s="796"/>
      <c r="K4" s="797"/>
    </row>
    <row r="5" spans="1:11" ht="23.25" hidden="1" customHeight="1" x14ac:dyDescent="0.25">
      <c r="A5" s="65">
        <v>1</v>
      </c>
      <c r="B5" s="82">
        <v>4053952272</v>
      </c>
      <c r="C5" s="86" t="s">
        <v>149</v>
      </c>
      <c r="D5" s="78" t="str">
        <f>IF(E5="",IF($F$2&lt;=15,"En attente de Retrait","En Attente d'un Retrait Tardif"),IF(E5-$D$2&lt;=15,"Rétiré dans les délais",IF(E5-$D$2&gt;15,"Rétiré tardivement-30000FCFA amende")))</f>
        <v>Rétiré dans les délais</v>
      </c>
      <c r="E5" s="74">
        <v>45113</v>
      </c>
      <c r="F5" s="50"/>
      <c r="G5" s="71">
        <v>0</v>
      </c>
      <c r="H5" s="870"/>
      <c r="I5" s="871"/>
      <c r="J5" s="871"/>
      <c r="K5" s="872"/>
    </row>
    <row r="6" spans="1:11" ht="23.25" hidden="1" customHeight="1" x14ac:dyDescent="0.25">
      <c r="A6" s="9">
        <v>2</v>
      </c>
      <c r="B6" s="83">
        <v>4053763351</v>
      </c>
      <c r="C6" s="87" t="s">
        <v>150</v>
      </c>
      <c r="D6" s="79" t="str">
        <f t="shared" ref="D6:D19" si="0">IF(E6="",IF($F$2&lt;=15,"En attente de Retrait","En Attente d'un Retrait Tardif"),IF(E6-$D$2&lt;=15,"Rétiré dans les délais",IF(E6-$D$2&gt;15,"Rétiré tardivement-30000FCFA amende")))</f>
        <v>Rétiré dans les délais</v>
      </c>
      <c r="E6" s="75">
        <v>45112</v>
      </c>
      <c r="F6" s="50"/>
      <c r="G6" s="71">
        <v>0</v>
      </c>
      <c r="H6" s="870" t="s">
        <v>151</v>
      </c>
      <c r="I6" s="871"/>
      <c r="J6" s="871"/>
      <c r="K6" s="872"/>
    </row>
    <row r="7" spans="1:11" ht="23.25" hidden="1" customHeight="1" x14ac:dyDescent="0.25">
      <c r="A7" s="9">
        <v>3</v>
      </c>
      <c r="B7" s="83">
        <v>4053911280</v>
      </c>
      <c r="C7" s="87" t="s">
        <v>130</v>
      </c>
      <c r="D7" s="79" t="str">
        <f t="shared" si="0"/>
        <v>Rétiré dans les délais</v>
      </c>
      <c r="E7" s="75">
        <v>45117</v>
      </c>
      <c r="F7" s="50"/>
      <c r="G7" s="71">
        <v>0</v>
      </c>
      <c r="H7" s="870"/>
      <c r="I7" s="871"/>
      <c r="J7" s="871"/>
      <c r="K7" s="872"/>
    </row>
    <row r="8" spans="1:11" ht="23.25" hidden="1" customHeight="1" x14ac:dyDescent="0.25">
      <c r="A8" s="9">
        <v>4</v>
      </c>
      <c r="B8" s="83">
        <v>4053978400</v>
      </c>
      <c r="C8" s="87" t="s">
        <v>12</v>
      </c>
      <c r="D8" s="79" t="str">
        <f t="shared" si="0"/>
        <v>Rétiré dans les délais</v>
      </c>
      <c r="E8" s="75">
        <v>45111</v>
      </c>
      <c r="F8" s="50"/>
      <c r="G8" s="71">
        <v>0</v>
      </c>
      <c r="H8" s="870"/>
      <c r="I8" s="871"/>
      <c r="J8" s="871"/>
      <c r="K8" s="872"/>
    </row>
    <row r="9" spans="1:11" ht="23.25" hidden="1" customHeight="1" x14ac:dyDescent="0.25">
      <c r="A9" s="9">
        <v>5</v>
      </c>
      <c r="B9" s="83">
        <v>4053987310</v>
      </c>
      <c r="C9" s="87" t="s">
        <v>121</v>
      </c>
      <c r="D9" s="79" t="str">
        <f t="shared" si="0"/>
        <v>Rétiré dans les délais</v>
      </c>
      <c r="E9" s="75">
        <v>45114</v>
      </c>
      <c r="F9" s="50"/>
      <c r="G9" s="71">
        <v>0</v>
      </c>
      <c r="H9" s="870"/>
      <c r="I9" s="871"/>
      <c r="J9" s="871"/>
      <c r="K9" s="872"/>
    </row>
    <row r="10" spans="1:11" ht="18.75" hidden="1" x14ac:dyDescent="0.25">
      <c r="A10" s="9">
        <v>6</v>
      </c>
      <c r="B10" s="83">
        <v>4053991730</v>
      </c>
      <c r="C10" s="87" t="s">
        <v>134</v>
      </c>
      <c r="D10" s="79" t="str">
        <f t="shared" si="0"/>
        <v>Rétiré dans les délais</v>
      </c>
      <c r="E10" s="75">
        <v>45111</v>
      </c>
      <c r="F10" s="50"/>
      <c r="G10" s="71">
        <v>0</v>
      </c>
      <c r="H10" s="852" t="s">
        <v>152</v>
      </c>
      <c r="I10" s="853"/>
      <c r="J10" s="853"/>
      <c r="K10" s="854"/>
    </row>
    <row r="11" spans="1:11" ht="18.75" hidden="1" x14ac:dyDescent="0.25">
      <c r="A11" s="9">
        <v>7</v>
      </c>
      <c r="B11" s="83">
        <v>4053989339</v>
      </c>
      <c r="C11" s="87" t="s">
        <v>153</v>
      </c>
      <c r="D11" s="79" t="str">
        <f t="shared" si="0"/>
        <v>Rétiré dans les délais</v>
      </c>
      <c r="E11" s="75">
        <v>45113</v>
      </c>
      <c r="F11" s="50"/>
      <c r="G11" s="71">
        <v>0</v>
      </c>
      <c r="H11" s="870"/>
      <c r="I11" s="871"/>
      <c r="J11" s="871"/>
      <c r="K11" s="872"/>
    </row>
    <row r="12" spans="1:11" ht="18.75" hidden="1" x14ac:dyDescent="0.25">
      <c r="A12" s="9">
        <v>8</v>
      </c>
      <c r="B12" s="83">
        <v>4053989330</v>
      </c>
      <c r="C12" s="87" t="s">
        <v>153</v>
      </c>
      <c r="D12" s="79" t="str">
        <f t="shared" si="0"/>
        <v>Rétiré dans les délais</v>
      </c>
      <c r="E12" s="75">
        <v>45113</v>
      </c>
      <c r="F12" s="50"/>
      <c r="G12" s="71">
        <v>0</v>
      </c>
      <c r="H12" s="870"/>
      <c r="I12" s="871"/>
      <c r="J12" s="871"/>
      <c r="K12" s="872"/>
    </row>
    <row r="13" spans="1:11" ht="18.75" hidden="1" x14ac:dyDescent="0.25">
      <c r="A13" s="9">
        <v>9</v>
      </c>
      <c r="B13" s="83">
        <v>2719181500</v>
      </c>
      <c r="C13" s="87" t="s">
        <v>154</v>
      </c>
      <c r="D13" s="79" t="str">
        <f t="shared" si="0"/>
        <v>Rétiré dans les délais</v>
      </c>
      <c r="E13" s="75">
        <v>45113</v>
      </c>
      <c r="F13" s="50"/>
      <c r="G13" s="71">
        <v>0</v>
      </c>
      <c r="H13" s="870"/>
      <c r="I13" s="871"/>
      <c r="J13" s="871"/>
      <c r="K13" s="872"/>
    </row>
    <row r="14" spans="1:11" ht="18.75" hidden="1" x14ac:dyDescent="0.25">
      <c r="A14" s="9">
        <v>10</v>
      </c>
      <c r="B14" s="83">
        <v>2141213060</v>
      </c>
      <c r="C14" s="87" t="s">
        <v>155</v>
      </c>
      <c r="D14" s="79" t="str">
        <f t="shared" si="0"/>
        <v>Rétiré dans les délais</v>
      </c>
      <c r="E14" s="75">
        <v>45113</v>
      </c>
      <c r="F14" s="50"/>
      <c r="G14" s="71">
        <v>0</v>
      </c>
      <c r="H14" s="870"/>
      <c r="I14" s="871"/>
      <c r="J14" s="871"/>
      <c r="K14" s="872"/>
    </row>
    <row r="15" spans="1:11" ht="18.75" hidden="1" x14ac:dyDescent="0.25">
      <c r="A15" s="9">
        <v>11</v>
      </c>
      <c r="B15" s="83">
        <v>2141161630</v>
      </c>
      <c r="C15" s="87" t="s">
        <v>156</v>
      </c>
      <c r="D15" s="79" t="str">
        <f t="shared" si="0"/>
        <v>Rétiré dans les délais</v>
      </c>
      <c r="E15" s="75">
        <v>45112</v>
      </c>
      <c r="F15" s="50"/>
      <c r="G15" s="71">
        <v>0</v>
      </c>
      <c r="H15" s="870" t="s">
        <v>85</v>
      </c>
      <c r="I15" s="871"/>
      <c r="J15" s="871"/>
      <c r="K15" s="872"/>
    </row>
    <row r="16" spans="1:11" ht="18.75" hidden="1" x14ac:dyDescent="0.25">
      <c r="A16" s="9">
        <v>12</v>
      </c>
      <c r="B16" s="83">
        <v>2141087880</v>
      </c>
      <c r="C16" s="87" t="s">
        <v>156</v>
      </c>
      <c r="D16" s="79" t="str">
        <f t="shared" si="0"/>
        <v>Rétiré dans les délais</v>
      </c>
      <c r="E16" s="75">
        <v>45112</v>
      </c>
      <c r="G16" s="71">
        <v>0</v>
      </c>
      <c r="H16" s="870" t="s">
        <v>85</v>
      </c>
      <c r="I16" s="871"/>
      <c r="J16" s="871"/>
      <c r="K16" s="872"/>
    </row>
    <row r="17" spans="1:11" ht="18.75" hidden="1" x14ac:dyDescent="0.25">
      <c r="A17" s="9">
        <v>13</v>
      </c>
      <c r="B17" s="83">
        <v>2141283690</v>
      </c>
      <c r="C17" s="87" t="s">
        <v>157</v>
      </c>
      <c r="D17" s="79" t="str">
        <f t="shared" si="0"/>
        <v>Rétiré dans les délais</v>
      </c>
      <c r="E17" s="75">
        <v>45113</v>
      </c>
      <c r="G17" s="71">
        <v>0</v>
      </c>
      <c r="H17" s="870"/>
      <c r="I17" s="871"/>
      <c r="J17" s="871"/>
      <c r="K17" s="872"/>
    </row>
    <row r="18" spans="1:11" ht="18.75" hidden="1" x14ac:dyDescent="0.25">
      <c r="A18" s="66">
        <v>14</v>
      </c>
      <c r="B18" s="84">
        <v>4053987280</v>
      </c>
      <c r="C18" s="88" t="s">
        <v>158</v>
      </c>
      <c r="D18" s="80" t="str">
        <f t="shared" si="0"/>
        <v>Rétiré dans les délais</v>
      </c>
      <c r="E18" s="76">
        <v>45113</v>
      </c>
      <c r="G18" s="72">
        <v>0</v>
      </c>
      <c r="H18" s="870"/>
      <c r="I18" s="871"/>
      <c r="J18" s="871"/>
      <c r="K18" s="872"/>
    </row>
    <row r="19" spans="1:11" ht="18.75" hidden="1" x14ac:dyDescent="0.25">
      <c r="A19" s="67">
        <v>15</v>
      </c>
      <c r="B19" s="83">
        <v>4112657160</v>
      </c>
      <c r="C19" s="87" t="s">
        <v>159</v>
      </c>
      <c r="D19" s="79" t="str">
        <f t="shared" si="0"/>
        <v>Rétiré dans les délais</v>
      </c>
      <c r="E19" s="75">
        <v>45113</v>
      </c>
      <c r="F19" s="50"/>
      <c r="G19" s="71">
        <v>0</v>
      </c>
      <c r="H19" s="870"/>
      <c r="I19" s="871"/>
      <c r="J19" s="871"/>
      <c r="K19" s="872"/>
    </row>
    <row r="20" spans="1:11" ht="18.75" hidden="1" x14ac:dyDescent="0.25">
      <c r="A20" s="67">
        <v>16</v>
      </c>
      <c r="B20" s="83">
        <v>4112657140</v>
      </c>
      <c r="C20" s="87" t="s">
        <v>160</v>
      </c>
      <c r="D20" s="79" t="str">
        <f>IF(E20="",IF($F$2&lt;=15,"En attente de Retrait","En Attente d'un Retrait Tardif"),IF(E20-$D$2&lt;=15,"Rétiré dans les délais",IF(E20-$D$2&gt;15,"Rétiré tardivement-30000FCFA amende")))</f>
        <v>Rétiré dans les délais</v>
      </c>
      <c r="E20" s="75">
        <v>45113</v>
      </c>
      <c r="F20" s="50"/>
      <c r="G20" s="71">
        <v>0</v>
      </c>
      <c r="H20" s="870"/>
      <c r="I20" s="871"/>
      <c r="J20" s="871"/>
      <c r="K20" s="872"/>
    </row>
    <row r="21" spans="1:11" ht="18.75" hidden="1" x14ac:dyDescent="0.25">
      <c r="A21" s="67">
        <v>17</v>
      </c>
      <c r="B21" s="83">
        <v>4053999200</v>
      </c>
      <c r="C21" s="87" t="s">
        <v>161</v>
      </c>
      <c r="D21" s="79" t="str">
        <f>IF(E21="",IF($F$2&lt;=15,"En attente de Retrait","En Attente d'un Retrait Tardif"),IF(E21-$D$2&lt;=15,"Rétiré dans les délais",IF(E21-$D$2&gt;15,"Rétiré tardivement-30000FCFA amende")))</f>
        <v>Rétiré dans les délais</v>
      </c>
      <c r="E21" s="75">
        <v>45119</v>
      </c>
      <c r="F21" s="50"/>
      <c r="G21" s="71">
        <v>0</v>
      </c>
      <c r="H21" s="870"/>
      <c r="I21" s="871"/>
      <c r="J21" s="871"/>
      <c r="K21" s="872"/>
    </row>
    <row r="22" spans="1:11" ht="18.75" hidden="1" x14ac:dyDescent="0.25">
      <c r="A22" s="67">
        <v>18</v>
      </c>
      <c r="B22" s="83">
        <v>4053999230</v>
      </c>
      <c r="C22" s="87" t="s">
        <v>161</v>
      </c>
      <c r="D22" s="79" t="str">
        <f>IF(E22="",IF($F$2&lt;=15,"En attente de Retrait","En Attente d'un Retrait Tardif"),IF(E22-$D$2&lt;=15,"Rétiré dans les délais",IF(E22-$D$2&gt;15,"Rétiré tardivement-30000FCFA amende")))</f>
        <v>Rétiré dans les délais</v>
      </c>
      <c r="E22" s="75">
        <v>45119</v>
      </c>
      <c r="F22" s="50"/>
      <c r="G22" s="71">
        <v>0</v>
      </c>
      <c r="H22" s="870"/>
      <c r="I22" s="871"/>
      <c r="J22" s="871"/>
      <c r="K22" s="872"/>
    </row>
    <row r="23" spans="1:11" ht="18.75" x14ac:dyDescent="0.25">
      <c r="A23" s="67">
        <v>19</v>
      </c>
      <c r="B23" s="83">
        <v>4053982180</v>
      </c>
      <c r="C23" s="87" t="s">
        <v>1702</v>
      </c>
      <c r="D23" s="79" t="str">
        <f>IF(E23="",IF($F$2&lt;=15,"EnattentedeRetrait","EnAttented'unRetraitTardif"),IF(E23-$D$2&lt;=15,"Rétirédanslesdélais",IF(E23-$D$2&gt;15,"Rétirétardivement-30000FCFAamende")))</f>
        <v>Rétirétardivement-30000FCFAamende</v>
      </c>
      <c r="E23" s="75">
        <v>45126</v>
      </c>
      <c r="F23" s="50"/>
      <c r="G23" s="71">
        <v>0</v>
      </c>
      <c r="H23" s="898" t="s">
        <v>1730</v>
      </c>
      <c r="I23" s="899"/>
      <c r="J23" s="899"/>
      <c r="K23" s="900"/>
    </row>
    <row r="24" spans="1:11" ht="19.5" hidden="1" thickBot="1" x14ac:dyDescent="0.3">
      <c r="A24" s="67">
        <v>20</v>
      </c>
      <c r="B24" s="85">
        <v>4053984080</v>
      </c>
      <c r="C24" s="89" t="s">
        <v>86</v>
      </c>
      <c r="D24" s="81" t="str">
        <f>IF(E24="",IF($F$2&lt;=15,"En attente de Retrait","En Attente d'un Retrait Tardif"),IF(E24-$D$2&lt;=15,"Rétiré dans les délais",IF(E24-$D$2&gt;15,"Rétiré tardivement-30000FCFA amende")))</f>
        <v>Rétiré dans les délais</v>
      </c>
      <c r="E24" s="77">
        <v>45111</v>
      </c>
      <c r="F24" s="50"/>
      <c r="G24" s="73">
        <v>0</v>
      </c>
      <c r="H24" s="855" t="s">
        <v>152</v>
      </c>
      <c r="I24" s="856"/>
      <c r="J24" s="856"/>
      <c r="K24" s="857"/>
    </row>
  </sheetData>
  <sheetProtection selectLockedCells="1"/>
  <autoFilter ref="A4:E24" xr:uid="{46CC0915-FEDB-4783-8323-9DB679807053}">
    <filterColumn colId="2">
      <filters>
        <filter val="FOODS CO SA"/>
      </filters>
    </filterColumn>
  </autoFilter>
  <mergeCells count="24"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  <mergeCell ref="H24:K24"/>
    <mergeCell ref="H13:K13"/>
    <mergeCell ref="H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</mergeCells>
  <conditionalFormatting sqref="A25:A37 B1:B13 D25:L37 B15 B25:B1048576 L20:L24">
    <cfRule type="duplicateValues" dxfId="90" priority="13"/>
  </conditionalFormatting>
  <conditionalFormatting sqref="B1:B13 B15 B25:B1048576">
    <cfRule type="duplicateValues" dxfId="89" priority="8"/>
  </conditionalFormatting>
  <conditionalFormatting sqref="B14">
    <cfRule type="duplicateValues" dxfId="88" priority="4"/>
    <cfRule type="duplicateValues" dxfId="87" priority="5"/>
  </conditionalFormatting>
  <conditionalFormatting sqref="B16:B24">
    <cfRule type="duplicateValues" dxfId="86" priority="2"/>
    <cfRule type="duplicateValues" dxfId="85" priority="3"/>
  </conditionalFormatting>
  <conditionalFormatting sqref="B25:B27">
    <cfRule type="duplicateValues" dxfId="84" priority="16"/>
  </conditionalFormatting>
  <conditionalFormatting sqref="B28:B33">
    <cfRule type="duplicateValues" dxfId="83" priority="15"/>
  </conditionalFormatting>
  <conditionalFormatting sqref="B34:B35">
    <cfRule type="duplicateValues" dxfId="82" priority="14"/>
  </conditionalFormatting>
  <conditionalFormatting sqref="B36:B37">
    <cfRule type="duplicateValues" dxfId="81" priority="9"/>
  </conditionalFormatting>
  <conditionalFormatting sqref="D5:D24">
    <cfRule type="containsText" dxfId="80" priority="6" operator="containsText" text="En Attente d'un Retrait Tardif">
      <formula>NOT(ISERROR(SEARCH("En Attente d'un Retrait Tardif",D5)))</formula>
    </cfRule>
    <cfRule type="containsText" dxfId="79" priority="7" operator="containsText" text="Rétiré dans les délais">
      <formula>NOT(ISERROR(SEARCH("Rétiré dans les délais",D5)))</formula>
    </cfRule>
  </conditionalFormatting>
  <conditionalFormatting sqref="K25">
    <cfRule type="duplicateValues" dxfId="78" priority="12"/>
  </conditionalFormatting>
  <conditionalFormatting sqref="K25:K31">
    <cfRule type="duplicateValues" dxfId="77" priority="10"/>
  </conditionalFormatting>
  <conditionalFormatting sqref="K26:K31">
    <cfRule type="duplicateValues" dxfId="76" priority="11"/>
  </conditionalFormatting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B62D-E737-433D-85F2-2921AF7A4ABD}">
  <sheetPr codeName="Feuil29">
    <tabColor rgb="FF00B050"/>
  </sheetPr>
  <dimension ref="A1:K19"/>
  <sheetViews>
    <sheetView workbookViewId="0">
      <selection activeCell="B17" sqref="B17"/>
    </sheetView>
  </sheetViews>
  <sheetFormatPr baseColWidth="10" defaultColWidth="11.42578125" defaultRowHeight="17.25" x14ac:dyDescent="0.3"/>
  <cols>
    <col min="1" max="1" width="4.140625" customWidth="1"/>
    <col min="2" max="2" width="20.28515625" customWidth="1"/>
    <col min="3" max="3" width="15.28515625" customWidth="1"/>
    <col min="4" max="4" width="46" customWidth="1"/>
    <col min="5" max="5" width="17" style="69" customWidth="1"/>
    <col min="6" max="6" width="4.28515625" customWidth="1"/>
    <col min="7" max="7" width="13.5703125" bestFit="1" customWidth="1"/>
    <col min="8" max="10" width="12.5703125" customWidth="1"/>
    <col min="11" max="11" width="20.85546875" customWidth="1"/>
    <col min="12" max="12" width="7" customWidth="1"/>
  </cols>
  <sheetData>
    <row r="1" spans="1:11" ht="16.5" thickBot="1" x14ac:dyDescent="0.3">
      <c r="A1" s="762" t="s">
        <v>1731</v>
      </c>
      <c r="B1" s="762"/>
      <c r="C1" s="35"/>
      <c r="D1" s="729"/>
      <c r="E1" s="729"/>
    </row>
    <row r="2" spans="1:11" ht="23.25" customHeight="1" thickBot="1" x14ac:dyDescent="0.3">
      <c r="A2" s="730" t="s">
        <v>0</v>
      </c>
      <c r="B2" s="730"/>
      <c r="C2" s="24"/>
      <c r="D2" s="13">
        <v>45095</v>
      </c>
      <c r="E2" s="68">
        <f ca="1">TODAY()</f>
        <v>46096</v>
      </c>
      <c r="F2" s="5">
        <f ca="1">E2-D2</f>
        <v>1001</v>
      </c>
    </row>
    <row r="3" spans="1:11" ht="18" thickBot="1" x14ac:dyDescent="0.35"/>
    <row r="4" spans="1:11" ht="24" customHeight="1" thickBot="1" x14ac:dyDescent="0.3">
      <c r="A4" s="14" t="s">
        <v>1</v>
      </c>
      <c r="B4" s="26" t="s">
        <v>87</v>
      </c>
      <c r="C4" s="51" t="s">
        <v>162</v>
      </c>
      <c r="D4" s="27" t="s">
        <v>7</v>
      </c>
      <c r="E4" s="70" t="s">
        <v>1514</v>
      </c>
      <c r="G4" s="41" t="s">
        <v>8</v>
      </c>
      <c r="H4" s="903" t="s">
        <v>11</v>
      </c>
      <c r="I4" s="796"/>
      <c r="J4" s="796"/>
      <c r="K4" s="797"/>
    </row>
    <row r="5" spans="1:11" ht="23.25" customHeight="1" x14ac:dyDescent="0.25">
      <c r="A5" s="29">
        <v>1</v>
      </c>
      <c r="B5" s="37">
        <v>4053781850</v>
      </c>
      <c r="C5" s="37"/>
      <c r="D5" s="30" t="str">
        <f t="shared" ref="D5:D19" si="0">IF(E5="",IF($F$2&lt;=15,"EnattentedeRetrait","EnAttented'unRetraitTardif"),IF(E5-$D$2&lt;=15,"Rétirédanslesdélais",IF(E5-$D$2&gt;15,"Rétirétardivement-30000FCFAamende")))</f>
        <v>Rétirédanslesdélais</v>
      </c>
      <c r="E5" s="31">
        <v>45103</v>
      </c>
      <c r="F5" s="50"/>
      <c r="G5" s="48"/>
      <c r="H5" s="901"/>
      <c r="I5" s="901"/>
      <c r="J5" s="901"/>
      <c r="K5" s="902"/>
    </row>
    <row r="6" spans="1:11" ht="23.25" customHeight="1" x14ac:dyDescent="0.25">
      <c r="A6" s="32">
        <v>2</v>
      </c>
      <c r="B6" s="38">
        <v>4053794831</v>
      </c>
      <c r="C6" s="38"/>
      <c r="D6" s="15" t="str">
        <f t="shared" si="0"/>
        <v>Rétirédanslesdélais</v>
      </c>
      <c r="E6" s="17">
        <v>45100</v>
      </c>
      <c r="F6" s="50"/>
      <c r="G6" s="48"/>
      <c r="H6" s="901"/>
      <c r="I6" s="901"/>
      <c r="J6" s="901"/>
      <c r="K6" s="902"/>
    </row>
    <row r="7" spans="1:11" ht="23.25" customHeight="1" x14ac:dyDescent="0.25">
      <c r="A7" s="32">
        <v>3</v>
      </c>
      <c r="B7" s="38">
        <v>4053880520</v>
      </c>
      <c r="C7" s="52" t="s">
        <v>1106</v>
      </c>
      <c r="D7" s="15" t="str">
        <f t="shared" si="0"/>
        <v>Rétirédanslesdélais</v>
      </c>
      <c r="E7" s="17">
        <v>45110</v>
      </c>
      <c r="F7" s="50"/>
      <c r="G7" s="48">
        <v>352000</v>
      </c>
      <c r="H7" s="871" t="s">
        <v>1732</v>
      </c>
      <c r="I7" s="871"/>
      <c r="J7" s="871"/>
      <c r="K7" s="872"/>
    </row>
    <row r="8" spans="1:11" ht="23.25" customHeight="1" x14ac:dyDescent="0.25">
      <c r="A8" s="32">
        <v>4</v>
      </c>
      <c r="B8" s="38">
        <v>4053896630</v>
      </c>
      <c r="C8" s="38"/>
      <c r="D8" s="15" t="str">
        <f t="shared" si="0"/>
        <v>Rétirédanslesdélais</v>
      </c>
      <c r="E8" s="17">
        <v>45106</v>
      </c>
      <c r="F8" s="50"/>
      <c r="G8" s="48"/>
      <c r="H8" s="901"/>
      <c r="I8" s="901"/>
      <c r="J8" s="901"/>
      <c r="K8" s="902"/>
    </row>
    <row r="9" spans="1:11" ht="23.25" customHeight="1" x14ac:dyDescent="0.25">
      <c r="A9" s="32">
        <v>5</v>
      </c>
      <c r="B9" s="38">
        <v>4053907320</v>
      </c>
      <c r="C9" s="38"/>
      <c r="D9" s="15" t="str">
        <f t="shared" si="0"/>
        <v>Rétirétardivement-30000FCFAamende</v>
      </c>
      <c r="E9" s="17">
        <v>45114</v>
      </c>
      <c r="F9" s="50"/>
      <c r="G9" s="48"/>
      <c r="H9" s="871"/>
      <c r="I9" s="871"/>
      <c r="J9" s="871"/>
      <c r="K9" s="872"/>
    </row>
    <row r="10" spans="1:11" ht="18.75" x14ac:dyDescent="0.25">
      <c r="A10" s="32">
        <v>6</v>
      </c>
      <c r="B10" s="38">
        <v>4053938970</v>
      </c>
      <c r="C10" s="38"/>
      <c r="D10" s="15" t="str">
        <f t="shared" si="0"/>
        <v>Rétirétardivement-30000FCFAamende</v>
      </c>
      <c r="E10" s="17">
        <v>45111</v>
      </c>
      <c r="F10" s="50"/>
      <c r="G10" s="48"/>
      <c r="H10" s="901"/>
      <c r="I10" s="901"/>
      <c r="J10" s="901"/>
      <c r="K10" s="902"/>
    </row>
    <row r="11" spans="1:11" ht="18.75" x14ac:dyDescent="0.25">
      <c r="A11" s="32">
        <v>7</v>
      </c>
      <c r="B11" s="38">
        <v>4053938980</v>
      </c>
      <c r="C11" s="38"/>
      <c r="D11" s="15" t="str">
        <f t="shared" si="0"/>
        <v>Rétirétardivement-30000FCFAamende</v>
      </c>
      <c r="E11" s="17">
        <v>45111</v>
      </c>
      <c r="F11" s="50"/>
      <c r="G11" s="48"/>
      <c r="H11" s="901"/>
      <c r="I11" s="901"/>
      <c r="J11" s="901"/>
      <c r="K11" s="902"/>
    </row>
    <row r="12" spans="1:11" ht="18.75" x14ac:dyDescent="0.25">
      <c r="A12" s="32">
        <v>8</v>
      </c>
      <c r="B12" s="38">
        <v>4053952271</v>
      </c>
      <c r="C12" s="38"/>
      <c r="D12" s="15" t="str">
        <f t="shared" si="0"/>
        <v>Rétirédanslesdélais</v>
      </c>
      <c r="E12" s="17">
        <v>45100</v>
      </c>
      <c r="F12" s="50"/>
      <c r="G12" s="48"/>
      <c r="H12" s="901"/>
      <c r="I12" s="901"/>
      <c r="J12" s="901"/>
      <c r="K12" s="902"/>
    </row>
    <row r="13" spans="1:11" ht="18.75" x14ac:dyDescent="0.25">
      <c r="A13" s="32">
        <v>9</v>
      </c>
      <c r="B13" s="38">
        <v>4053955200</v>
      </c>
      <c r="C13" s="38"/>
      <c r="D13" s="15" t="str">
        <f t="shared" si="0"/>
        <v>Rétirédanslesdélais</v>
      </c>
      <c r="E13" s="17">
        <v>45100</v>
      </c>
      <c r="F13" s="50"/>
      <c r="G13" s="48"/>
      <c r="H13" s="901"/>
      <c r="I13" s="901"/>
      <c r="J13" s="901"/>
      <c r="K13" s="902"/>
    </row>
    <row r="14" spans="1:11" ht="18.75" x14ac:dyDescent="0.25">
      <c r="A14" s="32">
        <v>10</v>
      </c>
      <c r="B14" s="38">
        <v>4053955230</v>
      </c>
      <c r="C14" s="38"/>
      <c r="D14" s="15" t="str">
        <f t="shared" si="0"/>
        <v>Rétirédanslesdélais</v>
      </c>
      <c r="E14" s="17">
        <v>45107</v>
      </c>
      <c r="F14" s="50"/>
      <c r="G14" s="48"/>
      <c r="H14" s="901" t="s">
        <v>140</v>
      </c>
      <c r="I14" s="901"/>
      <c r="J14" s="901"/>
      <c r="K14" s="902"/>
    </row>
    <row r="15" spans="1:11" ht="18.75" x14ac:dyDescent="0.25">
      <c r="A15" s="32">
        <v>11</v>
      </c>
      <c r="B15" s="38">
        <v>4053978320</v>
      </c>
      <c r="C15" s="38"/>
      <c r="D15" s="15" t="str">
        <f t="shared" si="0"/>
        <v>Rétirédanslesdélais</v>
      </c>
      <c r="E15" s="17">
        <v>45100</v>
      </c>
      <c r="F15" s="50"/>
      <c r="G15" s="48"/>
      <c r="H15" s="901"/>
      <c r="I15" s="901"/>
      <c r="J15" s="901"/>
      <c r="K15" s="902"/>
    </row>
    <row r="16" spans="1:11" ht="18.75" x14ac:dyDescent="0.25">
      <c r="A16" s="32">
        <v>12</v>
      </c>
      <c r="B16" s="62">
        <v>4053791273</v>
      </c>
      <c r="C16" s="38"/>
      <c r="D16" s="15" t="str">
        <f t="shared" si="0"/>
        <v>Rétirétardivement-30000FCFAamende</v>
      </c>
      <c r="E16" s="17">
        <v>45126</v>
      </c>
      <c r="G16" s="48"/>
      <c r="H16" s="901" t="s">
        <v>163</v>
      </c>
      <c r="I16" s="901"/>
      <c r="J16" s="901"/>
      <c r="K16" s="902"/>
    </row>
    <row r="17" spans="1:11" ht="18.75" x14ac:dyDescent="0.25">
      <c r="A17" s="32">
        <v>13</v>
      </c>
      <c r="B17" s="62">
        <v>4053791276</v>
      </c>
      <c r="C17" s="38"/>
      <c r="D17" s="15" t="str">
        <f t="shared" si="0"/>
        <v>Rétirétardivement-30000FCFAamende</v>
      </c>
      <c r="E17" s="17">
        <v>45126</v>
      </c>
      <c r="G17" s="48"/>
      <c r="H17" s="901" t="s">
        <v>163</v>
      </c>
      <c r="I17" s="901"/>
      <c r="J17" s="901"/>
      <c r="K17" s="902"/>
    </row>
    <row r="18" spans="1:11" ht="18.75" x14ac:dyDescent="0.25">
      <c r="A18" s="32">
        <v>14</v>
      </c>
      <c r="B18" s="62">
        <v>4053952274</v>
      </c>
      <c r="C18" s="38"/>
      <c r="D18" s="15" t="str">
        <f t="shared" si="0"/>
        <v>Rétirétardivement-30000FCFAamende</v>
      </c>
      <c r="E18" s="17">
        <v>45114</v>
      </c>
      <c r="G18" s="48"/>
      <c r="H18" s="901" t="s">
        <v>163</v>
      </c>
      <c r="I18" s="901"/>
      <c r="J18" s="901"/>
      <c r="K18" s="902"/>
    </row>
    <row r="19" spans="1:11" ht="19.5" thickBot="1" x14ac:dyDescent="0.3">
      <c r="A19" s="33">
        <v>15</v>
      </c>
      <c r="B19" s="61">
        <v>4053791275</v>
      </c>
      <c r="C19" s="40"/>
      <c r="D19" s="16" t="str">
        <f t="shared" si="0"/>
        <v>Rétirétardivement-30000FCFAamende</v>
      </c>
      <c r="E19" s="18">
        <v>45114</v>
      </c>
      <c r="G19" s="49"/>
      <c r="H19" s="904" t="s">
        <v>163</v>
      </c>
      <c r="I19" s="904"/>
      <c r="J19" s="904"/>
      <c r="K19" s="905"/>
    </row>
  </sheetData>
  <sheetProtection selectLockedCells="1"/>
  <mergeCells count="19">
    <mergeCell ref="H19:K19"/>
    <mergeCell ref="H13:K13"/>
    <mergeCell ref="H15:K15"/>
    <mergeCell ref="H14:K14"/>
    <mergeCell ref="H16:K16"/>
    <mergeCell ref="H17:K17"/>
    <mergeCell ref="H18:K18"/>
    <mergeCell ref="H12:K12"/>
    <mergeCell ref="A1:B1"/>
    <mergeCell ref="D1:E1"/>
    <mergeCell ref="A2:B2"/>
    <mergeCell ref="H4:K4"/>
    <mergeCell ref="H5:K5"/>
    <mergeCell ref="H6:K6"/>
    <mergeCell ref="H7:K7"/>
    <mergeCell ref="H8:K8"/>
    <mergeCell ref="H9:K9"/>
    <mergeCell ref="H10:K10"/>
    <mergeCell ref="H11:K11"/>
  </mergeCells>
  <conditionalFormatting sqref="A20:A37 B1:C13 D20:L37 B15:C15 B20:C1048576">
    <cfRule type="duplicateValues" dxfId="75" priority="14"/>
  </conditionalFormatting>
  <conditionalFormatting sqref="B1:C13 B15:C15 B20:C1048576">
    <cfRule type="duplicateValues" dxfId="74" priority="9"/>
  </conditionalFormatting>
  <conditionalFormatting sqref="B14:C14">
    <cfRule type="duplicateValues" dxfId="73" priority="5"/>
    <cfRule type="duplicateValues" dxfId="72" priority="6"/>
  </conditionalFormatting>
  <conditionalFormatting sqref="B16:C19">
    <cfRule type="duplicateValues" dxfId="71" priority="1"/>
    <cfRule type="duplicateValues" dxfId="70" priority="2"/>
  </conditionalFormatting>
  <conditionalFormatting sqref="B23:C24">
    <cfRule type="duplicateValues" dxfId="69" priority="18"/>
  </conditionalFormatting>
  <conditionalFormatting sqref="B25:C27">
    <cfRule type="duplicateValues" dxfId="68" priority="17"/>
  </conditionalFormatting>
  <conditionalFormatting sqref="B28:C33">
    <cfRule type="duplicateValues" dxfId="67" priority="16"/>
  </conditionalFormatting>
  <conditionalFormatting sqref="B34:C35">
    <cfRule type="duplicateValues" dxfId="66" priority="15"/>
  </conditionalFormatting>
  <conditionalFormatting sqref="B36:C37">
    <cfRule type="duplicateValues" dxfId="65" priority="10"/>
  </conditionalFormatting>
  <conditionalFormatting sqref="D5:D19">
    <cfRule type="containsText" dxfId="64" priority="7" operator="containsText" text="En Attente d'un Retrait Tardif">
      <formula>NOT(ISERROR(SEARCH("En Attente d'un Retrait Tardif",D5)))</formula>
    </cfRule>
    <cfRule type="containsText" dxfId="63" priority="8" operator="containsText" text="Rétiré dans les délais">
      <formula>NOT(ISERROR(SEARCH("Rétiré dans les délais",D5)))</formula>
    </cfRule>
  </conditionalFormatting>
  <conditionalFormatting sqref="K23:K25">
    <cfRule type="duplicateValues" dxfId="62" priority="13"/>
  </conditionalFormatting>
  <conditionalFormatting sqref="K23:K31">
    <cfRule type="duplicateValues" dxfId="61" priority="11"/>
  </conditionalFormatting>
  <conditionalFormatting sqref="K26:K31">
    <cfRule type="duplicateValues" dxfId="60" priority="12"/>
  </conditionalFormatting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54A4-F0BC-4089-A8BB-A1FC31536FEB}">
  <sheetPr codeName="Feuil30">
    <tabColor rgb="FF00B050"/>
  </sheetPr>
  <dimension ref="A1:J16"/>
  <sheetViews>
    <sheetView workbookViewId="0">
      <selection activeCell="D21" sqref="D21"/>
    </sheetView>
  </sheetViews>
  <sheetFormatPr baseColWidth="10" defaultColWidth="11.42578125" defaultRowHeight="15" x14ac:dyDescent="0.25"/>
  <cols>
    <col min="1" max="1" width="4.140625" customWidth="1"/>
    <col min="2" max="2" width="20.28515625" customWidth="1"/>
    <col min="3" max="3" width="46" customWidth="1"/>
    <col min="4" max="4" width="17" customWidth="1"/>
    <col min="5" max="5" width="4.28515625" customWidth="1"/>
    <col min="6" max="6" width="13.5703125" bestFit="1" customWidth="1"/>
    <col min="7" max="9" width="12.5703125" customWidth="1"/>
    <col min="10" max="10" width="20.85546875" customWidth="1"/>
  </cols>
  <sheetData>
    <row r="1" spans="1:10" ht="16.5" thickBot="1" x14ac:dyDescent="0.3">
      <c r="A1" s="762" t="s">
        <v>1733</v>
      </c>
      <c r="B1" s="762"/>
      <c r="C1" s="729"/>
      <c r="D1" s="729"/>
    </row>
    <row r="2" spans="1:10" ht="23.25" customHeight="1" thickBot="1" x14ac:dyDescent="0.3">
      <c r="A2" s="730" t="s">
        <v>0</v>
      </c>
      <c r="B2" s="730"/>
      <c r="C2" s="13">
        <v>45092</v>
      </c>
      <c r="D2" s="4">
        <f ca="1">TODAY()</f>
        <v>46096</v>
      </c>
      <c r="E2" s="5">
        <f ca="1">D2-C2</f>
        <v>1004</v>
      </c>
    </row>
    <row r="3" spans="1:10" ht="15.75" thickBot="1" x14ac:dyDescent="0.3"/>
    <row r="4" spans="1:10" ht="24" customHeight="1" thickBot="1" x14ac:dyDescent="0.3">
      <c r="A4" s="14" t="s">
        <v>1</v>
      </c>
      <c r="B4" s="26" t="s">
        <v>87</v>
      </c>
      <c r="C4" s="27" t="s">
        <v>7</v>
      </c>
      <c r="D4" s="28" t="s">
        <v>1514</v>
      </c>
      <c r="F4" s="53" t="s">
        <v>8</v>
      </c>
      <c r="G4" s="910" t="s">
        <v>11</v>
      </c>
      <c r="H4" s="911"/>
      <c r="I4" s="911"/>
      <c r="J4" s="912"/>
    </row>
    <row r="5" spans="1:10" ht="23.25" customHeight="1" x14ac:dyDescent="0.25">
      <c r="A5" s="29">
        <v>1</v>
      </c>
      <c r="B5" s="37">
        <v>4053864861</v>
      </c>
      <c r="C5" s="30" t="str">
        <f t="shared" ref="C5:C14" si="0">IF(D5="",IF($E$2&lt;=15,"EnattentedeRetrait","EnAttented'unRetraitTardif"),IF(D5-$C$2&lt;=15,"Rétirédanslesdélais",IF(D5-$C$2&gt;15,"Rétirétardivement-30000FCFAamende")))</f>
        <v>Rétirédanslesdélais</v>
      </c>
      <c r="D5" s="31">
        <v>45099</v>
      </c>
      <c r="E5" s="46"/>
      <c r="F5" s="54">
        <v>198000</v>
      </c>
      <c r="G5" s="877" t="s">
        <v>1734</v>
      </c>
      <c r="H5" s="877"/>
      <c r="I5" s="877"/>
      <c r="J5" s="878"/>
    </row>
    <row r="6" spans="1:10" ht="23.25" customHeight="1" x14ac:dyDescent="0.25">
      <c r="A6" s="32">
        <v>2</v>
      </c>
      <c r="B6" s="38">
        <v>4053964020</v>
      </c>
      <c r="C6" s="15" t="str">
        <f t="shared" si="0"/>
        <v>Rétirédanslesdélais</v>
      </c>
      <c r="D6" s="17">
        <v>45106</v>
      </c>
      <c r="F6" s="55">
        <v>0</v>
      </c>
      <c r="G6" s="906"/>
      <c r="H6" s="906"/>
      <c r="I6" s="906"/>
      <c r="J6" s="907"/>
    </row>
    <row r="7" spans="1:10" ht="23.25" customHeight="1" x14ac:dyDescent="0.25">
      <c r="A7" s="32">
        <v>3</v>
      </c>
      <c r="B7" s="38">
        <v>4053964029</v>
      </c>
      <c r="C7" s="15" t="str">
        <f t="shared" si="0"/>
        <v>Rétirédanslesdélais</v>
      </c>
      <c r="D7" s="17">
        <v>45106</v>
      </c>
      <c r="F7" s="55">
        <v>0</v>
      </c>
      <c r="G7" s="906"/>
      <c r="H7" s="906"/>
      <c r="I7" s="906"/>
      <c r="J7" s="907"/>
    </row>
    <row r="8" spans="1:10" ht="23.25" customHeight="1" x14ac:dyDescent="0.25">
      <c r="A8" s="32">
        <v>4</v>
      </c>
      <c r="B8" s="38">
        <v>4053970430</v>
      </c>
      <c r="C8" s="15" t="str">
        <f t="shared" si="0"/>
        <v>Rétirétardivement-30000FCFAamende</v>
      </c>
      <c r="D8" s="17">
        <v>45117</v>
      </c>
      <c r="F8" s="55">
        <v>0</v>
      </c>
      <c r="G8" s="906" t="s">
        <v>140</v>
      </c>
      <c r="H8" s="906"/>
      <c r="I8" s="906"/>
      <c r="J8" s="907"/>
    </row>
    <row r="9" spans="1:10" ht="23.25" customHeight="1" x14ac:dyDescent="0.25">
      <c r="A9" s="32">
        <v>5</v>
      </c>
      <c r="B9" s="38">
        <v>4053973620</v>
      </c>
      <c r="C9" s="15" t="str">
        <f t="shared" si="0"/>
        <v>Rétirédanslesdélais</v>
      </c>
      <c r="D9" s="17">
        <v>45103</v>
      </c>
      <c r="F9" s="55">
        <v>0</v>
      </c>
      <c r="G9" s="906" t="s">
        <v>140</v>
      </c>
      <c r="H9" s="906"/>
      <c r="I9" s="906"/>
      <c r="J9" s="907"/>
    </row>
    <row r="10" spans="1:10" ht="18.75" x14ac:dyDescent="0.25">
      <c r="A10" s="32">
        <v>6</v>
      </c>
      <c r="B10" s="38">
        <v>4053976210</v>
      </c>
      <c r="C10" s="15" t="str">
        <f t="shared" si="0"/>
        <v>Rétirédanslesdélais</v>
      </c>
      <c r="D10" s="17">
        <v>45099</v>
      </c>
      <c r="F10" s="55">
        <v>0</v>
      </c>
      <c r="G10" s="906"/>
      <c r="H10" s="906"/>
      <c r="I10" s="906"/>
      <c r="J10" s="907"/>
    </row>
    <row r="11" spans="1:10" ht="18.75" x14ac:dyDescent="0.25">
      <c r="A11" s="32">
        <v>7</v>
      </c>
      <c r="B11" s="38">
        <v>4053984270</v>
      </c>
      <c r="C11" s="15" t="str">
        <f t="shared" si="0"/>
        <v>Rétirédanslesdélais</v>
      </c>
      <c r="D11" s="17">
        <v>45100</v>
      </c>
      <c r="F11" s="55">
        <v>0</v>
      </c>
      <c r="G11" s="906"/>
      <c r="H11" s="906"/>
      <c r="I11" s="906"/>
      <c r="J11" s="907"/>
    </row>
    <row r="12" spans="1:10" ht="18.75" x14ac:dyDescent="0.25">
      <c r="A12" s="32">
        <v>8</v>
      </c>
      <c r="B12" s="38">
        <v>4053984350</v>
      </c>
      <c r="C12" s="15" t="str">
        <f t="shared" si="0"/>
        <v>Rétirédanslesdélais</v>
      </c>
      <c r="D12" s="17">
        <v>45100</v>
      </c>
      <c r="F12" s="55">
        <v>0</v>
      </c>
      <c r="G12" s="906"/>
      <c r="H12" s="906"/>
      <c r="I12" s="906"/>
      <c r="J12" s="907"/>
    </row>
    <row r="13" spans="1:10" ht="18.75" x14ac:dyDescent="0.25">
      <c r="A13" s="32">
        <v>9</v>
      </c>
      <c r="B13" s="38">
        <v>4053984480</v>
      </c>
      <c r="C13" s="15" t="str">
        <f t="shared" si="0"/>
        <v>Rétirédanslesdélais</v>
      </c>
      <c r="D13" s="17">
        <v>45100</v>
      </c>
      <c r="F13" s="55">
        <v>935000</v>
      </c>
      <c r="G13" s="906" t="s">
        <v>1735</v>
      </c>
      <c r="H13" s="906"/>
      <c r="I13" s="906"/>
      <c r="J13" s="907"/>
    </row>
    <row r="14" spans="1:10" ht="19.5" thickBot="1" x14ac:dyDescent="0.3">
      <c r="A14" s="33">
        <v>10</v>
      </c>
      <c r="B14" s="40">
        <v>4053989220</v>
      </c>
      <c r="C14" s="16" t="str">
        <f t="shared" si="0"/>
        <v>Rétirédanslesdélais</v>
      </c>
      <c r="D14" s="18">
        <v>45100</v>
      </c>
      <c r="E14" s="47"/>
      <c r="F14" s="56">
        <v>11000</v>
      </c>
      <c r="G14" s="908" t="s">
        <v>1735</v>
      </c>
      <c r="H14" s="908"/>
      <c r="I14" s="908"/>
      <c r="J14" s="909"/>
    </row>
    <row r="16" spans="1:10" x14ac:dyDescent="0.25">
      <c r="B16" s="34"/>
    </row>
  </sheetData>
  <sheetProtection selectLockedCells="1"/>
  <mergeCells count="14">
    <mergeCell ref="G6:J6"/>
    <mergeCell ref="A1:B1"/>
    <mergeCell ref="C1:D1"/>
    <mergeCell ref="A2:B2"/>
    <mergeCell ref="G4:J4"/>
    <mergeCell ref="G5:J5"/>
    <mergeCell ref="G13:J13"/>
    <mergeCell ref="G14:J14"/>
    <mergeCell ref="G7:J7"/>
    <mergeCell ref="G8:J8"/>
    <mergeCell ref="G9:J9"/>
    <mergeCell ref="G10:J10"/>
    <mergeCell ref="G11:J11"/>
    <mergeCell ref="G12:J12"/>
  </mergeCells>
  <conditionalFormatting sqref="A18:A35 B1:B1048576 C18:K35">
    <cfRule type="duplicateValues" dxfId="59" priority="6"/>
  </conditionalFormatting>
  <conditionalFormatting sqref="B1:B1048576">
    <cfRule type="duplicateValues" dxfId="58" priority="1"/>
  </conditionalFormatting>
  <conditionalFormatting sqref="B21:B22">
    <cfRule type="duplicateValues" dxfId="57" priority="10"/>
  </conditionalFormatting>
  <conditionalFormatting sqref="B23:B25">
    <cfRule type="duplicateValues" dxfId="56" priority="9"/>
  </conditionalFormatting>
  <conditionalFormatting sqref="B26:B31">
    <cfRule type="duplicateValues" dxfId="55" priority="8"/>
  </conditionalFormatting>
  <conditionalFormatting sqref="B32:B33">
    <cfRule type="duplicateValues" dxfId="54" priority="7"/>
  </conditionalFormatting>
  <conditionalFormatting sqref="B34:B35">
    <cfRule type="duplicateValues" dxfId="53" priority="2"/>
  </conditionalFormatting>
  <conditionalFormatting sqref="C5:C14">
    <cfRule type="containsText" dxfId="52" priority="11" operator="containsText" text="En Attente d'un Retrait Tardif">
      <formula>NOT(ISERROR(SEARCH("En Attente d'un Retrait Tardif",C5)))</formula>
    </cfRule>
    <cfRule type="containsText" dxfId="51" priority="12" operator="containsText" text="Rétiré dans les délais">
      <formula>NOT(ISERROR(SEARCH("Rétiré dans les délais",C5)))</formula>
    </cfRule>
  </conditionalFormatting>
  <conditionalFormatting sqref="J21:J23">
    <cfRule type="duplicateValues" dxfId="50" priority="5"/>
  </conditionalFormatting>
  <conditionalFormatting sqref="J21:J29">
    <cfRule type="duplicateValues" dxfId="49" priority="3"/>
  </conditionalFormatting>
  <conditionalFormatting sqref="J24:J29">
    <cfRule type="duplicateValues" dxfId="48" priority="4"/>
  </conditionalFormatting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1C9F-EAFA-4E49-90F8-DD4828E7AB4C}">
  <sheetPr codeName="Feuil31">
    <tabColor rgb="FF00B050"/>
  </sheetPr>
  <dimension ref="A1:J29"/>
  <sheetViews>
    <sheetView workbookViewId="0">
      <selection activeCell="F30" sqref="F30"/>
    </sheetView>
  </sheetViews>
  <sheetFormatPr baseColWidth="10" defaultColWidth="11.42578125" defaultRowHeight="15" x14ac:dyDescent="0.25"/>
  <cols>
    <col min="1" max="1" width="4.140625" customWidth="1"/>
    <col min="2" max="2" width="20.28515625" customWidth="1"/>
    <col min="3" max="3" width="46" customWidth="1"/>
    <col min="4" max="4" width="17" customWidth="1"/>
    <col min="5" max="5" width="4.28515625" customWidth="1"/>
    <col min="6" max="6" width="13.5703125" bestFit="1" customWidth="1"/>
    <col min="7" max="9" width="12.5703125" customWidth="1"/>
    <col min="10" max="10" width="20.85546875" customWidth="1"/>
  </cols>
  <sheetData>
    <row r="1" spans="1:10" ht="16.5" thickBot="1" x14ac:dyDescent="0.3">
      <c r="A1" s="762" t="s">
        <v>1736</v>
      </c>
      <c r="B1" s="762"/>
      <c r="C1" s="729"/>
      <c r="D1" s="729"/>
    </row>
    <row r="2" spans="1:10" ht="23.25" customHeight="1" thickBot="1" x14ac:dyDescent="0.3">
      <c r="A2" s="730" t="s">
        <v>0</v>
      </c>
      <c r="B2" s="730"/>
      <c r="C2" s="13">
        <v>45089</v>
      </c>
      <c r="D2" s="4">
        <f ca="1">TODAY()</f>
        <v>46096</v>
      </c>
      <c r="E2" s="5">
        <f ca="1">D2-C2</f>
        <v>1007</v>
      </c>
    </row>
    <row r="3" spans="1:10" ht="15.75" thickBot="1" x14ac:dyDescent="0.3"/>
    <row r="4" spans="1:10" ht="24" customHeight="1" thickBot="1" x14ac:dyDescent="0.3">
      <c r="A4" s="14" t="s">
        <v>1</v>
      </c>
      <c r="B4" s="26" t="s">
        <v>87</v>
      </c>
      <c r="C4" s="27" t="s">
        <v>7</v>
      </c>
      <c r="D4" s="28" t="s">
        <v>1514</v>
      </c>
      <c r="F4" s="41" t="s">
        <v>8</v>
      </c>
      <c r="G4" s="903" t="s">
        <v>11</v>
      </c>
      <c r="H4" s="796"/>
      <c r="I4" s="796"/>
      <c r="J4" s="797"/>
    </row>
    <row r="5" spans="1:10" ht="23.25" customHeight="1" x14ac:dyDescent="0.25">
      <c r="A5" s="29">
        <v>1</v>
      </c>
      <c r="B5" s="37">
        <v>2139824022</v>
      </c>
      <c r="C5" s="30" t="str">
        <f t="shared" ref="C5:C27" si="0">IF(D5="",IF($E$2&lt;=15,"EnattentedeRetrait","EnAttented'unRetraitTardif"),IF(D5-$C$2&lt;=15,"Rétirédanslesdélais",IF(D5-$C$2&gt;15,"Rétirétardivement-30000FCFAamende")))</f>
        <v>Rétirédanslesdélais</v>
      </c>
      <c r="D5" s="31">
        <v>45092</v>
      </c>
      <c r="F5" s="45"/>
      <c r="G5" s="901"/>
      <c r="H5" s="901"/>
      <c r="I5" s="901"/>
      <c r="J5" s="902"/>
    </row>
    <row r="6" spans="1:10" ht="23.25" customHeight="1" x14ac:dyDescent="0.25">
      <c r="A6" s="32">
        <v>2</v>
      </c>
      <c r="B6" s="38">
        <v>4053861461</v>
      </c>
      <c r="C6" s="15" t="str">
        <f t="shared" si="0"/>
        <v>Rétirédanslesdélais</v>
      </c>
      <c r="D6" s="17">
        <v>45100</v>
      </c>
      <c r="F6" s="42"/>
      <c r="G6" s="901"/>
      <c r="H6" s="901"/>
      <c r="I6" s="901"/>
      <c r="J6" s="902"/>
    </row>
    <row r="7" spans="1:10" ht="23.25" customHeight="1" x14ac:dyDescent="0.25">
      <c r="A7" s="32">
        <v>3</v>
      </c>
      <c r="B7" s="38">
        <v>4053861470</v>
      </c>
      <c r="C7" s="15" t="str">
        <f t="shared" si="0"/>
        <v>Rétirédanslesdélais</v>
      </c>
      <c r="D7" s="17">
        <v>45100</v>
      </c>
      <c r="F7" s="42"/>
      <c r="G7" s="901"/>
      <c r="H7" s="901"/>
      <c r="I7" s="901"/>
      <c r="J7" s="902"/>
    </row>
    <row r="8" spans="1:10" ht="23.25" customHeight="1" x14ac:dyDescent="0.25">
      <c r="A8" s="32">
        <v>4</v>
      </c>
      <c r="B8" s="38">
        <v>4053902140</v>
      </c>
      <c r="C8" s="15" t="str">
        <f t="shared" si="0"/>
        <v>Rétirédanslesdélais</v>
      </c>
      <c r="D8" s="17">
        <v>45092</v>
      </c>
      <c r="F8" s="42"/>
      <c r="G8" s="901"/>
      <c r="H8" s="901"/>
      <c r="I8" s="901"/>
      <c r="J8" s="902"/>
    </row>
    <row r="9" spans="1:10" ht="23.25" customHeight="1" x14ac:dyDescent="0.25">
      <c r="A9" s="32">
        <v>5</v>
      </c>
      <c r="B9" s="38">
        <v>4053902180</v>
      </c>
      <c r="C9" s="15" t="str">
        <f t="shared" si="0"/>
        <v>Rétirédanslesdélais</v>
      </c>
      <c r="D9" s="17">
        <v>45093</v>
      </c>
      <c r="F9" s="42">
        <v>88000</v>
      </c>
      <c r="G9" s="871" t="s">
        <v>1737</v>
      </c>
      <c r="H9" s="871"/>
      <c r="I9" s="871"/>
      <c r="J9" s="872"/>
    </row>
    <row r="10" spans="1:10" ht="18.75" x14ac:dyDescent="0.25">
      <c r="A10" s="32">
        <v>6</v>
      </c>
      <c r="B10" s="38">
        <v>4053933140</v>
      </c>
      <c r="C10" s="15" t="str">
        <f t="shared" si="0"/>
        <v>Rétirétardivement-30000FCFAamende</v>
      </c>
      <c r="D10" s="17">
        <v>45117</v>
      </c>
      <c r="F10" s="42"/>
      <c r="G10" s="901" t="s">
        <v>42</v>
      </c>
      <c r="H10" s="901"/>
      <c r="I10" s="901"/>
      <c r="J10" s="902"/>
    </row>
    <row r="11" spans="1:10" ht="18.75" x14ac:dyDescent="0.25">
      <c r="A11" s="32">
        <v>7</v>
      </c>
      <c r="B11" s="38">
        <v>4053934380</v>
      </c>
      <c r="C11" s="15" t="str">
        <f t="shared" si="0"/>
        <v>Rétirédanslesdélais</v>
      </c>
      <c r="D11" s="17">
        <v>45092</v>
      </c>
      <c r="F11" s="42"/>
      <c r="G11" s="901"/>
      <c r="H11" s="901"/>
      <c r="I11" s="901"/>
      <c r="J11" s="902"/>
    </row>
    <row r="12" spans="1:10" ht="18.75" x14ac:dyDescent="0.25">
      <c r="A12" s="32">
        <v>8</v>
      </c>
      <c r="B12" s="38">
        <v>4053935770</v>
      </c>
      <c r="C12" s="15" t="str">
        <f t="shared" si="0"/>
        <v>Rétirédanslesdélais</v>
      </c>
      <c r="D12" s="17">
        <v>45091</v>
      </c>
      <c r="F12" s="42"/>
      <c r="G12" s="901"/>
      <c r="H12" s="901"/>
      <c r="I12" s="901"/>
      <c r="J12" s="902"/>
    </row>
    <row r="13" spans="1:10" ht="18.75" x14ac:dyDescent="0.25">
      <c r="A13" s="32">
        <v>9</v>
      </c>
      <c r="B13" s="38">
        <v>4053941980</v>
      </c>
      <c r="C13" s="15" t="str">
        <f t="shared" si="0"/>
        <v>Rétirédanslesdélais</v>
      </c>
      <c r="D13" s="17">
        <v>45096</v>
      </c>
      <c r="F13" s="42"/>
      <c r="G13" s="901"/>
      <c r="H13" s="901"/>
      <c r="I13" s="901"/>
      <c r="J13" s="902"/>
    </row>
    <row r="14" spans="1:10" ht="18.75" x14ac:dyDescent="0.25">
      <c r="A14" s="32">
        <v>10</v>
      </c>
      <c r="B14" s="39">
        <v>4053864860</v>
      </c>
      <c r="C14" s="15" t="str">
        <f t="shared" si="0"/>
        <v>Rétirédanslesdélais</v>
      </c>
      <c r="D14" s="17">
        <v>45092</v>
      </c>
      <c r="F14" s="43"/>
      <c r="G14" s="901"/>
      <c r="H14" s="901"/>
      <c r="I14" s="901"/>
      <c r="J14" s="902"/>
    </row>
    <row r="15" spans="1:10" ht="18.75" x14ac:dyDescent="0.25">
      <c r="A15" s="32">
        <v>11</v>
      </c>
      <c r="B15" s="39">
        <v>4053864870</v>
      </c>
      <c r="C15" s="15" t="str">
        <f t="shared" si="0"/>
        <v>Rétirédanslesdélais</v>
      </c>
      <c r="D15" s="17">
        <v>45092</v>
      </c>
      <c r="F15" s="43"/>
      <c r="G15" s="901"/>
      <c r="H15" s="901"/>
      <c r="I15" s="901"/>
      <c r="J15" s="902"/>
    </row>
    <row r="16" spans="1:10" ht="18.75" x14ac:dyDescent="0.25">
      <c r="A16" s="32">
        <v>12</v>
      </c>
      <c r="B16" s="39">
        <v>4053864871</v>
      </c>
      <c r="C16" s="15" t="str">
        <f t="shared" si="0"/>
        <v>Rétirédanslesdélais</v>
      </c>
      <c r="D16" s="17">
        <v>45092</v>
      </c>
      <c r="F16" s="43"/>
      <c r="G16" s="901"/>
      <c r="H16" s="901"/>
      <c r="I16" s="901"/>
      <c r="J16" s="902"/>
    </row>
    <row r="17" spans="1:10" ht="18.75" x14ac:dyDescent="0.25">
      <c r="A17" s="32">
        <v>13</v>
      </c>
      <c r="B17" s="39">
        <v>4053879250</v>
      </c>
      <c r="C17" s="15" t="str">
        <f t="shared" si="0"/>
        <v>Rétirédanslesdélais</v>
      </c>
      <c r="D17" s="17">
        <v>45092</v>
      </c>
      <c r="F17" s="43">
        <v>682000</v>
      </c>
      <c r="G17" s="871" t="s">
        <v>1738</v>
      </c>
      <c r="H17" s="871"/>
      <c r="I17" s="871"/>
      <c r="J17" s="872"/>
    </row>
    <row r="18" spans="1:10" ht="18.75" x14ac:dyDescent="0.25">
      <c r="A18" s="32">
        <v>14</v>
      </c>
      <c r="B18" s="39">
        <v>4053879251</v>
      </c>
      <c r="C18" s="15" t="str">
        <f t="shared" si="0"/>
        <v>Rétirédanslesdélais</v>
      </c>
      <c r="D18" s="17">
        <v>45092</v>
      </c>
      <c r="F18" s="43">
        <v>924000</v>
      </c>
      <c r="G18" s="871" t="s">
        <v>1739</v>
      </c>
      <c r="H18" s="871"/>
      <c r="I18" s="871"/>
      <c r="J18" s="872"/>
    </row>
    <row r="19" spans="1:10" ht="18.75" x14ac:dyDescent="0.25">
      <c r="A19" s="32">
        <v>15</v>
      </c>
      <c r="B19" s="39">
        <v>4053879330</v>
      </c>
      <c r="C19" s="15" t="str">
        <f t="shared" si="0"/>
        <v>Rétirédanslesdélais</v>
      </c>
      <c r="D19" s="17">
        <v>45092</v>
      </c>
      <c r="F19" s="43">
        <v>682000</v>
      </c>
      <c r="G19" s="871" t="s">
        <v>1740</v>
      </c>
      <c r="H19" s="871"/>
      <c r="I19" s="871"/>
      <c r="J19" s="872"/>
    </row>
    <row r="20" spans="1:10" ht="18.75" x14ac:dyDescent="0.25">
      <c r="A20" s="32">
        <v>16</v>
      </c>
      <c r="B20" s="39">
        <v>4053937900</v>
      </c>
      <c r="C20" s="15" t="str">
        <f t="shared" si="0"/>
        <v>Rétirédanslesdélais</v>
      </c>
      <c r="D20" s="17">
        <v>45092</v>
      </c>
      <c r="F20" s="43"/>
      <c r="G20" s="915" t="s">
        <v>1741</v>
      </c>
      <c r="H20" s="915"/>
      <c r="I20" s="915"/>
      <c r="J20" s="916"/>
    </row>
    <row r="21" spans="1:10" ht="18.75" x14ac:dyDescent="0.25">
      <c r="A21" s="32">
        <v>17</v>
      </c>
      <c r="B21" s="39">
        <v>4053943540</v>
      </c>
      <c r="C21" s="15" t="str">
        <f t="shared" si="0"/>
        <v>Rétirédanslesdélais</v>
      </c>
      <c r="D21" s="17">
        <v>45093</v>
      </c>
      <c r="F21" s="43"/>
      <c r="G21" s="901"/>
      <c r="H21" s="901"/>
      <c r="I21" s="901"/>
      <c r="J21" s="902"/>
    </row>
    <row r="22" spans="1:10" ht="18.75" x14ac:dyDescent="0.25">
      <c r="A22" s="32">
        <v>18</v>
      </c>
      <c r="B22" s="39">
        <v>4053959840</v>
      </c>
      <c r="C22" s="15" t="str">
        <f t="shared" si="0"/>
        <v>Rétirédanslesdélais</v>
      </c>
      <c r="D22" s="17">
        <v>45091</v>
      </c>
      <c r="F22" s="43">
        <v>198000</v>
      </c>
      <c r="G22" s="853" t="s">
        <v>1742</v>
      </c>
      <c r="H22" s="853"/>
      <c r="I22" s="853"/>
      <c r="J22" s="854"/>
    </row>
    <row r="23" spans="1:10" ht="18.75" x14ac:dyDescent="0.25">
      <c r="A23" s="32">
        <v>19</v>
      </c>
      <c r="B23" s="39">
        <v>4053954990</v>
      </c>
      <c r="C23" s="15" t="str">
        <f t="shared" si="0"/>
        <v>Rétirédanslesdélais</v>
      </c>
      <c r="D23" s="17">
        <v>45100</v>
      </c>
      <c r="F23" s="43"/>
      <c r="G23" s="901"/>
      <c r="H23" s="901"/>
      <c r="I23" s="901"/>
      <c r="J23" s="902"/>
    </row>
    <row r="24" spans="1:10" ht="18.75" x14ac:dyDescent="0.25">
      <c r="A24" s="32">
        <v>20</v>
      </c>
      <c r="B24" s="39">
        <v>4053951240</v>
      </c>
      <c r="C24" s="15" t="str">
        <f t="shared" si="0"/>
        <v>Rétirédanslesdélais</v>
      </c>
      <c r="D24" s="36">
        <v>45096</v>
      </c>
      <c r="F24" s="43"/>
      <c r="G24" s="901"/>
      <c r="H24" s="901"/>
      <c r="I24" s="901"/>
      <c r="J24" s="902"/>
    </row>
    <row r="25" spans="1:10" ht="18.75" x14ac:dyDescent="0.25">
      <c r="A25" s="32">
        <v>21</v>
      </c>
      <c r="B25" s="39">
        <v>4053954950</v>
      </c>
      <c r="C25" s="15" t="str">
        <f t="shared" si="0"/>
        <v>Rétirédanslesdélais</v>
      </c>
      <c r="D25" s="36">
        <v>45100</v>
      </c>
      <c r="F25" s="43"/>
      <c r="G25" s="901"/>
      <c r="H25" s="901"/>
      <c r="I25" s="901"/>
      <c r="J25" s="902"/>
    </row>
    <row r="26" spans="1:10" ht="18.75" x14ac:dyDescent="0.25">
      <c r="A26" s="32">
        <v>22</v>
      </c>
      <c r="B26" s="39">
        <v>4053957450</v>
      </c>
      <c r="C26" s="15" t="str">
        <f t="shared" si="0"/>
        <v>Rétirédanslesdélais</v>
      </c>
      <c r="D26" s="36">
        <v>45100</v>
      </c>
      <c r="F26" s="43"/>
      <c r="G26" s="901"/>
      <c r="H26" s="901"/>
      <c r="I26" s="901"/>
      <c r="J26" s="902"/>
    </row>
    <row r="27" spans="1:10" ht="19.5" thickBot="1" x14ac:dyDescent="0.3">
      <c r="A27" s="32">
        <v>23</v>
      </c>
      <c r="B27" s="40">
        <v>4053962340</v>
      </c>
      <c r="C27" s="16" t="str">
        <f t="shared" si="0"/>
        <v>Rétirédanslesdélais</v>
      </c>
      <c r="D27" s="18">
        <v>45096</v>
      </c>
      <c r="F27" s="44"/>
      <c r="G27" s="913"/>
      <c r="H27" s="913"/>
      <c r="I27" s="913"/>
      <c r="J27" s="914"/>
    </row>
    <row r="29" spans="1:10" x14ac:dyDescent="0.25">
      <c r="B29" s="34"/>
    </row>
  </sheetData>
  <sheetProtection selectLockedCells="1"/>
  <mergeCells count="27">
    <mergeCell ref="G6:J6"/>
    <mergeCell ref="A1:B1"/>
    <mergeCell ref="C1:D1"/>
    <mergeCell ref="A2:B2"/>
    <mergeCell ref="G4:J4"/>
    <mergeCell ref="G5:J5"/>
    <mergeCell ref="G18:J18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25:J25"/>
    <mergeCell ref="G26:J26"/>
    <mergeCell ref="G27:J27"/>
    <mergeCell ref="G19:J19"/>
    <mergeCell ref="G20:J20"/>
    <mergeCell ref="G21:J21"/>
    <mergeCell ref="G22:J22"/>
    <mergeCell ref="G23:J23"/>
    <mergeCell ref="G24:J24"/>
  </mergeCells>
  <conditionalFormatting sqref="A31:A48 B1:B1048576 C31:K48">
    <cfRule type="duplicateValues" dxfId="47" priority="6"/>
  </conditionalFormatting>
  <conditionalFormatting sqref="B1:B1048576">
    <cfRule type="duplicateValues" dxfId="46" priority="1"/>
  </conditionalFormatting>
  <conditionalFormatting sqref="B34:B35">
    <cfRule type="duplicateValues" dxfId="45" priority="10"/>
  </conditionalFormatting>
  <conditionalFormatting sqref="B36:B38">
    <cfRule type="duplicateValues" dxfId="44" priority="9"/>
  </conditionalFormatting>
  <conditionalFormatting sqref="B39:B44">
    <cfRule type="duplicateValues" dxfId="43" priority="8"/>
  </conditionalFormatting>
  <conditionalFormatting sqref="B45:B46">
    <cfRule type="duplicateValues" dxfId="42" priority="7"/>
  </conditionalFormatting>
  <conditionalFormatting sqref="B47:B48">
    <cfRule type="duplicateValues" dxfId="41" priority="2"/>
  </conditionalFormatting>
  <conditionalFormatting sqref="C5:C27">
    <cfRule type="containsText" dxfId="40" priority="11" operator="containsText" text="En Attente d'un Retrait Tardif">
      <formula>NOT(ISERROR(SEARCH("En Attente d'un Retrait Tardif",C5)))</formula>
    </cfRule>
    <cfRule type="containsText" dxfId="39" priority="12" operator="containsText" text="Rétiré dans les délais">
      <formula>NOT(ISERROR(SEARCH("Rétiré dans les délais",C5)))</formula>
    </cfRule>
  </conditionalFormatting>
  <conditionalFormatting sqref="J34:J36">
    <cfRule type="duplicateValues" dxfId="38" priority="5"/>
  </conditionalFormatting>
  <conditionalFormatting sqref="J34:J42">
    <cfRule type="duplicateValues" dxfId="37" priority="3"/>
  </conditionalFormatting>
  <conditionalFormatting sqref="J37:J42">
    <cfRule type="duplicateValues" dxfId="36" priority="4"/>
  </conditionalFormatting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659B-7467-4E5F-9DCC-DCA3ADBC58A4}">
  <sheetPr codeName="Feuil32">
    <tabColor rgb="FF00B050"/>
  </sheetPr>
  <dimension ref="A1:E16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6" customWidth="1"/>
    <col min="2" max="2" width="26.28515625" customWidth="1"/>
    <col min="3" max="3" width="46" customWidth="1"/>
    <col min="4" max="4" width="18.28515625" customWidth="1"/>
    <col min="5" max="5" width="4.42578125" customWidth="1"/>
  </cols>
  <sheetData>
    <row r="1" spans="1:5" ht="19.5" thickBot="1" x14ac:dyDescent="0.35">
      <c r="A1" s="917" t="s">
        <v>1743</v>
      </c>
      <c r="B1" s="917"/>
      <c r="C1" s="729"/>
      <c r="D1" s="729"/>
    </row>
    <row r="2" spans="1:5" ht="23.25" customHeight="1" thickBot="1" x14ac:dyDescent="0.3">
      <c r="A2" s="730" t="s">
        <v>0</v>
      </c>
      <c r="B2" s="730"/>
      <c r="C2" s="13">
        <v>45014</v>
      </c>
      <c r="D2" s="4">
        <f ca="1">TODAY()</f>
        <v>46096</v>
      </c>
      <c r="E2" s="5">
        <f ca="1">D2-C2</f>
        <v>1082</v>
      </c>
    </row>
    <row r="3" spans="1:5" ht="15.75" thickBot="1" x14ac:dyDescent="0.3"/>
    <row r="4" spans="1:5" ht="24" customHeight="1" x14ac:dyDescent="0.25">
      <c r="A4" s="7" t="s">
        <v>1</v>
      </c>
      <c r="B4" s="10" t="s">
        <v>87</v>
      </c>
      <c r="C4" s="11" t="s">
        <v>7</v>
      </c>
      <c r="D4" s="12" t="s">
        <v>1514</v>
      </c>
    </row>
    <row r="5" spans="1:5" ht="23.25" customHeight="1" x14ac:dyDescent="0.25">
      <c r="A5" s="8">
        <v>1</v>
      </c>
      <c r="B5" s="21">
        <v>2139412660</v>
      </c>
      <c r="C5" s="15" t="str">
        <f t="shared" ref="C5:C16" si="0">IF(D5="",IF($E$2&lt;=15,"EnattentedeRetrait","EnAttented'unRetraitTardif"),IF(D5-$C$2&lt;=15,"Rétirédanslesdélais",IF(D5-$C$2&gt;15,"Rétirétardivement-30000FCFAamende")))</f>
        <v>Rétirédanslesdélais</v>
      </c>
      <c r="D5" s="17">
        <v>45015</v>
      </c>
    </row>
    <row r="6" spans="1:5" ht="23.25" customHeight="1" x14ac:dyDescent="0.25">
      <c r="A6" s="9">
        <v>2</v>
      </c>
      <c r="B6" s="21">
        <v>4053755880</v>
      </c>
      <c r="C6" s="15" t="str">
        <f t="shared" si="0"/>
        <v>Rétirétardivement-30000FCFAamende</v>
      </c>
      <c r="D6" s="17">
        <v>45042</v>
      </c>
    </row>
    <row r="7" spans="1:5" ht="23.25" customHeight="1" x14ac:dyDescent="0.25">
      <c r="A7" s="9">
        <v>3</v>
      </c>
      <c r="B7" s="21">
        <v>4053762700</v>
      </c>
      <c r="C7" s="15" t="str">
        <f t="shared" si="0"/>
        <v>Rétirédanslesdélais</v>
      </c>
      <c r="D7" s="17">
        <v>45028</v>
      </c>
    </row>
    <row r="8" spans="1:5" ht="23.25" customHeight="1" x14ac:dyDescent="0.25">
      <c r="A8" s="9">
        <v>4</v>
      </c>
      <c r="B8" s="21">
        <v>4053763600</v>
      </c>
      <c r="C8" s="15" t="str">
        <f t="shared" si="0"/>
        <v>Rétirédanslesdélais</v>
      </c>
      <c r="D8" s="17">
        <v>45021</v>
      </c>
    </row>
    <row r="9" spans="1:5" ht="23.25" customHeight="1" x14ac:dyDescent="0.25">
      <c r="A9" s="9">
        <v>5</v>
      </c>
      <c r="B9" s="21">
        <v>4053828330</v>
      </c>
      <c r="C9" s="15" t="str">
        <f t="shared" si="0"/>
        <v>Rétirédanslesdélais</v>
      </c>
      <c r="D9" s="17">
        <v>45020</v>
      </c>
    </row>
    <row r="10" spans="1:5" ht="19.5" x14ac:dyDescent="0.25">
      <c r="A10" s="9">
        <v>6</v>
      </c>
      <c r="B10" s="21">
        <v>4053769230</v>
      </c>
      <c r="C10" s="15" t="str">
        <f t="shared" si="0"/>
        <v>Rétirédanslesdélais</v>
      </c>
      <c r="D10" s="17">
        <v>45020</v>
      </c>
    </row>
    <row r="11" spans="1:5" ht="19.5" x14ac:dyDescent="0.25">
      <c r="A11" s="9">
        <v>7</v>
      </c>
      <c r="B11" s="21">
        <v>4053774350</v>
      </c>
      <c r="C11" s="15" t="str">
        <f t="shared" si="0"/>
        <v>Rétirétardivement-30000FCFAamende</v>
      </c>
      <c r="D11" s="17">
        <v>45033</v>
      </c>
    </row>
    <row r="12" spans="1:5" ht="19.5" x14ac:dyDescent="0.25">
      <c r="A12" s="9">
        <v>8</v>
      </c>
      <c r="B12" s="21">
        <v>4053774359</v>
      </c>
      <c r="C12" s="15" t="str">
        <f t="shared" si="0"/>
        <v>Rétirétardivement-30000FCFAamende</v>
      </c>
      <c r="D12" s="17">
        <v>45033</v>
      </c>
    </row>
    <row r="13" spans="1:5" ht="19.5" x14ac:dyDescent="0.25">
      <c r="A13" s="9">
        <v>9</v>
      </c>
      <c r="B13" s="21">
        <v>4053774370</v>
      </c>
      <c r="C13" s="15" t="str">
        <f t="shared" si="0"/>
        <v>Rétirédanslesdélais</v>
      </c>
      <c r="D13" s="17">
        <v>45029</v>
      </c>
    </row>
    <row r="14" spans="1:5" ht="19.5" x14ac:dyDescent="0.25">
      <c r="A14" s="9">
        <v>10</v>
      </c>
      <c r="B14" s="21">
        <v>4053774379</v>
      </c>
      <c r="C14" s="15" t="str">
        <f t="shared" si="0"/>
        <v>Rétirédanslesdélais</v>
      </c>
      <c r="D14" s="17">
        <v>45029</v>
      </c>
    </row>
    <row r="15" spans="1:5" ht="19.5" x14ac:dyDescent="0.25">
      <c r="A15" s="9">
        <v>11</v>
      </c>
      <c r="B15" s="21">
        <v>4053812350</v>
      </c>
      <c r="C15" s="15" t="str">
        <f t="shared" si="0"/>
        <v>Rétirédanslesdélais</v>
      </c>
      <c r="D15" s="17">
        <v>45028</v>
      </c>
    </row>
    <row r="16" spans="1:5" ht="20.25" thickBot="1" x14ac:dyDescent="0.3">
      <c r="A16" s="9">
        <v>12</v>
      </c>
      <c r="B16" s="22">
        <v>2139238140</v>
      </c>
      <c r="C16" s="16" t="str">
        <f t="shared" si="0"/>
        <v>Rétirétardivement-30000FCFAamende</v>
      </c>
      <c r="D16" s="18">
        <v>45033</v>
      </c>
    </row>
  </sheetData>
  <sheetProtection selectLockedCells="1"/>
  <mergeCells count="3">
    <mergeCell ref="A1:B1"/>
    <mergeCell ref="C1:D1"/>
    <mergeCell ref="A2:B2"/>
  </mergeCells>
  <conditionalFormatting sqref="B1:B1048576">
    <cfRule type="duplicateValues" dxfId="35" priority="5"/>
  </conditionalFormatting>
  <conditionalFormatting sqref="C5:C16">
    <cfRule type="containsText" dxfId="34" priority="1" operator="containsText" text="En Attente d'un Retrait Tardif">
      <formula>NOT(ISERROR(SEARCH("En Attente d'un Retrait Tardif",C5)))</formula>
    </cfRule>
    <cfRule type="containsText" dxfId="33" priority="2" operator="containsText" text="Rétiré dans les délais">
      <formula>NOT(ISERROR(SEARCH("Rétiré dans les délais",C5)))</formula>
    </cfRule>
  </conditionalFormatting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F50C-612F-4604-8E0C-5D8482D00326}">
  <sheetPr codeName="Feuil33">
    <tabColor rgb="FF00B050"/>
  </sheetPr>
  <dimension ref="A1:E14"/>
  <sheetViews>
    <sheetView workbookViewId="0">
      <selection activeCell="B13" sqref="B13"/>
    </sheetView>
  </sheetViews>
  <sheetFormatPr baseColWidth="10" defaultColWidth="11.42578125" defaultRowHeight="15" x14ac:dyDescent="0.25"/>
  <cols>
    <col min="1" max="1" width="6" customWidth="1"/>
    <col min="2" max="2" width="22.85546875" customWidth="1"/>
    <col min="3" max="3" width="41.42578125" customWidth="1"/>
    <col min="4" max="4" width="16" customWidth="1"/>
    <col min="5" max="5" width="4.7109375" customWidth="1"/>
  </cols>
  <sheetData>
    <row r="1" spans="1:5" ht="19.5" thickBot="1" x14ac:dyDescent="0.35">
      <c r="A1" s="917" t="s">
        <v>1744</v>
      </c>
      <c r="B1" s="917"/>
      <c r="C1" s="729"/>
      <c r="D1" s="729"/>
    </row>
    <row r="2" spans="1:5" ht="23.25" customHeight="1" thickBot="1" x14ac:dyDescent="0.3">
      <c r="A2" s="730" t="s">
        <v>0</v>
      </c>
      <c r="B2" s="730"/>
      <c r="C2" s="13">
        <v>45028</v>
      </c>
      <c r="D2" s="4">
        <f ca="1">TODAY()</f>
        <v>46096</v>
      </c>
      <c r="E2" s="5">
        <f ca="1">D2-C2</f>
        <v>1068</v>
      </c>
    </row>
    <row r="3" spans="1:5" ht="15.75" thickBot="1" x14ac:dyDescent="0.3"/>
    <row r="4" spans="1:5" ht="24" customHeight="1" thickBot="1" x14ac:dyDescent="0.3">
      <c r="A4" s="14" t="s">
        <v>1</v>
      </c>
      <c r="B4" s="10" t="s">
        <v>87</v>
      </c>
      <c r="C4" s="11" t="s">
        <v>7</v>
      </c>
      <c r="D4" s="12" t="s">
        <v>1514</v>
      </c>
    </row>
    <row r="5" spans="1:5" ht="23.25" customHeight="1" x14ac:dyDescent="0.25">
      <c r="A5" s="1">
        <v>1</v>
      </c>
      <c r="B5" s="21">
        <v>2139822130</v>
      </c>
      <c r="C5" s="15" t="str">
        <f t="shared" ref="C5:C14" si="0">IF(D5="",IF($E$2&lt;=15,"EnattentedeRetrait","EnAttented'unRetraitTardif"),IF(D5-$C$2&lt;=15,"Rétirédanslesdélais",IF(D5-$C$2&gt;15,"Rétirétardivement-30000FCFAamende")))</f>
        <v>Rétirédanslesdélais</v>
      </c>
      <c r="D5" s="17">
        <v>45030</v>
      </c>
    </row>
    <row r="6" spans="1:5" ht="23.25" customHeight="1" x14ac:dyDescent="0.25">
      <c r="A6" s="2">
        <v>2</v>
      </c>
      <c r="B6" s="21">
        <v>4053601540</v>
      </c>
      <c r="C6" s="15" t="str">
        <f t="shared" si="0"/>
        <v>Rétirédanslesdélais</v>
      </c>
      <c r="D6" s="17">
        <v>45041</v>
      </c>
    </row>
    <row r="7" spans="1:5" ht="23.25" customHeight="1" x14ac:dyDescent="0.25">
      <c r="A7" s="2">
        <v>3</v>
      </c>
      <c r="B7" s="21">
        <v>4053866450</v>
      </c>
      <c r="C7" s="15" t="str">
        <f t="shared" si="0"/>
        <v>Rétirédanslesdélais</v>
      </c>
      <c r="D7" s="17">
        <v>45036</v>
      </c>
    </row>
    <row r="8" spans="1:5" ht="23.25" customHeight="1" x14ac:dyDescent="0.25">
      <c r="A8" s="2">
        <v>4</v>
      </c>
      <c r="B8" s="21">
        <v>4053830500</v>
      </c>
      <c r="C8" s="15" t="str">
        <f t="shared" si="0"/>
        <v>Rétirédanslesdélais</v>
      </c>
      <c r="D8" s="17">
        <v>45040</v>
      </c>
    </row>
    <row r="9" spans="1:5" ht="23.25" customHeight="1" x14ac:dyDescent="0.25">
      <c r="A9" s="2">
        <v>5</v>
      </c>
      <c r="B9" s="21">
        <v>4053837360</v>
      </c>
      <c r="C9" s="15" t="str">
        <f t="shared" si="0"/>
        <v>Rétirédanslesdélais</v>
      </c>
      <c r="D9" s="17">
        <v>45042</v>
      </c>
    </row>
    <row r="10" spans="1:5" ht="19.5" x14ac:dyDescent="0.25">
      <c r="A10" s="2">
        <v>6</v>
      </c>
      <c r="B10" s="21">
        <v>4053844760</v>
      </c>
      <c r="C10" s="15" t="str">
        <f t="shared" si="0"/>
        <v>Rétirétardivement-30000FCFAamende</v>
      </c>
      <c r="D10" s="17">
        <v>45051</v>
      </c>
    </row>
    <row r="11" spans="1:5" ht="19.5" x14ac:dyDescent="0.25">
      <c r="A11" s="2">
        <v>7</v>
      </c>
      <c r="B11" s="21">
        <v>4053846360</v>
      </c>
      <c r="C11" s="15" t="str">
        <f t="shared" si="0"/>
        <v>Rétirétardivement-30000FCFAamende</v>
      </c>
      <c r="D11" s="17">
        <v>45048</v>
      </c>
    </row>
    <row r="12" spans="1:5" ht="19.5" x14ac:dyDescent="0.25">
      <c r="A12" s="2">
        <v>8</v>
      </c>
      <c r="B12" s="21">
        <v>4053847000</v>
      </c>
      <c r="C12" s="15" t="str">
        <f t="shared" si="0"/>
        <v>Rétirétardivement-30000FCFAamende</v>
      </c>
      <c r="D12" s="17">
        <v>45051</v>
      </c>
    </row>
    <row r="13" spans="1:5" ht="19.5" x14ac:dyDescent="0.25">
      <c r="A13" s="2">
        <v>9</v>
      </c>
      <c r="B13" s="21">
        <v>4053847009</v>
      </c>
      <c r="C13" s="15" t="str">
        <f t="shared" si="0"/>
        <v>Rétirétardivement-30000FCFAamende</v>
      </c>
      <c r="D13" s="17">
        <v>45051</v>
      </c>
    </row>
    <row r="14" spans="1:5" ht="20.25" thickBot="1" x14ac:dyDescent="0.3">
      <c r="A14" s="3">
        <v>10</v>
      </c>
      <c r="B14" s="22">
        <v>4053869340</v>
      </c>
      <c r="C14" s="16" t="str">
        <f t="shared" si="0"/>
        <v>Rétirédanslesdélais</v>
      </c>
      <c r="D14" s="18">
        <v>45035</v>
      </c>
    </row>
  </sheetData>
  <sheetProtection selectLockedCells="1"/>
  <mergeCells count="3">
    <mergeCell ref="A1:B1"/>
    <mergeCell ref="C1:D1"/>
    <mergeCell ref="A2:B2"/>
  </mergeCells>
  <conditionalFormatting sqref="B1:B1048576">
    <cfRule type="duplicateValues" dxfId="32" priority="5"/>
  </conditionalFormatting>
  <conditionalFormatting sqref="C5:C14">
    <cfRule type="containsText" dxfId="31" priority="1" operator="containsText" text="En Attente d'un Retrait Tardif">
      <formula>NOT(ISERROR(SEARCH("En Attente d'un Retrait Tardif",C5)))</formula>
    </cfRule>
    <cfRule type="containsText" dxfId="30" priority="2" operator="containsText" text="Rétiré dans les délais">
      <formula>NOT(ISERROR(SEARCH("Rétiré dans les délais",C5)))</formula>
    </cfRule>
  </conditionalFormatting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BA5B-45DE-4EED-8F1D-972A6AEED21F}">
  <sheetPr codeName="Feuil34">
    <tabColor rgb="FF00B050"/>
  </sheetPr>
  <dimension ref="A1:E12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6" customWidth="1"/>
    <col min="2" max="2" width="26" customWidth="1"/>
    <col min="3" max="3" width="46" customWidth="1"/>
    <col min="4" max="4" width="18.28515625" customWidth="1"/>
    <col min="5" max="5" width="4" customWidth="1"/>
  </cols>
  <sheetData>
    <row r="1" spans="1:5" ht="19.5" thickBot="1" x14ac:dyDescent="0.35">
      <c r="A1" s="917" t="s">
        <v>1745</v>
      </c>
      <c r="B1" s="917"/>
      <c r="C1" s="729"/>
      <c r="D1" s="729"/>
    </row>
    <row r="2" spans="1:5" ht="23.25" customHeight="1" thickBot="1" x14ac:dyDescent="0.3">
      <c r="A2" s="730" t="s">
        <v>0</v>
      </c>
      <c r="B2" s="730"/>
      <c r="C2" s="13">
        <v>45050</v>
      </c>
      <c r="D2" s="4">
        <f ca="1">TODAY()</f>
        <v>46096</v>
      </c>
      <c r="E2" s="5">
        <f ca="1">D2-C2</f>
        <v>1046</v>
      </c>
    </row>
    <row r="3" spans="1:5" ht="15.75" thickBot="1" x14ac:dyDescent="0.3"/>
    <row r="4" spans="1:5" ht="24" customHeight="1" x14ac:dyDescent="0.25">
      <c r="A4" s="7" t="s">
        <v>1</v>
      </c>
      <c r="B4" s="10" t="s">
        <v>87</v>
      </c>
      <c r="C4" s="11" t="s">
        <v>7</v>
      </c>
      <c r="D4" s="12" t="s">
        <v>1514</v>
      </c>
    </row>
    <row r="5" spans="1:5" ht="23.25" customHeight="1" x14ac:dyDescent="0.25">
      <c r="A5" s="8">
        <v>1</v>
      </c>
      <c r="B5" s="21">
        <v>4053763570</v>
      </c>
      <c r="C5" s="15" t="str">
        <f t="shared" ref="C5:C12" si="0">IF(D5="",IF($E$2&lt;=15,"EnattentedeRetrait","EnAttented'unRetraitTardif"),IF(D5-$C$2&lt;=15,"Rétirédanslesdélais",IF(D5-$C$2&gt;15,"Rétirétardivement-30000FCFAamende")))</f>
        <v>Rétirédanslesdélais</v>
      </c>
      <c r="D5" s="17">
        <v>45056</v>
      </c>
    </row>
    <row r="6" spans="1:5" ht="23.25" customHeight="1" x14ac:dyDescent="0.25">
      <c r="A6" s="9">
        <v>2</v>
      </c>
      <c r="B6" s="21">
        <v>4053763350</v>
      </c>
      <c r="C6" s="15" t="str">
        <f t="shared" si="0"/>
        <v>Rétirédanslesdélais</v>
      </c>
      <c r="D6" s="17">
        <v>45056</v>
      </c>
    </row>
    <row r="7" spans="1:5" ht="23.25" customHeight="1" x14ac:dyDescent="0.25">
      <c r="A7" s="9">
        <v>3</v>
      </c>
      <c r="B7" s="21">
        <v>4053904960</v>
      </c>
      <c r="C7" s="15" t="str">
        <f t="shared" si="0"/>
        <v>Rétirétardivement-30000FCFAamende</v>
      </c>
      <c r="D7" s="17">
        <v>45076</v>
      </c>
    </row>
    <row r="8" spans="1:5" ht="23.25" customHeight="1" x14ac:dyDescent="0.25">
      <c r="A8" s="9">
        <v>4</v>
      </c>
      <c r="B8" s="21">
        <v>4053804670</v>
      </c>
      <c r="C8" s="15" t="str">
        <f t="shared" si="0"/>
        <v>Rétirétardivement-30000FCFAamende</v>
      </c>
      <c r="D8" s="17">
        <v>45070</v>
      </c>
    </row>
    <row r="9" spans="1:5" ht="23.25" customHeight="1" x14ac:dyDescent="0.25">
      <c r="A9" s="9">
        <v>5</v>
      </c>
      <c r="B9" s="21">
        <v>4053812351</v>
      </c>
      <c r="C9" s="15" t="str">
        <f t="shared" si="0"/>
        <v>Rétirédanslesdélais</v>
      </c>
      <c r="D9" s="17">
        <v>45054</v>
      </c>
    </row>
    <row r="10" spans="1:5" ht="19.5" x14ac:dyDescent="0.25">
      <c r="A10" s="9">
        <v>6</v>
      </c>
      <c r="B10" s="21">
        <v>4053847001</v>
      </c>
      <c r="C10" s="15" t="str">
        <f t="shared" si="0"/>
        <v>Rétirétardivement-30000FCFAamende</v>
      </c>
      <c r="D10" s="17">
        <v>45082</v>
      </c>
    </row>
    <row r="11" spans="1:5" ht="19.5" x14ac:dyDescent="0.25">
      <c r="A11" s="9">
        <v>7</v>
      </c>
      <c r="B11" s="21">
        <v>4053873290</v>
      </c>
      <c r="C11" s="15" t="str">
        <f t="shared" si="0"/>
        <v>Rétirétardivement-30000FCFAamende</v>
      </c>
      <c r="D11" s="17">
        <v>45070</v>
      </c>
    </row>
    <row r="12" spans="1:5" ht="20.25" thickBot="1" x14ac:dyDescent="0.3">
      <c r="A12" s="9">
        <v>8</v>
      </c>
      <c r="B12" s="22">
        <v>4053866220</v>
      </c>
      <c r="C12" s="16" t="str">
        <f t="shared" si="0"/>
        <v>Rétirédanslesdélais</v>
      </c>
      <c r="D12" s="18">
        <v>45054</v>
      </c>
    </row>
  </sheetData>
  <sheetProtection selectLockedCells="1"/>
  <mergeCells count="3">
    <mergeCell ref="A1:B1"/>
    <mergeCell ref="C1:D1"/>
    <mergeCell ref="A2:B2"/>
  </mergeCells>
  <conditionalFormatting sqref="B1:B1048576">
    <cfRule type="duplicateValues" dxfId="29" priority="5"/>
  </conditionalFormatting>
  <conditionalFormatting sqref="C1:C4 C13:C1048576">
    <cfRule type="containsText" dxfId="28" priority="4" operator="containsText" text="Rétiré à temps">
      <formula>NOT(ISERROR(SEARCH("Rétiré à temps",C1)))</formula>
    </cfRule>
  </conditionalFormatting>
  <conditionalFormatting sqref="C1:C1048576">
    <cfRule type="containsText" dxfId="27" priority="1" operator="containsText" text="En Attente d'un Retrait Tardif">
      <formula>NOT(ISERROR(SEARCH("En Attente d'un Retrait Tardif",C1)))</formula>
    </cfRule>
  </conditionalFormatting>
  <conditionalFormatting sqref="C5:C12">
    <cfRule type="containsText" dxfId="26" priority="2" operator="containsText" text="Rétiré dans les délais">
      <formula>NOT(ISERROR(SEARCH("Rétiré dans les délais",C5)))</formula>
    </cfRule>
  </conditionalFormatting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E891-A409-44E8-AAA8-C8113BFFA593}">
  <sheetPr codeName="Feuil35">
    <tabColor rgb="FF00B050"/>
  </sheetPr>
  <dimension ref="A1:E9"/>
  <sheetViews>
    <sheetView workbookViewId="0">
      <selection activeCell="D27" sqref="D27"/>
    </sheetView>
  </sheetViews>
  <sheetFormatPr baseColWidth="10" defaultColWidth="11.42578125" defaultRowHeight="15" x14ac:dyDescent="0.25"/>
  <cols>
    <col min="1" max="1" width="6" customWidth="1"/>
    <col min="2" max="2" width="26.28515625" customWidth="1"/>
    <col min="3" max="3" width="40.28515625" customWidth="1"/>
    <col min="4" max="4" width="18.28515625" customWidth="1"/>
    <col min="5" max="5" width="4.28515625" customWidth="1"/>
  </cols>
  <sheetData>
    <row r="1" spans="1:5" ht="19.5" thickBot="1" x14ac:dyDescent="0.35">
      <c r="A1" s="917" t="s">
        <v>1746</v>
      </c>
      <c r="B1" s="917"/>
      <c r="C1" s="729"/>
      <c r="D1" s="729"/>
    </row>
    <row r="2" spans="1:5" ht="23.25" customHeight="1" thickBot="1" x14ac:dyDescent="0.3">
      <c r="A2" s="730" t="s">
        <v>0</v>
      </c>
      <c r="B2" s="730"/>
      <c r="C2" s="13">
        <v>45063</v>
      </c>
      <c r="D2" s="4">
        <f ca="1">TODAY()</f>
        <v>46096</v>
      </c>
      <c r="E2" s="5">
        <f ca="1">D2-C2</f>
        <v>1033</v>
      </c>
    </row>
    <row r="3" spans="1:5" ht="15.75" thickBot="1" x14ac:dyDescent="0.3"/>
    <row r="4" spans="1:5" ht="24" customHeight="1" x14ac:dyDescent="0.25">
      <c r="A4" s="7" t="s">
        <v>1</v>
      </c>
      <c r="B4" s="10" t="s">
        <v>87</v>
      </c>
      <c r="C4" s="11" t="s">
        <v>7</v>
      </c>
      <c r="D4" s="12" t="s">
        <v>1514</v>
      </c>
    </row>
    <row r="5" spans="1:5" ht="23.25" customHeight="1" x14ac:dyDescent="0.25">
      <c r="A5" s="8">
        <v>1</v>
      </c>
      <c r="B5" s="21">
        <v>4053908510</v>
      </c>
      <c r="C5" s="15" t="str">
        <f>IF(D5="",IF($E$2&lt;=15,"EnattentedeRetrait","EnAttented'unRetraitTardif"),IF(D5-$C$2&lt;=15,"Rétirédanslesdélais",IF(D5-$C$2&gt;15,"Rétirétardivement-30000FCFAamende")))</f>
        <v>Rétirédanslesdélais</v>
      </c>
      <c r="D5" s="17">
        <v>45077</v>
      </c>
    </row>
    <row r="6" spans="1:5" ht="23.25" customHeight="1" x14ac:dyDescent="0.25">
      <c r="A6" s="9">
        <v>2</v>
      </c>
      <c r="B6" s="21">
        <v>4053909230</v>
      </c>
      <c r="C6" s="15" t="str">
        <f>IF(D6="",IF($E$2&lt;=15,"EnattentedeRetrait","EnAttented'unRetraitTardif"),IF(D6-$C$2&lt;=15,"Rétirédanslesdélais",IF(D6-$C$2&gt;15,"Rétirétardivement-30000FCFAamende")))</f>
        <v>Rétirédanslesdélais</v>
      </c>
      <c r="D6" s="17">
        <v>45076</v>
      </c>
    </row>
    <row r="7" spans="1:5" ht="23.25" customHeight="1" x14ac:dyDescent="0.25">
      <c r="A7" s="9">
        <v>3</v>
      </c>
      <c r="B7" s="21">
        <v>4053889360</v>
      </c>
      <c r="C7" s="15" t="str">
        <f>IF(D7="",IF($E$2&lt;=15,"EnattentedeRetrait","EnAttented'unRetraitTardif"),IF(D7-$C$2&lt;=15,"Rétirédanslesdélais",IF(D7-$C$2&gt;15,"Rétirétardivement-30000FCFAamende")))</f>
        <v>Rétirédanslesdélais</v>
      </c>
      <c r="D7" s="17">
        <v>45070</v>
      </c>
    </row>
    <row r="8" spans="1:5" ht="23.25" customHeight="1" x14ac:dyDescent="0.25">
      <c r="A8" s="9">
        <v>4</v>
      </c>
      <c r="B8" s="21">
        <v>4053876851</v>
      </c>
      <c r="C8" s="15" t="str">
        <f>IF(D8="",IF($E$2&lt;=15,"EnattentedeRetrait","EnAttented'unRetraitTardif"),IF(D8-$C$2&lt;=15,"Rétirédanslesdélais",IF(D8-$C$2&gt;15,"Rétirétardivement-30000FCFAamende")))</f>
        <v>Rétirédanslesdélais</v>
      </c>
      <c r="D8" s="17">
        <v>45068</v>
      </c>
    </row>
    <row r="9" spans="1:5" ht="23.25" customHeight="1" thickBot="1" x14ac:dyDescent="0.3">
      <c r="A9" s="9">
        <v>5</v>
      </c>
      <c r="B9" s="22">
        <v>4053861469</v>
      </c>
      <c r="C9" s="16" t="str">
        <f>IF(D9="",IF($E$2&lt;=15,"EnattentedeRetrait","EnAttented'unRetraitTardif"),IF(D9-$C$2&lt;=15,"Rétirédanslesdélais",IF(D9-$C$2&gt;15,"Rétirétardivement-30000FCFAamende")))</f>
        <v>Rétirétardivement-30000FCFAamende</v>
      </c>
      <c r="D9" s="18">
        <v>45082</v>
      </c>
    </row>
  </sheetData>
  <sheetProtection selectLockedCells="1"/>
  <mergeCells count="3">
    <mergeCell ref="A2:B2"/>
    <mergeCell ref="A1:B1"/>
    <mergeCell ref="C1:D1"/>
  </mergeCells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1AFC-E8F9-45AD-B572-7BD3B3241078}">
  <sheetPr codeName="Feuil36">
    <tabColor rgb="FF00B050"/>
  </sheetPr>
  <dimension ref="A1:F12"/>
  <sheetViews>
    <sheetView workbookViewId="0">
      <selection activeCell="E20" sqref="E20"/>
    </sheetView>
  </sheetViews>
  <sheetFormatPr baseColWidth="10" defaultColWidth="11.42578125" defaultRowHeight="15" x14ac:dyDescent="0.25"/>
  <cols>
    <col min="1" max="1" width="6" customWidth="1"/>
    <col min="2" max="2" width="22.42578125" customWidth="1"/>
    <col min="3" max="3" width="39.28515625" customWidth="1"/>
    <col min="4" max="4" width="18.28515625" customWidth="1"/>
    <col min="5" max="5" width="24.85546875" customWidth="1"/>
  </cols>
  <sheetData>
    <row r="1" spans="1:6" ht="19.5" thickBot="1" x14ac:dyDescent="0.35">
      <c r="A1" s="917" t="s">
        <v>1747</v>
      </c>
      <c r="B1" s="917"/>
      <c r="C1" s="729"/>
      <c r="D1" s="729"/>
    </row>
    <row r="2" spans="1:6" ht="23.25" customHeight="1" thickBot="1" x14ac:dyDescent="0.3">
      <c r="A2" s="730" t="s">
        <v>0</v>
      </c>
      <c r="B2" s="730"/>
      <c r="C2" s="13">
        <v>45066</v>
      </c>
      <c r="D2" s="4">
        <f ca="1">TODAY()</f>
        <v>46096</v>
      </c>
      <c r="E2" s="6">
        <f ca="1">D2-C2</f>
        <v>1030</v>
      </c>
    </row>
    <row r="3" spans="1:6" ht="15.75" thickBot="1" x14ac:dyDescent="0.3"/>
    <row r="4" spans="1:6" ht="24" customHeight="1" x14ac:dyDescent="0.25">
      <c r="A4" s="7" t="s">
        <v>1</v>
      </c>
      <c r="B4" s="10" t="s">
        <v>87</v>
      </c>
      <c r="C4" s="11" t="s">
        <v>7</v>
      </c>
      <c r="D4" s="12" t="s">
        <v>1514</v>
      </c>
    </row>
    <row r="5" spans="1:6" ht="23.25" customHeight="1" x14ac:dyDescent="0.25">
      <c r="A5" s="8">
        <v>1</v>
      </c>
      <c r="B5" s="21">
        <v>4053880450</v>
      </c>
      <c r="C5" s="15" t="str">
        <f t="shared" ref="C5:C12" si="0">IF(D5="",IF($E$2&lt;=15,"EnattentedeRetrait","EnAttented'unRetraitTardif"),IF(D5-$C$2&lt;=15,"Rétirédanslesdélais",IF(D5-$C$2&gt;15,"Rétirétardivement-30000FCFAamende")))</f>
        <v>Rétirédanslesdélais</v>
      </c>
      <c r="D5" s="19">
        <v>45069</v>
      </c>
    </row>
    <row r="6" spans="1:6" ht="23.25" customHeight="1" x14ac:dyDescent="0.25">
      <c r="A6" s="9">
        <v>2</v>
      </c>
      <c r="B6" s="21">
        <v>4053889330</v>
      </c>
      <c r="C6" s="15" t="str">
        <f t="shared" si="0"/>
        <v>Rétirédanslesdélais</v>
      </c>
      <c r="D6" s="19">
        <v>45072</v>
      </c>
    </row>
    <row r="7" spans="1:6" ht="23.25" customHeight="1" x14ac:dyDescent="0.25">
      <c r="A7" s="9">
        <v>3</v>
      </c>
      <c r="B7" s="21">
        <v>4053880530</v>
      </c>
      <c r="C7" s="15" t="str">
        <f t="shared" si="0"/>
        <v>Rétirédanslesdélais</v>
      </c>
      <c r="D7" s="19">
        <v>45072</v>
      </c>
    </row>
    <row r="8" spans="1:6" ht="23.25" customHeight="1" x14ac:dyDescent="0.25">
      <c r="A8" s="9">
        <v>4</v>
      </c>
      <c r="B8" s="21">
        <v>2140313560</v>
      </c>
      <c r="C8" s="15" t="str">
        <f t="shared" si="0"/>
        <v>Rétirédanslesdélais</v>
      </c>
      <c r="D8" s="19">
        <v>45069</v>
      </c>
    </row>
    <row r="9" spans="1:6" ht="23.25" customHeight="1" x14ac:dyDescent="0.25">
      <c r="A9" s="9">
        <v>5</v>
      </c>
      <c r="B9" s="21">
        <v>4053896590</v>
      </c>
      <c r="C9" s="15" t="str">
        <f t="shared" si="0"/>
        <v>Rétirédanslesdélais</v>
      </c>
      <c r="D9" s="19">
        <v>45070</v>
      </c>
    </row>
    <row r="10" spans="1:6" ht="19.5" x14ac:dyDescent="0.25">
      <c r="A10" s="9">
        <v>6</v>
      </c>
      <c r="B10" s="21">
        <v>4053852930</v>
      </c>
      <c r="C10" s="15" t="str">
        <f t="shared" si="0"/>
        <v>Rétirétardivement-30000FCFAamende</v>
      </c>
      <c r="D10" s="19">
        <v>45084</v>
      </c>
      <c r="E10" s="23"/>
    </row>
    <row r="11" spans="1:6" ht="19.5" x14ac:dyDescent="0.25">
      <c r="A11" s="9">
        <v>7</v>
      </c>
      <c r="B11" s="21">
        <v>4053918470</v>
      </c>
      <c r="C11" s="15" t="str">
        <f t="shared" si="0"/>
        <v>Rétirétardivement-30000FCFAamende</v>
      </c>
      <c r="D11" s="19">
        <v>45098</v>
      </c>
      <c r="F11" s="25" t="s">
        <v>81</v>
      </c>
    </row>
    <row r="12" spans="1:6" ht="20.25" thickBot="1" x14ac:dyDescent="0.3">
      <c r="A12" s="9">
        <v>8</v>
      </c>
      <c r="B12" s="22">
        <v>4053852330</v>
      </c>
      <c r="C12" s="16" t="str">
        <f t="shared" si="0"/>
        <v>Rétirétardivement-30000FCFAamende</v>
      </c>
      <c r="D12" s="20">
        <v>45083</v>
      </c>
      <c r="E12" s="23" t="s">
        <v>1748</v>
      </c>
    </row>
  </sheetData>
  <sheetProtection selectLockedCells="1"/>
  <mergeCells count="3">
    <mergeCell ref="A1:B1"/>
    <mergeCell ref="C1:D1"/>
    <mergeCell ref="A2:B2"/>
  </mergeCells>
  <conditionalFormatting sqref="B1:B17 B22:B1048576 A17:E32">
    <cfRule type="duplicateValues" dxfId="25" priority="15"/>
  </conditionalFormatting>
  <conditionalFormatting sqref="B1:B1048576 A17:E32">
    <cfRule type="duplicateValues" dxfId="24" priority="9"/>
  </conditionalFormatting>
  <conditionalFormatting sqref="B18:B19">
    <cfRule type="duplicateValues" dxfId="23" priority="12"/>
  </conditionalFormatting>
  <conditionalFormatting sqref="B18:B21">
    <cfRule type="duplicateValues" dxfId="22" priority="11"/>
  </conditionalFormatting>
  <conditionalFormatting sqref="B20:B21">
    <cfRule type="duplicateValues" dxfId="21" priority="10"/>
  </conditionalFormatting>
  <conditionalFormatting sqref="C5:C12">
    <cfRule type="containsText" dxfId="20" priority="13" operator="containsText" text="En Attente d'un Retrait Tardif">
      <formula>NOT(ISERROR(SEARCH("En Attente d'un Retrait Tardif",C5)))</formula>
    </cfRule>
    <cfRule type="containsText" dxfId="19" priority="14" operator="containsText" text="Rétiré dans les délais">
      <formula>NOT(ISERROR(SEARCH("Rétiré dans les délais",C5)))</formula>
    </cfRule>
  </conditionalFormatting>
  <conditionalFormatting sqref="E20">
    <cfRule type="duplicateValues" dxfId="18" priority="8"/>
  </conditionalFormatting>
  <conditionalFormatting sqref="E20:E21">
    <cfRule type="duplicateValues" dxfId="17" priority="6"/>
    <cfRule type="duplicateValues" dxfId="16" priority="7"/>
  </conditionalFormatting>
  <conditionalFormatting sqref="E21">
    <cfRule type="duplicateValues" dxfId="15" priority="5"/>
  </conditionalFormatting>
  <conditionalFormatting sqref="E29">
    <cfRule type="duplicateValues" dxfId="14" priority="4"/>
  </conditionalFormatting>
  <conditionalFormatting sqref="E29:E30">
    <cfRule type="duplicateValues" dxfId="13" priority="2"/>
    <cfRule type="duplicateValues" dxfId="12" priority="3"/>
  </conditionalFormatting>
  <conditionalFormatting sqref="E30">
    <cfRule type="duplicateValues" dxfId="11" priority="1"/>
  </conditionalFormatting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1431-E6EE-4EBD-BF3E-83D8F20E1437}">
  <sheetPr codeName="Feuil37">
    <tabColor rgb="FF00B050"/>
  </sheetPr>
  <dimension ref="A1:F16"/>
  <sheetViews>
    <sheetView workbookViewId="0">
      <selection activeCell="I22" sqref="I22"/>
    </sheetView>
  </sheetViews>
  <sheetFormatPr baseColWidth="10" defaultColWidth="11.42578125" defaultRowHeight="15" x14ac:dyDescent="0.25"/>
  <cols>
    <col min="1" max="1" width="4.140625" customWidth="1"/>
    <col min="2" max="2" width="20.28515625" customWidth="1"/>
    <col min="3" max="3" width="46" customWidth="1"/>
    <col min="4" max="4" width="17" customWidth="1"/>
    <col min="5" max="5" width="4.28515625" customWidth="1"/>
    <col min="9" max="9" width="22.140625" customWidth="1"/>
    <col min="10" max="10" width="14.7109375" customWidth="1"/>
  </cols>
  <sheetData>
    <row r="1" spans="1:6" ht="16.5" thickBot="1" x14ac:dyDescent="0.3">
      <c r="A1" s="762" t="s">
        <v>1749</v>
      </c>
      <c r="B1" s="762"/>
      <c r="C1" s="729"/>
      <c r="D1" s="729"/>
    </row>
    <row r="2" spans="1:6" ht="23.25" customHeight="1" thickBot="1" x14ac:dyDescent="0.3">
      <c r="A2" s="730" t="s">
        <v>0</v>
      </c>
      <c r="B2" s="730"/>
      <c r="C2" s="13">
        <v>45085</v>
      </c>
      <c r="D2" s="4">
        <f ca="1">TODAY()</f>
        <v>46096</v>
      </c>
      <c r="E2" s="5">
        <f ca="1">D2-C2</f>
        <v>1011</v>
      </c>
    </row>
    <row r="3" spans="1:6" ht="15.75" thickBot="1" x14ac:dyDescent="0.3"/>
    <row r="4" spans="1:6" ht="24" customHeight="1" thickBot="1" x14ac:dyDescent="0.3">
      <c r="A4" s="14" t="s">
        <v>1</v>
      </c>
      <c r="B4" s="26" t="s">
        <v>87</v>
      </c>
      <c r="C4" s="27" t="s">
        <v>7</v>
      </c>
      <c r="D4" s="28" t="s">
        <v>1514</v>
      </c>
    </row>
    <row r="5" spans="1:6" ht="23.25" customHeight="1" x14ac:dyDescent="0.25">
      <c r="A5" s="29">
        <v>1</v>
      </c>
      <c r="B5" s="58">
        <v>2140751680</v>
      </c>
      <c r="C5" s="30" t="str">
        <f t="shared" ref="C5:C14" si="0">IF(D5="",IF($E$2&lt;=15,"EnattentedeRetrait","EnAttented'unRetraitTardif"),IF(D5-$C$2&lt;=15,"Rétirédanslesdélais",IF(D5-$C$2&gt;15,"Rétirétardivement-30000FCFAamende")))</f>
        <v>Rétirédanslesdélais</v>
      </c>
      <c r="D5" s="31">
        <v>45089</v>
      </c>
    </row>
    <row r="6" spans="1:6" ht="23.25" customHeight="1" x14ac:dyDescent="0.25">
      <c r="A6" s="32">
        <v>2</v>
      </c>
      <c r="B6" s="63">
        <v>4053791270</v>
      </c>
      <c r="C6" s="15" t="str">
        <f t="shared" si="0"/>
        <v>Rétirétardivement-30000FCFAamende</v>
      </c>
      <c r="D6" s="17">
        <v>45114</v>
      </c>
      <c r="F6" t="s">
        <v>1750</v>
      </c>
    </row>
    <row r="7" spans="1:6" ht="23.25" customHeight="1" x14ac:dyDescent="0.25">
      <c r="A7" s="32">
        <v>3</v>
      </c>
      <c r="B7" s="63">
        <v>4053791271</v>
      </c>
      <c r="C7" s="15" t="str">
        <f t="shared" si="0"/>
        <v>Rétirétardivement-30000FCFAamende</v>
      </c>
      <c r="D7" s="17">
        <v>45114</v>
      </c>
      <c r="F7" t="s">
        <v>1750</v>
      </c>
    </row>
    <row r="8" spans="1:6" ht="23.25" customHeight="1" x14ac:dyDescent="0.25">
      <c r="A8" s="32">
        <v>4</v>
      </c>
      <c r="B8" s="57">
        <v>4053873300</v>
      </c>
      <c r="C8" s="15" t="str">
        <f t="shared" si="0"/>
        <v>Rétirédanslesdélais</v>
      </c>
      <c r="D8" s="17">
        <v>45089</v>
      </c>
    </row>
    <row r="9" spans="1:6" ht="23.25" customHeight="1" x14ac:dyDescent="0.25">
      <c r="A9" s="32">
        <v>5</v>
      </c>
      <c r="B9" s="57">
        <v>4053885360</v>
      </c>
      <c r="C9" s="15" t="str">
        <f t="shared" si="0"/>
        <v>Rétirédanslesdélais</v>
      </c>
      <c r="D9" s="17">
        <v>45089</v>
      </c>
    </row>
    <row r="10" spans="1:6" ht="19.5" x14ac:dyDescent="0.25">
      <c r="A10" s="32">
        <v>6</v>
      </c>
      <c r="B10" s="57">
        <v>4053885370</v>
      </c>
      <c r="C10" s="15" t="str">
        <f t="shared" si="0"/>
        <v>Rétirédanslesdélais</v>
      </c>
      <c r="D10" s="17">
        <v>45089</v>
      </c>
    </row>
    <row r="11" spans="1:6" ht="19.5" x14ac:dyDescent="0.25">
      <c r="A11" s="32">
        <v>7</v>
      </c>
      <c r="B11" s="57">
        <v>4053907310</v>
      </c>
      <c r="C11" s="15" t="str">
        <f t="shared" si="0"/>
        <v>Rétirédanslesdélais</v>
      </c>
      <c r="D11" s="17">
        <v>45100</v>
      </c>
    </row>
    <row r="12" spans="1:6" ht="19.5" x14ac:dyDescent="0.25">
      <c r="A12" s="32">
        <v>8</v>
      </c>
      <c r="B12" s="57">
        <v>4053910960</v>
      </c>
      <c r="C12" s="15" t="str">
        <f t="shared" si="0"/>
        <v>Rétirédanslesdélais</v>
      </c>
      <c r="D12" s="17">
        <v>45100</v>
      </c>
    </row>
    <row r="13" spans="1:6" ht="19.5" x14ac:dyDescent="0.25">
      <c r="A13" s="32">
        <v>9</v>
      </c>
      <c r="B13" s="63">
        <v>4053952270</v>
      </c>
      <c r="C13" s="15" t="str">
        <f t="shared" si="0"/>
        <v>Rétirétardivement-30000FCFAamende</v>
      </c>
      <c r="D13" s="17">
        <v>45114</v>
      </c>
      <c r="F13" t="s">
        <v>1750</v>
      </c>
    </row>
    <row r="14" spans="1:6" ht="20.25" thickBot="1" x14ac:dyDescent="0.3">
      <c r="A14" s="33">
        <v>10</v>
      </c>
      <c r="B14" s="64">
        <v>4053952279</v>
      </c>
      <c r="C14" s="16" t="str">
        <f t="shared" si="0"/>
        <v>Rétirétardivement-30000FCFAamende</v>
      </c>
      <c r="D14" s="18">
        <v>45114</v>
      </c>
      <c r="F14" t="s">
        <v>1750</v>
      </c>
    </row>
    <row r="16" spans="1:6" x14ac:dyDescent="0.25">
      <c r="B16" s="34"/>
    </row>
  </sheetData>
  <sheetProtection selectLockedCells="1"/>
  <mergeCells count="3">
    <mergeCell ref="A1:B1"/>
    <mergeCell ref="C1:D1"/>
    <mergeCell ref="A2:B2"/>
  </mergeCells>
  <conditionalFormatting sqref="B1:B1048576 A18:K35">
    <cfRule type="duplicateValues" dxfId="10" priority="5"/>
  </conditionalFormatting>
  <conditionalFormatting sqref="B21:B22">
    <cfRule type="duplicateValues" dxfId="9" priority="9"/>
  </conditionalFormatting>
  <conditionalFormatting sqref="B23:B25">
    <cfRule type="duplicateValues" dxfId="8" priority="8"/>
  </conditionalFormatting>
  <conditionalFormatting sqref="B26:B31">
    <cfRule type="duplicateValues" dxfId="7" priority="7"/>
  </conditionalFormatting>
  <conditionalFormatting sqref="B32:B33">
    <cfRule type="duplicateValues" dxfId="6" priority="6"/>
  </conditionalFormatting>
  <conditionalFormatting sqref="B34:B35">
    <cfRule type="duplicateValues" dxfId="5" priority="1"/>
  </conditionalFormatting>
  <conditionalFormatting sqref="C5:C14">
    <cfRule type="containsText" dxfId="4" priority="10" operator="containsText" text="En Attente d'un Retrait Tardif">
      <formula>NOT(ISERROR(SEARCH("En Attente d'un Retrait Tardif",C5)))</formula>
    </cfRule>
    <cfRule type="containsText" dxfId="3" priority="11" operator="containsText" text="Rétiré dans les délais">
      <formula>NOT(ISERROR(SEARCH("Rétiré dans les délais",C5)))</formula>
    </cfRule>
  </conditionalFormatting>
  <conditionalFormatting sqref="J21:J23">
    <cfRule type="duplicateValues" dxfId="2" priority="4"/>
  </conditionalFormatting>
  <conditionalFormatting sqref="J21:J29">
    <cfRule type="duplicateValues" dxfId="1" priority="2"/>
  </conditionalFormatting>
  <conditionalFormatting sqref="J24:J29"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B51C28B006C94AA9A4F950EB9678B3" ma:contentTypeVersion="12" ma:contentTypeDescription="Create a new document." ma:contentTypeScope="" ma:versionID="4fd7fa96fe7bbbfd160fcc90fe320ce3">
  <xsd:schema xmlns:xsd="http://www.w3.org/2001/XMLSchema" xmlns:xs="http://www.w3.org/2001/XMLSchema" xmlns:p="http://schemas.microsoft.com/office/2006/metadata/properties" xmlns:ns3="4b257c34-92c5-4536-9c41-79889398b365" xmlns:ns4="f02efebf-9e51-46b6-8ec3-d3daf8185f85" targetNamespace="http://schemas.microsoft.com/office/2006/metadata/properties" ma:root="true" ma:fieldsID="057757f992a8eaa1d60093cbda13c290" ns3:_="" ns4:_="">
    <xsd:import namespace="4b257c34-92c5-4536-9c41-79889398b365"/>
    <xsd:import namespace="f02efebf-9e51-46b6-8ec3-d3daf8185f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57c34-92c5-4536-9c41-79889398b3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efebf-9e51-46b6-8ec3-d3daf8185f8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257c34-92c5-4536-9c41-79889398b365" xsi:nil="true"/>
  </documentManagement>
</p:properties>
</file>

<file path=customXml/itemProps1.xml><?xml version="1.0" encoding="utf-8"?>
<ds:datastoreItem xmlns:ds="http://schemas.openxmlformats.org/officeDocument/2006/customXml" ds:itemID="{91C49623-E647-463B-91B3-F0F4644998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FFDD5C-256F-476F-9B16-62E2CA215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57c34-92c5-4536-9c41-79889398b365"/>
    <ds:schemaRef ds:uri="f02efebf-9e51-46b6-8ec3-d3daf8185f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0E4D1E-1216-4837-AE84-7B06249F03BF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f02efebf-9e51-46b6-8ec3-d3daf8185f85"/>
    <ds:schemaRef ds:uri="4b257c34-92c5-4536-9c41-79889398b365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150</vt:i4>
      </vt:variant>
      <vt:variant>
        <vt:lpstr>Plages nommées</vt:lpstr>
      </vt:variant>
      <vt:variant>
        <vt:i4>15</vt:i4>
      </vt:variant>
    </vt:vector>
  </HeadingPairs>
  <TitlesOfParts>
    <vt:vector size="165" baseType="lpstr">
      <vt:lpstr>ONE PRESENCE 040E</vt:lpstr>
      <vt:lpstr>NORTHERN MAJESTIC 007W</vt:lpstr>
      <vt:lpstr>AQUAMARINE V.002E</vt:lpstr>
      <vt:lpstr>PEPI STAR 014 N</vt:lpstr>
      <vt:lpstr>ILONA 007E</vt:lpstr>
      <vt:lpstr>EA CENTAURUS 011 E</vt:lpstr>
      <vt:lpstr>TINA I 121 E</vt:lpstr>
      <vt:lpstr>NORDMAAS 220N</vt:lpstr>
      <vt:lpstr>EA CETUS 012E</vt:lpstr>
      <vt:lpstr>SAPPHIRE</vt:lpstr>
      <vt:lpstr>EA CHARA 013E</vt:lpstr>
      <vt:lpstr>NORDMAAS </vt:lpstr>
      <vt:lpstr>NAVIOS NERINE 057E</vt:lpstr>
      <vt:lpstr>AQUAMARINE</vt:lpstr>
      <vt:lpstr>PEPI STAR V.012N</vt:lpstr>
      <vt:lpstr>EA CETUS</vt:lpstr>
      <vt:lpstr>X-PRESS ODYSSEY  117 E</vt:lpstr>
      <vt:lpstr>ONE REPUTATION</vt:lpstr>
      <vt:lpstr>CENTAURUS V.000</vt:lpstr>
      <vt:lpstr>SAPPHIRE V.532E</vt:lpstr>
      <vt:lpstr>SONGA WOLF </vt:lpstr>
      <vt:lpstr>PEPI STAR V.011N</vt:lpstr>
      <vt:lpstr>ZOI 530E</vt:lpstr>
      <vt:lpstr>SAN FRANCISCO V.006E</vt:lpstr>
      <vt:lpstr>RENA P V.</vt:lpstr>
      <vt:lpstr>ONE REPUTATION 008E</vt:lpstr>
      <vt:lpstr>CENTAURUS V.009N</vt:lpstr>
      <vt:lpstr>EA CETUS V.</vt:lpstr>
      <vt:lpstr>PEPI STAR V.</vt:lpstr>
      <vt:lpstr>SONGA WOLF V.124N</vt:lpstr>
      <vt:lpstr>EMMANUEL P</vt:lpstr>
      <vt:lpstr>PELICAN </vt:lpstr>
      <vt:lpstr>NORDMAAS 215</vt:lpstr>
      <vt:lpstr>NORDMAS 216S</vt:lpstr>
      <vt:lpstr>RENA P V.008</vt:lpstr>
      <vt:lpstr>SAN FRANCISCO</vt:lpstr>
      <vt:lpstr>SEASPAN DUBAI 035E</vt:lpstr>
      <vt:lpstr>ILONA 004E </vt:lpstr>
      <vt:lpstr>PEPI STAR 009N</vt:lpstr>
      <vt:lpstr>PEPI STAR V.008</vt:lpstr>
      <vt:lpstr>SONGA WOLF V.123</vt:lpstr>
      <vt:lpstr>NORDMAAS 214</vt:lpstr>
      <vt:lpstr>EA CETUS V.009</vt:lpstr>
      <vt:lpstr>ONE REPUTATION V.007W</vt:lpstr>
      <vt:lpstr>CENTAURUS V.008</vt:lpstr>
      <vt:lpstr>SONGA WOLF V.122S</vt:lpstr>
      <vt:lpstr>SPARROW V.002</vt:lpstr>
      <vt:lpstr>PEPI STAR V.007N</vt:lpstr>
      <vt:lpstr>NORDMAAS V.214N</vt:lpstr>
      <vt:lpstr>NAVIOS MAGNOLIA V.121 E </vt:lpstr>
      <vt:lpstr>GSL VALERIE V.010S</vt:lpstr>
      <vt:lpstr>ILONA V.003N</vt:lpstr>
      <vt:lpstr>SONGA WOLF V. 121S</vt:lpstr>
      <vt:lpstr>SAN FRANCISCO V.004</vt:lpstr>
      <vt:lpstr>PEPI STAR 006S</vt:lpstr>
      <vt:lpstr>RENA P V.007</vt:lpstr>
      <vt:lpstr>EA CETUS 008E</vt:lpstr>
      <vt:lpstr>ANDROUSA V.357 (BIS)</vt:lpstr>
      <vt:lpstr>SONGA WOLF V.357E</vt:lpstr>
      <vt:lpstr>EA CENTAURUS V.007</vt:lpstr>
      <vt:lpstr>PEPI STAR V,005</vt:lpstr>
      <vt:lpstr>SPARROW V.001</vt:lpstr>
      <vt:lpstr>MELINA V.448</vt:lpstr>
      <vt:lpstr>WADI BANI KHALID 026</vt:lpstr>
      <vt:lpstr>PEPI STAR V.003</vt:lpstr>
      <vt:lpstr>ILONA 002</vt:lpstr>
      <vt:lpstr>VOLANS 035E</vt:lpstr>
      <vt:lpstr>PEPI STAR 004N</vt:lpstr>
      <vt:lpstr>EA CETUS 007E</vt:lpstr>
      <vt:lpstr>SAN FRANCISCO 003E</vt:lpstr>
      <vt:lpstr>SONGA WOLF 119N</vt:lpstr>
      <vt:lpstr>SONGA WOLF V.118</vt:lpstr>
      <vt:lpstr>ANDROUSA V.356</vt:lpstr>
      <vt:lpstr>RENA P 006E</vt:lpstr>
      <vt:lpstr>AE CENTAURUS V.006</vt:lpstr>
      <vt:lpstr>EXPRESS SPAIN V.147</vt:lpstr>
      <vt:lpstr>WADI BANI KHALID V.025</vt:lpstr>
      <vt:lpstr>VELA V.425</vt:lpstr>
      <vt:lpstr>SONGA WOLF V.117</vt:lpstr>
      <vt:lpstr>NATAL V.135</vt:lpstr>
      <vt:lpstr>PEPI STAR V.002</vt:lpstr>
      <vt:lpstr>RENA P V.005E</vt:lpstr>
      <vt:lpstr>PEPI STAR V.001</vt:lpstr>
      <vt:lpstr>VIOLETA B. V.036</vt:lpstr>
      <vt:lpstr>ANDROUSA V.355</vt:lpstr>
      <vt:lpstr>NATAL V.134</vt:lpstr>
      <vt:lpstr>EXPRESS SPAIN V.146</vt:lpstr>
      <vt:lpstr>ALEXANDRIA BRIDGE V.070</vt:lpstr>
      <vt:lpstr>VELA V.424</vt:lpstr>
      <vt:lpstr>VIOLETA B V.035</vt:lpstr>
      <vt:lpstr>VIOLETA B V.034</vt:lpstr>
      <vt:lpstr>ANDROUSA V.354N</vt:lpstr>
      <vt:lpstr>RENA P V.004</vt:lpstr>
      <vt:lpstr>COSCO YINKGOU V.159</vt:lpstr>
      <vt:lpstr>EXPRESS SPAIN V.145</vt:lpstr>
      <vt:lpstr>DIAMANTIS P.246E</vt:lpstr>
      <vt:lpstr>WARNOW MATE V.054</vt:lpstr>
      <vt:lpstr>ALEXANDRE BRIDGE V.069</vt:lpstr>
      <vt:lpstr>NATAL V.133 N</vt:lpstr>
      <vt:lpstr>VIOLETA B V.033N</vt:lpstr>
      <vt:lpstr>WARNOW MATE V.053N</vt:lpstr>
      <vt:lpstr>VIOLETA B V.032 E</vt:lpstr>
      <vt:lpstr>ANDROUSA V.353 E</vt:lpstr>
      <vt:lpstr>RENA P V.003N</vt:lpstr>
      <vt:lpstr>EXPRESS SPAIN V.144</vt:lpstr>
      <vt:lpstr>WARNOW MATE V.052</vt:lpstr>
      <vt:lpstr>COSCO YINGKOU V.158 E</vt:lpstr>
      <vt:lpstr>VIOLETA B. V.031S</vt:lpstr>
      <vt:lpstr>DIAMANTIS P. V.245E</vt:lpstr>
      <vt:lpstr>ALEXANDRIA BRIDGE 068</vt:lpstr>
      <vt:lpstr>WARNOW MATE 051N</vt:lpstr>
      <vt:lpstr>NATAL 132E</vt:lpstr>
      <vt:lpstr>VIOLETA B 030N</vt:lpstr>
      <vt:lpstr>RENA P 002S</vt:lpstr>
      <vt:lpstr>COSCO YINGKOU 157E</vt:lpstr>
      <vt:lpstr>WARNOW MATE 050N</vt:lpstr>
      <vt:lpstr>ANDROUSA V.352</vt:lpstr>
      <vt:lpstr>TABLO DE BORD</vt:lpstr>
      <vt:lpstr>VIOLETA B 029N</vt:lpstr>
      <vt:lpstr>EXPRESS SPAIN 143E</vt:lpstr>
      <vt:lpstr>SUNNY PHOENIX 328E</vt:lpstr>
      <vt:lpstr>WARNOW MATE 049N</vt:lpstr>
      <vt:lpstr>ALEXANDRIA BRIDGE 067E</vt:lpstr>
      <vt:lpstr>VIOLETA B V.028N</vt:lpstr>
      <vt:lpstr>NATAL V.131E</vt:lpstr>
      <vt:lpstr>EXPRESS BLACK SEA V.042E</vt:lpstr>
      <vt:lpstr>RENA P V.0001</vt:lpstr>
      <vt:lpstr>WARNOW MATE 048E</vt:lpstr>
      <vt:lpstr>VIOLETA B V.027E</vt:lpstr>
      <vt:lpstr>ANDROUSA V.351 E</vt:lpstr>
      <vt:lpstr>COSCO YINGKOU V.156E</vt:lpstr>
      <vt:lpstr>EXPRESS SPAIN 142E</vt:lpstr>
      <vt:lpstr>WARNOW MATE V.047E</vt:lpstr>
      <vt:lpstr>SUNNY PHOENIX V.327W</vt:lpstr>
      <vt:lpstr>ALEXANDRIA BRIDGE V.066E</vt:lpstr>
      <vt:lpstr>VIOLETA B V.026N</vt:lpstr>
      <vt:lpstr>EXPRESS BLACK SEA V.041E</vt:lpstr>
      <vt:lpstr>VIOLETA B V.025N</vt:lpstr>
      <vt:lpstr>WARNOW MATE V.046N</vt:lpstr>
      <vt:lpstr>COSCO YINGKOU V.155E</vt:lpstr>
      <vt:lpstr>ANDROUSA V.350E</vt:lpstr>
      <vt:lpstr>EXPRESS SPAIN 141</vt:lpstr>
      <vt:lpstr>WARNOW MATE 045E</vt:lpstr>
      <vt:lpstr>VIOLETA B 024E</vt:lpstr>
      <vt:lpstr>NAVIOS DESTINY 076E</vt:lpstr>
      <vt:lpstr>COSCO YINGKOU 154E</vt:lpstr>
      <vt:lpstr>EXPRESS BLACK SEA 040E</vt:lpstr>
      <vt:lpstr>WARNOW MATE 044N</vt:lpstr>
      <vt:lpstr>MARTINIQUE 064E</vt:lpstr>
      <vt:lpstr>ZIM BALTIMORE 315E</vt:lpstr>
      <vt:lpstr>'ALEXANDRIA BRIDGE V.066E'!Zone_d_impression</vt:lpstr>
      <vt:lpstr>'ANDROUSA V.351 E'!Zone_d_impression</vt:lpstr>
      <vt:lpstr>'COSCO YINGKOU 154E'!Zone_d_impression</vt:lpstr>
      <vt:lpstr>'COSCO YINGKOU V.156E'!Zone_d_impression</vt:lpstr>
      <vt:lpstr>'EXPRESS BLACK SEA V.041E'!Zone_d_impression</vt:lpstr>
      <vt:lpstr>'EXPRESS BLACK SEA V.042E'!Zone_d_impression</vt:lpstr>
      <vt:lpstr>'EXPRESS SPAIN 142E'!Zone_d_impression</vt:lpstr>
      <vt:lpstr>'MARTINIQUE 064E'!Zone_d_impression</vt:lpstr>
      <vt:lpstr>'RENA P V.0001'!Zone_d_impression</vt:lpstr>
      <vt:lpstr>'SUNNY PHOENIX V.327W'!Zone_d_impression</vt:lpstr>
      <vt:lpstr>'VIOLETA B V.025N'!Zone_d_impression</vt:lpstr>
      <vt:lpstr>'VIOLETA B V.026N'!Zone_d_impression</vt:lpstr>
      <vt:lpstr>'VIOLETA B V.027E'!Zone_d_impression</vt:lpstr>
      <vt:lpstr>'WARNOW MATE 048E'!Zone_d_impression</vt:lpstr>
      <vt:lpstr>'WARNOW MATE V.047E'!Zone_d_impression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Jean-Felix ZIAGOUE</dc:creator>
  <cp:keywords/>
  <dc:description/>
  <cp:lastModifiedBy>Jean-Félix ZIAGOUE</cp:lastModifiedBy>
  <cp:revision/>
  <cp:lastPrinted>2026-02-25T11:38:36Z</cp:lastPrinted>
  <dcterms:created xsi:type="dcterms:W3CDTF">2023-05-31T15:30:34Z</dcterms:created>
  <dcterms:modified xsi:type="dcterms:W3CDTF">2026-03-15T19:05:57Z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0x0101007FB51C28B006C94AA9A4F950EB9678B3</vt:lpwstr>
  </property>
</Properties>
</file>